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000ba1c4f1f3c304/Desktop/"/>
    </mc:Choice>
  </mc:AlternateContent>
  <xr:revisionPtr revIDLastSave="0" documentId="8_{FF3739B6-3A95-41AD-ACE2-C319630C0E25}" xr6:coauthVersionLast="36" xr6:coauthVersionMax="36" xr10:uidLastSave="{00000000-0000-0000-0000-000000000000}"/>
  <bookViews>
    <workbookView xWindow="0" yWindow="0" windowWidth="23040" windowHeight="7992" activeTab="4" xr2:uid="{00000000-000D-0000-FFFF-FFFF00000000}"/>
  </bookViews>
  <sheets>
    <sheet name="Raw Posts Data" sheetId="1" r:id="rId1"/>
    <sheet name="Raw Campaign Data" sheetId="29" r:id="rId2"/>
    <sheet name="Raw Engagement Summary" sheetId="30" r:id="rId3"/>
    <sheet name="Summary" sheetId="5" r:id="rId4"/>
    <sheet name="Cleaned Posts" sheetId="4" r:id="rId5"/>
    <sheet name="Cleaned Engagement Summary" sheetId="2" r:id="rId6"/>
    <sheet name="Cleaned Campaign Metadata" sheetId="3" r:id="rId7"/>
    <sheet name="Expanded Hashtags" sheetId="6" r:id="rId8"/>
    <sheet name="Enagaement_Analysis" sheetId="7" r:id="rId9"/>
    <sheet name="TOP 10 POSTS BY ENGAGEMENT RATE" sheetId="8" r:id="rId10"/>
    <sheet name="Pivot-Content Type &amp; Platform" sheetId="10" r:id="rId11"/>
    <sheet name="Hashtag Performance" sheetId="12" r:id="rId12"/>
    <sheet name="Platfrom performance analysis" sheetId="13" r:id="rId13"/>
    <sheet name="WEEKLY FOLLOWER GROWTH" sheetId="14" r:id="rId14"/>
    <sheet name="Hashtag Analysis" sheetId="17" r:id="rId15"/>
    <sheet name="Hashtags by Engagement" sheetId="21" r:id="rId16"/>
    <sheet name="Content Type Performance" sheetId="26" r:id="rId17"/>
    <sheet name=" Detailed Campaign Metrics" sheetId="31" r:id="rId18"/>
    <sheet name="Engagement Uplift" sheetId="28" r:id="rId19"/>
    <sheet name=" Campaign Performance" sheetId="22" r:id="rId20"/>
    <sheet name="Campaign Follower Growth" sheetId="32" r:id="rId21"/>
    <sheet name="Follower Retention " sheetId="34" r:id="rId22"/>
    <sheet name="AVG chart" sheetId="36" r:id="rId23"/>
    <sheet name="Correlation" sheetId="37" r:id="rId24"/>
  </sheets>
  <definedNames>
    <definedName name="_xlnm._FilterDatabase" localSheetId="2" hidden="1">'Raw Engagement Summary'!$A$1:$G$201</definedName>
  </definedNames>
  <calcPr calcId="191029"/>
  <pivotCaches>
    <pivotCache cacheId="0" r:id="rId25"/>
    <pivotCache cacheId="1" r:id="rId26"/>
    <pivotCache cacheId="2" r:id="rId27"/>
    <pivotCache cacheId="3" r:id="rId28"/>
    <pivotCache cacheId="4" r:id="rId29"/>
  </pivotCaches>
</workbook>
</file>

<file path=xl/calcChain.xml><?xml version="1.0" encoding="utf-8"?>
<calcChain xmlns="http://schemas.openxmlformats.org/spreadsheetml/2006/main">
  <c r="C7" i="28" l="1"/>
  <c r="B71" i="37" l="1"/>
  <c r="B70" i="37"/>
  <c r="B8" i="36" l="1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51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" i="36"/>
  <c r="B6" i="36"/>
  <c r="B5" i="36"/>
  <c r="B4" i="36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" i="34"/>
  <c r="F6" i="34"/>
  <c r="F5" i="34"/>
  <c r="F4" i="34"/>
  <c r="E5" i="28" l="1"/>
  <c r="E6" i="28"/>
  <c r="E7" i="28"/>
  <c r="E4" i="28"/>
  <c r="D5" i="28"/>
  <c r="D6" i="28"/>
  <c r="D7" i="28"/>
  <c r="D4" i="28"/>
  <c r="C4" i="28"/>
  <c r="C6" i="28"/>
  <c r="C5" i="28"/>
  <c r="B7" i="28"/>
  <c r="B6" i="28"/>
  <c r="B5" i="28"/>
  <c r="B4" i="28"/>
  <c r="D5" i="32"/>
  <c r="D7" i="32"/>
  <c r="D6" i="32"/>
  <c r="D4" i="32"/>
  <c r="C5" i="32"/>
  <c r="C7" i="32"/>
  <c r="C6" i="32"/>
  <c r="E6" i="32" s="1"/>
  <c r="C4" i="32"/>
  <c r="E4" i="32" s="1"/>
  <c r="D4" i="22"/>
  <c r="H5" i="31"/>
  <c r="H6" i="31"/>
  <c r="H7" i="31"/>
  <c r="H4" i="31"/>
  <c r="G5" i="31"/>
  <c r="G6" i="31"/>
  <c r="G7" i="31"/>
  <c r="G4" i="31"/>
  <c r="E5" i="31"/>
  <c r="E6" i="31"/>
  <c r="F6" i="31" s="1"/>
  <c r="E7" i="31"/>
  <c r="E4" i="31"/>
  <c r="C5" i="31"/>
  <c r="D5" i="31" s="1"/>
  <c r="C6" i="31"/>
  <c r="C7" i="31"/>
  <c r="C4" i="31"/>
  <c r="D4" i="31" s="1"/>
  <c r="J7" i="31"/>
  <c r="I7" i="31"/>
  <c r="K7" i="31" s="1"/>
  <c r="B7" i="31"/>
  <c r="J6" i="31"/>
  <c r="I6" i="31"/>
  <c r="B6" i="31"/>
  <c r="J5" i="31"/>
  <c r="I5" i="31"/>
  <c r="K5" i="31" s="1"/>
  <c r="B5" i="31"/>
  <c r="J4" i="31"/>
  <c r="I4" i="31"/>
  <c r="B4" i="31"/>
  <c r="E7" i="32" l="1"/>
  <c r="A6" i="32" s="1"/>
  <c r="A4" i="32"/>
  <c r="E5" i="32"/>
  <c r="F7" i="31"/>
  <c r="F5" i="31"/>
  <c r="F4" i="31"/>
  <c r="K6" i="31"/>
  <c r="D6" i="31"/>
  <c r="D7" i="31"/>
  <c r="K4" i="31"/>
  <c r="E5" i="22"/>
  <c r="E7" i="22"/>
  <c r="E6" i="22"/>
  <c r="E4" i="22"/>
  <c r="D5" i="22"/>
  <c r="D7" i="22"/>
  <c r="D6" i="22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C4" i="22"/>
  <c r="C5" i="22"/>
  <c r="C7" i="22"/>
  <c r="C6" i="22"/>
  <c r="A6" i="22" s="1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23" i="4"/>
  <c r="N24" i="4"/>
  <c r="N25" i="4"/>
  <c r="N26" i="4"/>
  <c r="N27" i="4"/>
  <c r="N28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3" i="4"/>
  <c r="N4" i="4"/>
  <c r="N5" i="4"/>
  <c r="N6" i="4"/>
  <c r="N7" i="4"/>
  <c r="N2" i="4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N281" i="6"/>
  <c r="N282" i="6"/>
  <c r="N283" i="6"/>
  <c r="N284" i="6"/>
  <c r="N285" i="6"/>
  <c r="N286" i="6"/>
  <c r="N287" i="6"/>
  <c r="N288" i="6"/>
  <c r="N289" i="6"/>
  <c r="N290" i="6"/>
  <c r="N291" i="6"/>
  <c r="N292" i="6"/>
  <c r="N293" i="6"/>
  <c r="N294" i="6"/>
  <c r="N295" i="6"/>
  <c r="N296" i="6"/>
  <c r="N297" i="6"/>
  <c r="N298" i="6"/>
  <c r="N299" i="6"/>
  <c r="N300" i="6"/>
  <c r="N301" i="6"/>
  <c r="N302" i="6"/>
  <c r="N303" i="6"/>
  <c r="N304" i="6"/>
  <c r="N305" i="6"/>
  <c r="N306" i="6"/>
  <c r="N307" i="6"/>
  <c r="N308" i="6"/>
  <c r="N309" i="6"/>
  <c r="N310" i="6"/>
  <c r="N311" i="6"/>
  <c r="N312" i="6"/>
  <c r="N313" i="6"/>
  <c r="N314" i="6"/>
  <c r="N315" i="6"/>
  <c r="N316" i="6"/>
  <c r="N317" i="6"/>
  <c r="N318" i="6"/>
  <c r="N319" i="6"/>
  <c r="N320" i="6"/>
  <c r="N321" i="6"/>
  <c r="N322" i="6"/>
  <c r="N323" i="6"/>
  <c r="N324" i="6"/>
  <c r="N325" i="6"/>
  <c r="N326" i="6"/>
  <c r="N327" i="6"/>
  <c r="N328" i="6"/>
  <c r="N329" i="6"/>
  <c r="N330" i="6"/>
  <c r="N331" i="6"/>
  <c r="N332" i="6"/>
  <c r="N333" i="6"/>
  <c r="N334" i="6"/>
  <c r="N335" i="6"/>
  <c r="N336" i="6"/>
  <c r="N337" i="6"/>
  <c r="N338" i="6"/>
  <c r="N339" i="6"/>
  <c r="N340" i="6"/>
  <c r="N341" i="6"/>
  <c r="N342" i="6"/>
  <c r="N343" i="6"/>
  <c r="N344" i="6"/>
  <c r="N345" i="6"/>
  <c r="N346" i="6"/>
  <c r="N347" i="6"/>
  <c r="N348" i="6"/>
  <c r="N349" i="6"/>
  <c r="N350" i="6"/>
  <c r="N351" i="6"/>
  <c r="N352" i="6"/>
  <c r="N353" i="6"/>
  <c r="N354" i="6"/>
  <c r="N355" i="6"/>
  <c r="N356" i="6"/>
  <c r="N357" i="6"/>
  <c r="N358" i="6"/>
  <c r="N359" i="6"/>
  <c r="N360" i="6"/>
  <c r="N361" i="6"/>
  <c r="N362" i="6"/>
  <c r="N363" i="6"/>
  <c r="N364" i="6"/>
  <c r="N365" i="6"/>
  <c r="N366" i="6"/>
  <c r="N367" i="6"/>
  <c r="N368" i="6"/>
  <c r="N369" i="6"/>
  <c r="N370" i="6"/>
  <c r="N371" i="6"/>
  <c r="N372" i="6"/>
  <c r="N373" i="6"/>
  <c r="N374" i="6"/>
  <c r="N375" i="6"/>
  <c r="N376" i="6"/>
  <c r="N377" i="6"/>
  <c r="N378" i="6"/>
  <c r="N379" i="6"/>
  <c r="N380" i="6"/>
  <c r="N381" i="6"/>
  <c r="N382" i="6"/>
  <c r="N383" i="6"/>
  <c r="N384" i="6"/>
  <c r="N385" i="6"/>
  <c r="N386" i="6"/>
  <c r="N387" i="6"/>
  <c r="N388" i="6"/>
  <c r="N389" i="6"/>
  <c r="N390" i="6"/>
  <c r="N391" i="6"/>
  <c r="N392" i="6"/>
  <c r="N393" i="6"/>
  <c r="N394" i="6"/>
  <c r="N395" i="6"/>
  <c r="N396" i="6"/>
  <c r="N397" i="6"/>
  <c r="N398" i="6"/>
  <c r="N399" i="6"/>
  <c r="N400" i="6"/>
  <c r="N401" i="6"/>
  <c r="N402" i="6"/>
  <c r="N403" i="6"/>
  <c r="N404" i="6"/>
  <c r="N405" i="6"/>
  <c r="N406" i="6"/>
  <c r="N407" i="6"/>
  <c r="N408" i="6"/>
  <c r="N409" i="6"/>
  <c r="N410" i="6"/>
  <c r="N411" i="6"/>
  <c r="N412" i="6"/>
  <c r="N413" i="6"/>
  <c r="N414" i="6"/>
  <c r="N415" i="6"/>
  <c r="N416" i="6"/>
  <c r="N417" i="6"/>
  <c r="N418" i="6"/>
  <c r="N419" i="6"/>
  <c r="N420" i="6"/>
  <c r="N421" i="6"/>
  <c r="N422" i="6"/>
  <c r="N423" i="6"/>
  <c r="N424" i="6"/>
  <c r="N425" i="6"/>
  <c r="N426" i="6"/>
  <c r="N427" i="6"/>
  <c r="N428" i="6"/>
  <c r="N429" i="6"/>
  <c r="N430" i="6"/>
  <c r="N431" i="6"/>
  <c r="N432" i="6"/>
  <c r="N433" i="6"/>
  <c r="N434" i="6"/>
  <c r="N435" i="6"/>
  <c r="N436" i="6"/>
  <c r="N437" i="6"/>
  <c r="N438" i="6"/>
  <c r="N439" i="6"/>
  <c r="N440" i="6"/>
  <c r="N441" i="6"/>
  <c r="N442" i="6"/>
  <c r="N443" i="6"/>
  <c r="N444" i="6"/>
  <c r="N445" i="6"/>
  <c r="N446" i="6"/>
  <c r="N447" i="6"/>
  <c r="N448" i="6"/>
  <c r="N449" i="6"/>
  <c r="N450" i="6"/>
  <c r="N451" i="6"/>
  <c r="N452" i="6"/>
  <c r="N453" i="6"/>
  <c r="N454" i="6"/>
  <c r="N455" i="6"/>
  <c r="N456" i="6"/>
  <c r="N457" i="6"/>
  <c r="N458" i="6"/>
  <c r="N459" i="6"/>
  <c r="N460" i="6"/>
  <c r="N461" i="6"/>
  <c r="N462" i="6"/>
  <c r="N463" i="6"/>
  <c r="N464" i="6"/>
  <c r="N465" i="6"/>
  <c r="N466" i="6"/>
  <c r="N467" i="6"/>
  <c r="N468" i="6"/>
  <c r="N469" i="6"/>
  <c r="N470" i="6"/>
  <c r="N471" i="6"/>
  <c r="N472" i="6"/>
  <c r="N473" i="6"/>
  <c r="N474" i="6"/>
  <c r="N475" i="6"/>
  <c r="N476" i="6"/>
  <c r="N477" i="6"/>
  <c r="N478" i="6"/>
  <c r="N479" i="6"/>
  <c r="N480" i="6"/>
  <c r="N481" i="6"/>
  <c r="N482" i="6"/>
  <c r="N483" i="6"/>
  <c r="N484" i="6"/>
  <c r="N2" i="6"/>
  <c r="A5" i="32" l="1"/>
  <c r="A7" i="32"/>
  <c r="F4" i="22"/>
  <c r="G4" i="22" s="1"/>
  <c r="F6" i="22"/>
  <c r="G6" i="22" s="1"/>
  <c r="F7" i="22"/>
  <c r="G7" i="22" s="1"/>
  <c r="F5" i="22"/>
  <c r="G5" i="22" s="1"/>
  <c r="A7" i="22"/>
  <c r="A5" i="22"/>
  <c r="A4" i="22"/>
  <c r="D4" i="12"/>
  <c r="G4" i="13"/>
  <c r="H6" i="13" s="1"/>
  <c r="J5" i="13"/>
  <c r="J6" i="13"/>
  <c r="J4" i="13"/>
  <c r="F203" i="14"/>
  <c r="E203" i="14"/>
  <c r="E202" i="14"/>
  <c r="F202" i="14" s="1"/>
  <c r="E201" i="14"/>
  <c r="F201" i="14" s="1"/>
  <c r="E200" i="14"/>
  <c r="F200" i="14" s="1"/>
  <c r="E199" i="14"/>
  <c r="F199" i="14" s="1"/>
  <c r="F198" i="14"/>
  <c r="E198" i="14"/>
  <c r="E197" i="14"/>
  <c r="F197" i="14" s="1"/>
  <c r="E196" i="14"/>
  <c r="F196" i="14" s="1"/>
  <c r="F195" i="14"/>
  <c r="E195" i="14"/>
  <c r="E194" i="14"/>
  <c r="F194" i="14" s="1"/>
  <c r="E193" i="14"/>
  <c r="F193" i="14" s="1"/>
  <c r="E192" i="14"/>
  <c r="F192" i="14" s="1"/>
  <c r="F191" i="14"/>
  <c r="E191" i="14"/>
  <c r="F190" i="14"/>
  <c r="E190" i="14"/>
  <c r="E189" i="14"/>
  <c r="F189" i="14" s="1"/>
  <c r="E188" i="14"/>
  <c r="F188" i="14" s="1"/>
  <c r="F187" i="14"/>
  <c r="E187" i="14"/>
  <c r="E186" i="14"/>
  <c r="F186" i="14" s="1"/>
  <c r="E185" i="14"/>
  <c r="F185" i="14" s="1"/>
  <c r="E184" i="14"/>
  <c r="F184" i="14" s="1"/>
  <c r="F183" i="14"/>
  <c r="E183" i="14"/>
  <c r="F182" i="14"/>
  <c r="E182" i="14"/>
  <c r="E181" i="14"/>
  <c r="F181" i="14" s="1"/>
  <c r="E180" i="14"/>
  <c r="F180" i="14" s="1"/>
  <c r="F179" i="14"/>
  <c r="E179" i="14"/>
  <c r="E178" i="14"/>
  <c r="F178" i="14" s="1"/>
  <c r="E177" i="14"/>
  <c r="F177" i="14" s="1"/>
  <c r="E176" i="14"/>
  <c r="F176" i="14" s="1"/>
  <c r="F175" i="14"/>
  <c r="E175" i="14"/>
  <c r="F174" i="14"/>
  <c r="E174" i="14"/>
  <c r="E173" i="14"/>
  <c r="F173" i="14" s="1"/>
  <c r="E172" i="14"/>
  <c r="F172" i="14" s="1"/>
  <c r="F171" i="14"/>
  <c r="E171" i="14"/>
  <c r="E170" i="14"/>
  <c r="F170" i="14" s="1"/>
  <c r="E169" i="14"/>
  <c r="F169" i="14" s="1"/>
  <c r="E168" i="14"/>
  <c r="F168" i="14" s="1"/>
  <c r="F167" i="14"/>
  <c r="E167" i="14"/>
  <c r="F166" i="14"/>
  <c r="E166" i="14"/>
  <c r="E165" i="14"/>
  <c r="F165" i="14" s="1"/>
  <c r="E164" i="14"/>
  <c r="F164" i="14" s="1"/>
  <c r="F163" i="14"/>
  <c r="E163" i="14"/>
  <c r="E162" i="14"/>
  <c r="F162" i="14" s="1"/>
  <c r="E161" i="14"/>
  <c r="F161" i="14" s="1"/>
  <c r="E160" i="14"/>
  <c r="F160" i="14" s="1"/>
  <c r="F159" i="14"/>
  <c r="E159" i="14"/>
  <c r="F158" i="14"/>
  <c r="E158" i="14"/>
  <c r="E157" i="14"/>
  <c r="F157" i="14" s="1"/>
  <c r="E156" i="14"/>
  <c r="F156" i="14" s="1"/>
  <c r="F155" i="14"/>
  <c r="E155" i="14"/>
  <c r="E154" i="14"/>
  <c r="F154" i="14" s="1"/>
  <c r="E153" i="14"/>
  <c r="F153" i="14" s="1"/>
  <c r="E152" i="14"/>
  <c r="F152" i="14" s="1"/>
  <c r="F151" i="14"/>
  <c r="E151" i="14"/>
  <c r="F150" i="14"/>
  <c r="E150" i="14"/>
  <c r="E149" i="14"/>
  <c r="F149" i="14" s="1"/>
  <c r="E148" i="14"/>
  <c r="F148" i="14" s="1"/>
  <c r="F147" i="14"/>
  <c r="E147" i="14"/>
  <c r="E146" i="14"/>
  <c r="F146" i="14" s="1"/>
  <c r="E145" i="14"/>
  <c r="F145" i="14" s="1"/>
  <c r="E144" i="14"/>
  <c r="F144" i="14" s="1"/>
  <c r="F143" i="14"/>
  <c r="E143" i="14"/>
  <c r="F142" i="14"/>
  <c r="E142" i="14"/>
  <c r="E141" i="14"/>
  <c r="F141" i="14" s="1"/>
  <c r="E140" i="14"/>
  <c r="F140" i="14" s="1"/>
  <c r="F139" i="14"/>
  <c r="E139" i="14"/>
  <c r="E138" i="14"/>
  <c r="F138" i="14" s="1"/>
  <c r="E137" i="14"/>
  <c r="F137" i="14" s="1"/>
  <c r="E136" i="14"/>
  <c r="F136" i="14" s="1"/>
  <c r="F135" i="14"/>
  <c r="E135" i="14"/>
  <c r="F134" i="14"/>
  <c r="E134" i="14"/>
  <c r="E133" i="14"/>
  <c r="F133" i="14" s="1"/>
  <c r="E132" i="14"/>
  <c r="F132" i="14" s="1"/>
  <c r="F131" i="14"/>
  <c r="E131" i="14"/>
  <c r="E130" i="14"/>
  <c r="F130" i="14" s="1"/>
  <c r="E129" i="14"/>
  <c r="F129" i="14" s="1"/>
  <c r="E128" i="14"/>
  <c r="F128" i="14" s="1"/>
  <c r="F127" i="14"/>
  <c r="E127" i="14"/>
  <c r="F126" i="14"/>
  <c r="E126" i="14"/>
  <c r="E125" i="14"/>
  <c r="F125" i="14" s="1"/>
  <c r="E124" i="14"/>
  <c r="F124" i="14" s="1"/>
  <c r="F123" i="14"/>
  <c r="E123" i="14"/>
  <c r="E122" i="14"/>
  <c r="F122" i="14" s="1"/>
  <c r="E121" i="14"/>
  <c r="F121" i="14" s="1"/>
  <c r="E120" i="14"/>
  <c r="F120" i="14" s="1"/>
  <c r="F119" i="14"/>
  <c r="E119" i="14"/>
  <c r="F118" i="14"/>
  <c r="E118" i="14"/>
  <c r="E117" i="14"/>
  <c r="F117" i="14" s="1"/>
  <c r="E116" i="14"/>
  <c r="F116" i="14" s="1"/>
  <c r="F115" i="14"/>
  <c r="E115" i="14"/>
  <c r="E114" i="14"/>
  <c r="F114" i="14" s="1"/>
  <c r="E113" i="14"/>
  <c r="F113" i="14" s="1"/>
  <c r="E112" i="14"/>
  <c r="F112" i="14" s="1"/>
  <c r="F111" i="14"/>
  <c r="E111" i="14"/>
  <c r="F110" i="14"/>
  <c r="E110" i="14"/>
  <c r="E109" i="14"/>
  <c r="F109" i="14" s="1"/>
  <c r="E108" i="14"/>
  <c r="F108" i="14" s="1"/>
  <c r="F107" i="14"/>
  <c r="E107" i="14"/>
  <c r="E106" i="14"/>
  <c r="F106" i="14" s="1"/>
  <c r="E105" i="14"/>
  <c r="F105" i="14" s="1"/>
  <c r="E104" i="14"/>
  <c r="F104" i="14" s="1"/>
  <c r="F103" i="14"/>
  <c r="E103" i="14"/>
  <c r="F102" i="14"/>
  <c r="E102" i="14"/>
  <c r="E101" i="14"/>
  <c r="F101" i="14" s="1"/>
  <c r="E100" i="14"/>
  <c r="F100" i="14" s="1"/>
  <c r="F99" i="14"/>
  <c r="E99" i="14"/>
  <c r="E98" i="14"/>
  <c r="F98" i="14" s="1"/>
  <c r="E97" i="14"/>
  <c r="F97" i="14" s="1"/>
  <c r="E96" i="14"/>
  <c r="F96" i="14" s="1"/>
  <c r="F95" i="14"/>
  <c r="E95" i="14"/>
  <c r="F94" i="14"/>
  <c r="E94" i="14"/>
  <c r="E93" i="14"/>
  <c r="F93" i="14" s="1"/>
  <c r="E92" i="14"/>
  <c r="F92" i="14" s="1"/>
  <c r="F91" i="14"/>
  <c r="E91" i="14"/>
  <c r="E90" i="14"/>
  <c r="F90" i="14" s="1"/>
  <c r="E89" i="14"/>
  <c r="F89" i="14" s="1"/>
  <c r="E88" i="14"/>
  <c r="F88" i="14" s="1"/>
  <c r="F87" i="14"/>
  <c r="E87" i="14"/>
  <c r="F86" i="14"/>
  <c r="E86" i="14"/>
  <c r="E85" i="14"/>
  <c r="F85" i="14" s="1"/>
  <c r="E84" i="14"/>
  <c r="F84" i="14" s="1"/>
  <c r="F83" i="14"/>
  <c r="E83" i="14"/>
  <c r="E82" i="14"/>
  <c r="F82" i="14" s="1"/>
  <c r="E81" i="14"/>
  <c r="F81" i="14" s="1"/>
  <c r="E80" i="14"/>
  <c r="F80" i="14" s="1"/>
  <c r="F79" i="14"/>
  <c r="E79" i="14"/>
  <c r="F78" i="14"/>
  <c r="E78" i="14"/>
  <c r="E77" i="14"/>
  <c r="F77" i="14" s="1"/>
  <c r="E76" i="14"/>
  <c r="F76" i="14" s="1"/>
  <c r="F75" i="14"/>
  <c r="E75" i="14"/>
  <c r="E74" i="14"/>
  <c r="F74" i="14" s="1"/>
  <c r="E73" i="14"/>
  <c r="F73" i="14" s="1"/>
  <c r="E72" i="14"/>
  <c r="F72" i="14" s="1"/>
  <c r="F71" i="14"/>
  <c r="E71" i="14"/>
  <c r="F70" i="14"/>
  <c r="E70" i="14"/>
  <c r="E69" i="14"/>
  <c r="F69" i="14" s="1"/>
  <c r="E68" i="14"/>
  <c r="F68" i="14" s="1"/>
  <c r="F67" i="14"/>
  <c r="E67" i="14"/>
  <c r="E66" i="14"/>
  <c r="F66" i="14" s="1"/>
  <c r="E65" i="14"/>
  <c r="F65" i="14" s="1"/>
  <c r="E64" i="14"/>
  <c r="F64" i="14" s="1"/>
  <c r="F63" i="14"/>
  <c r="E63" i="14"/>
  <c r="F62" i="14"/>
  <c r="E62" i="14"/>
  <c r="E61" i="14"/>
  <c r="F61" i="14" s="1"/>
  <c r="E60" i="14"/>
  <c r="F60" i="14" s="1"/>
  <c r="F59" i="14"/>
  <c r="E59" i="14"/>
  <c r="E58" i="14"/>
  <c r="F58" i="14" s="1"/>
  <c r="E57" i="14"/>
  <c r="F57" i="14" s="1"/>
  <c r="E56" i="14"/>
  <c r="F56" i="14" s="1"/>
  <c r="F55" i="14"/>
  <c r="E55" i="14"/>
  <c r="F54" i="14"/>
  <c r="E54" i="14"/>
  <c r="E53" i="14"/>
  <c r="F53" i="14" s="1"/>
  <c r="E52" i="14"/>
  <c r="F52" i="14" s="1"/>
  <c r="F51" i="14"/>
  <c r="E51" i="14"/>
  <c r="E50" i="14"/>
  <c r="F50" i="14" s="1"/>
  <c r="E49" i="14"/>
  <c r="F49" i="14" s="1"/>
  <c r="E48" i="14"/>
  <c r="F48" i="14" s="1"/>
  <c r="F47" i="14"/>
  <c r="E47" i="14"/>
  <c r="F46" i="14"/>
  <c r="E46" i="14"/>
  <c r="E45" i="14"/>
  <c r="F45" i="14" s="1"/>
  <c r="E44" i="14"/>
  <c r="F44" i="14" s="1"/>
  <c r="F43" i="14"/>
  <c r="E43" i="14"/>
  <c r="E42" i="14"/>
  <c r="F42" i="14" s="1"/>
  <c r="E41" i="14"/>
  <c r="F41" i="14" s="1"/>
  <c r="E40" i="14"/>
  <c r="F40" i="14" s="1"/>
  <c r="F39" i="14"/>
  <c r="E39" i="14"/>
  <c r="F38" i="14"/>
  <c r="E38" i="14"/>
  <c r="E37" i="14"/>
  <c r="F37" i="14" s="1"/>
  <c r="E36" i="14"/>
  <c r="F36" i="14" s="1"/>
  <c r="F35" i="14"/>
  <c r="E35" i="14"/>
  <c r="E34" i="14"/>
  <c r="F34" i="14" s="1"/>
  <c r="E33" i="14"/>
  <c r="F33" i="14" s="1"/>
  <c r="E32" i="14"/>
  <c r="F32" i="14" s="1"/>
  <c r="F31" i="14"/>
  <c r="E31" i="14"/>
  <c r="F30" i="14"/>
  <c r="E30" i="14"/>
  <c r="E29" i="14"/>
  <c r="F29" i="14" s="1"/>
  <c r="E28" i="14"/>
  <c r="F28" i="14" s="1"/>
  <c r="F27" i="14"/>
  <c r="E27" i="14"/>
  <c r="E26" i="14"/>
  <c r="F26" i="14" s="1"/>
  <c r="E25" i="14"/>
  <c r="F25" i="14" s="1"/>
  <c r="E24" i="14"/>
  <c r="F24" i="14" s="1"/>
  <c r="F23" i="14"/>
  <c r="E23" i="14"/>
  <c r="F22" i="14"/>
  <c r="E22" i="14"/>
  <c r="E21" i="14"/>
  <c r="F21" i="14" s="1"/>
  <c r="E20" i="14"/>
  <c r="F20" i="14" s="1"/>
  <c r="F19" i="14"/>
  <c r="E19" i="14"/>
  <c r="E18" i="14"/>
  <c r="F18" i="14" s="1"/>
  <c r="E17" i="14"/>
  <c r="F17" i="14" s="1"/>
  <c r="E16" i="14"/>
  <c r="F16" i="14" s="1"/>
  <c r="F15" i="14"/>
  <c r="E15" i="14"/>
  <c r="F14" i="14"/>
  <c r="E14" i="14"/>
  <c r="E13" i="14"/>
  <c r="F13" i="14" s="1"/>
  <c r="E12" i="14"/>
  <c r="F12" i="14" s="1"/>
  <c r="F11" i="14"/>
  <c r="E11" i="14"/>
  <c r="E10" i="14"/>
  <c r="F10" i="14" s="1"/>
  <c r="E9" i="14"/>
  <c r="F9" i="14" s="1"/>
  <c r="E8" i="14"/>
  <c r="F8" i="14" s="1"/>
  <c r="F7" i="14"/>
  <c r="E7" i="14"/>
  <c r="F6" i="14"/>
  <c r="E6" i="14"/>
  <c r="E5" i="14"/>
  <c r="F5" i="14" s="1"/>
  <c r="E4" i="14"/>
  <c r="F4" i="14" s="1"/>
  <c r="H5" i="13"/>
  <c r="G6" i="13"/>
  <c r="G5" i="13"/>
  <c r="F6" i="13"/>
  <c r="F4" i="13"/>
  <c r="F5" i="13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6" i="7"/>
  <c r="D5" i="12"/>
  <c r="D6" i="12"/>
  <c r="D7" i="12"/>
  <c r="D8" i="12"/>
  <c r="I5" i="8"/>
  <c r="I6" i="8"/>
  <c r="I7" i="8"/>
  <c r="I8" i="8"/>
  <c r="I9" i="8"/>
  <c r="I10" i="8"/>
  <c r="I11" i="8"/>
  <c r="I12" i="8"/>
  <c r="I13" i="8"/>
  <c r="I4" i="8"/>
  <c r="H13" i="8"/>
  <c r="H12" i="8"/>
  <c r="H11" i="8"/>
  <c r="H10" i="8"/>
  <c r="H9" i="8"/>
  <c r="H8" i="8"/>
  <c r="H7" i="8"/>
  <c r="H6" i="8"/>
  <c r="H5" i="8"/>
  <c r="H4" i="8"/>
  <c r="H4" i="13" l="1"/>
  <c r="J6" i="7"/>
  <c r="I305" i="7"/>
  <c r="I304" i="7"/>
  <c r="I303" i="7"/>
  <c r="I302" i="7"/>
  <c r="I301" i="7"/>
  <c r="I300" i="7"/>
  <c r="I299" i="7"/>
  <c r="I298" i="7"/>
  <c r="J298" i="7" s="1"/>
  <c r="I297" i="7"/>
  <c r="I296" i="7"/>
  <c r="I295" i="7"/>
  <c r="I294" i="7"/>
  <c r="I293" i="7"/>
  <c r="I292" i="7"/>
  <c r="I291" i="7"/>
  <c r="I290" i="7"/>
  <c r="I289" i="7"/>
  <c r="I288" i="7"/>
  <c r="I287" i="7"/>
  <c r="I286" i="7"/>
  <c r="I285" i="7"/>
  <c r="I284" i="7"/>
  <c r="I283" i="7"/>
  <c r="I282" i="7"/>
  <c r="J282" i="7" s="1"/>
  <c r="I281" i="7"/>
  <c r="I280" i="7"/>
  <c r="I279" i="7"/>
  <c r="I278" i="7"/>
  <c r="I277" i="7"/>
  <c r="I276" i="7"/>
  <c r="I275" i="7"/>
  <c r="I274" i="7"/>
  <c r="J274" i="7" s="1"/>
  <c r="I273" i="7"/>
  <c r="I272" i="7"/>
  <c r="I271" i="7"/>
  <c r="I270" i="7"/>
  <c r="I269" i="7"/>
  <c r="I268" i="7"/>
  <c r="I267" i="7"/>
  <c r="I266" i="7"/>
  <c r="I265" i="7"/>
  <c r="I264" i="7"/>
  <c r="I263" i="7"/>
  <c r="I262" i="7"/>
  <c r="I261" i="7"/>
  <c r="I260" i="7"/>
  <c r="I259" i="7"/>
  <c r="I258" i="7"/>
  <c r="J258" i="7" s="1"/>
  <c r="I257" i="7"/>
  <c r="I256" i="7"/>
  <c r="I255" i="7"/>
  <c r="I254" i="7"/>
  <c r="I253" i="7"/>
  <c r="I252" i="7"/>
  <c r="I251" i="7"/>
  <c r="I250" i="7"/>
  <c r="J250" i="7" s="1"/>
  <c r="I249" i="7"/>
  <c r="I248" i="7"/>
  <c r="I247" i="7"/>
  <c r="I246" i="7"/>
  <c r="I245" i="7"/>
  <c r="I244" i="7"/>
  <c r="I243" i="7"/>
  <c r="I242" i="7"/>
  <c r="J242" i="7" s="1"/>
  <c r="I241" i="7"/>
  <c r="I240" i="7"/>
  <c r="I239" i="7"/>
  <c r="I238" i="7"/>
  <c r="I237" i="7"/>
  <c r="I236" i="7"/>
  <c r="I235" i="7"/>
  <c r="I234" i="7"/>
  <c r="J234" i="7" s="1"/>
  <c r="I233" i="7"/>
  <c r="I232" i="7"/>
  <c r="I231" i="7"/>
  <c r="I230" i="7"/>
  <c r="I229" i="7"/>
  <c r="I228" i="7"/>
  <c r="I227" i="7"/>
  <c r="I226" i="7"/>
  <c r="J226" i="7" s="1"/>
  <c r="I225" i="7"/>
  <c r="I224" i="7"/>
  <c r="I223" i="7"/>
  <c r="I222" i="7"/>
  <c r="I221" i="7"/>
  <c r="I220" i="7"/>
  <c r="I219" i="7"/>
  <c r="I218" i="7"/>
  <c r="I217" i="7"/>
  <c r="I216" i="7"/>
  <c r="I215" i="7"/>
  <c r="I214" i="7"/>
  <c r="I213" i="7"/>
  <c r="I212" i="7"/>
  <c r="I211" i="7"/>
  <c r="J211" i="7" s="1"/>
  <c r="I210" i="7"/>
  <c r="J210" i="7" s="1"/>
  <c r="I209" i="7"/>
  <c r="I208" i="7"/>
  <c r="I207" i="7"/>
  <c r="I206" i="7"/>
  <c r="I205" i="7"/>
  <c r="I204" i="7"/>
  <c r="I203" i="7"/>
  <c r="J203" i="7" s="1"/>
  <c r="I202" i="7"/>
  <c r="J202" i="7" s="1"/>
  <c r="I201" i="7"/>
  <c r="I200" i="7"/>
  <c r="I199" i="7"/>
  <c r="I198" i="7"/>
  <c r="I197" i="7"/>
  <c r="I196" i="7"/>
  <c r="I195" i="7"/>
  <c r="J195" i="7" s="1"/>
  <c r="I194" i="7"/>
  <c r="J194" i="7" s="1"/>
  <c r="I193" i="7"/>
  <c r="I192" i="7"/>
  <c r="I191" i="7"/>
  <c r="I190" i="7"/>
  <c r="I189" i="7"/>
  <c r="I188" i="7"/>
  <c r="I187" i="7"/>
  <c r="I186" i="7"/>
  <c r="I185" i="7"/>
  <c r="I184" i="7"/>
  <c r="I183" i="7"/>
  <c r="I182" i="7"/>
  <c r="I181" i="7"/>
  <c r="I180" i="7"/>
  <c r="I179" i="7"/>
  <c r="J179" i="7" s="1"/>
  <c r="I178" i="7"/>
  <c r="J178" i="7" s="1"/>
  <c r="I177" i="7"/>
  <c r="I176" i="7"/>
  <c r="I175" i="7"/>
  <c r="I174" i="7"/>
  <c r="I173" i="7"/>
  <c r="I172" i="7"/>
  <c r="I171" i="7"/>
  <c r="J171" i="7" s="1"/>
  <c r="I170" i="7"/>
  <c r="J170" i="7" s="1"/>
  <c r="I169" i="7"/>
  <c r="I168" i="7"/>
  <c r="I167" i="7"/>
  <c r="I166" i="7"/>
  <c r="I165" i="7"/>
  <c r="I164" i="7"/>
  <c r="I163" i="7"/>
  <c r="J163" i="7" s="1"/>
  <c r="I162" i="7"/>
  <c r="J162" i="7" s="1"/>
  <c r="I161" i="7"/>
  <c r="I160" i="7"/>
  <c r="I159" i="7"/>
  <c r="I158" i="7"/>
  <c r="I157" i="7"/>
  <c r="I156" i="7"/>
  <c r="I155" i="7"/>
  <c r="I154" i="7"/>
  <c r="I153" i="7"/>
  <c r="I152" i="7"/>
  <c r="I151" i="7"/>
  <c r="I150" i="7"/>
  <c r="I149" i="7"/>
  <c r="I148" i="7"/>
  <c r="I147" i="7"/>
  <c r="J147" i="7" s="1"/>
  <c r="I146" i="7"/>
  <c r="J146" i="7" s="1"/>
  <c r="I145" i="7"/>
  <c r="I144" i="7"/>
  <c r="I143" i="7"/>
  <c r="I142" i="7"/>
  <c r="I141" i="7"/>
  <c r="I140" i="7"/>
  <c r="I139" i="7"/>
  <c r="J139" i="7" s="1"/>
  <c r="I138" i="7"/>
  <c r="J138" i="7" s="1"/>
  <c r="I137" i="7"/>
  <c r="I136" i="7"/>
  <c r="I135" i="7"/>
  <c r="I134" i="7"/>
  <c r="I133" i="7"/>
  <c r="I132" i="7"/>
  <c r="I131" i="7"/>
  <c r="J131" i="7" s="1"/>
  <c r="I130" i="7"/>
  <c r="J130" i="7" s="1"/>
  <c r="I129" i="7"/>
  <c r="I128" i="7"/>
  <c r="I127" i="7"/>
  <c r="I126" i="7"/>
  <c r="I125" i="7"/>
  <c r="I124" i="7"/>
  <c r="I123" i="7"/>
  <c r="I122" i="7"/>
  <c r="I121" i="7"/>
  <c r="I120" i="7"/>
  <c r="I119" i="7"/>
  <c r="I118" i="7"/>
  <c r="I117" i="7"/>
  <c r="I116" i="7"/>
  <c r="I115" i="7"/>
  <c r="J115" i="7" s="1"/>
  <c r="I114" i="7"/>
  <c r="J114" i="7" s="1"/>
  <c r="I113" i="7"/>
  <c r="I112" i="7"/>
  <c r="I111" i="7"/>
  <c r="I110" i="7"/>
  <c r="I109" i="7"/>
  <c r="I108" i="7"/>
  <c r="I107" i="7"/>
  <c r="J107" i="7" s="1"/>
  <c r="I106" i="7"/>
  <c r="J106" i="7" s="1"/>
  <c r="I105" i="7"/>
  <c r="I104" i="7"/>
  <c r="I103" i="7"/>
  <c r="I102" i="7"/>
  <c r="I101" i="7"/>
  <c r="I100" i="7"/>
  <c r="I99" i="7"/>
  <c r="J99" i="7" s="1"/>
  <c r="I98" i="7"/>
  <c r="J98" i="7" s="1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J83" i="7" s="1"/>
  <c r="I82" i="7"/>
  <c r="J82" i="7" s="1"/>
  <c r="I81" i="7"/>
  <c r="I80" i="7"/>
  <c r="I79" i="7"/>
  <c r="I78" i="7"/>
  <c r="I77" i="7"/>
  <c r="I76" i="7"/>
  <c r="I75" i="7"/>
  <c r="J75" i="7" s="1"/>
  <c r="I74" i="7"/>
  <c r="J74" i="7" s="1"/>
  <c r="I73" i="7"/>
  <c r="I72" i="7"/>
  <c r="I71" i="7"/>
  <c r="I70" i="7"/>
  <c r="I69" i="7"/>
  <c r="I68" i="7"/>
  <c r="I67" i="7"/>
  <c r="J67" i="7" s="1"/>
  <c r="I66" i="7"/>
  <c r="J66" i="7" s="1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J51" i="7" s="1"/>
  <c r="I50" i="7"/>
  <c r="J50" i="7" s="1"/>
  <c r="I49" i="7"/>
  <c r="I48" i="7"/>
  <c r="I47" i="7"/>
  <c r="I46" i="7"/>
  <c r="I45" i="7"/>
  <c r="I44" i="7"/>
  <c r="I43" i="7"/>
  <c r="J43" i="7" s="1"/>
  <c r="I42" i="7"/>
  <c r="J42" i="7" s="1"/>
  <c r="I41" i="7"/>
  <c r="I40" i="7"/>
  <c r="I39" i="7"/>
  <c r="I38" i="7"/>
  <c r="I37" i="7"/>
  <c r="I36" i="7"/>
  <c r="I35" i="7"/>
  <c r="J35" i="7" s="1"/>
  <c r="I34" i="7"/>
  <c r="J34" i="7" s="1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J19" i="7" s="1"/>
  <c r="I18" i="7"/>
  <c r="J104" i="7" s="1"/>
  <c r="I17" i="7"/>
  <c r="I16" i="7"/>
  <c r="I15" i="7"/>
  <c r="I14" i="7"/>
  <c r="I13" i="7"/>
  <c r="I12" i="7"/>
  <c r="I11" i="7"/>
  <c r="J11" i="7" s="1"/>
  <c r="I10" i="7"/>
  <c r="J290" i="7" s="1"/>
  <c r="I9" i="7"/>
  <c r="I8" i="7"/>
  <c r="I7" i="7"/>
  <c r="I6" i="7"/>
  <c r="J60" i="7" l="1"/>
  <c r="J92" i="7"/>
  <c r="J156" i="7"/>
  <c r="J256" i="7"/>
  <c r="J8" i="7"/>
  <c r="J18" i="7"/>
  <c r="J93" i="7"/>
  <c r="J136" i="7"/>
  <c r="J189" i="7"/>
  <c r="J268" i="7"/>
  <c r="J31" i="7"/>
  <c r="J270" i="7"/>
  <c r="J32" i="7"/>
  <c r="J260" i="7"/>
  <c r="J23" i="7"/>
  <c r="J65" i="7"/>
  <c r="J97" i="7"/>
  <c r="J119" i="7"/>
  <c r="J161" i="7"/>
  <c r="J261" i="7"/>
  <c r="J24" i="7"/>
  <c r="J109" i="7"/>
  <c r="J173" i="7"/>
  <c r="J286" i="7"/>
  <c r="J287" i="7"/>
  <c r="J15" i="7"/>
  <c r="J25" i="7"/>
  <c r="J47" i="7"/>
  <c r="J57" i="7"/>
  <c r="J79" i="7"/>
  <c r="J89" i="7"/>
  <c r="J111" i="7"/>
  <c r="J143" i="7"/>
  <c r="J153" i="7"/>
  <c r="J175" i="7"/>
  <c r="J185" i="7"/>
  <c r="J207" i="7"/>
  <c r="J217" i="7"/>
  <c r="J229" i="7"/>
  <c r="J252" i="7"/>
  <c r="J264" i="7"/>
  <c r="J275" i="7"/>
  <c r="J301" i="7"/>
  <c r="J28" i="7"/>
  <c r="J124" i="7"/>
  <c r="J291" i="7"/>
  <c r="J61" i="7"/>
  <c r="J125" i="7"/>
  <c r="J168" i="7"/>
  <c r="J200" i="7"/>
  <c r="J222" i="7"/>
  <c r="J233" i="7"/>
  <c r="J245" i="7"/>
  <c r="J280" i="7"/>
  <c r="J62" i="7"/>
  <c r="J223" i="7"/>
  <c r="J293" i="7"/>
  <c r="J9" i="7"/>
  <c r="J41" i="7"/>
  <c r="J73" i="7"/>
  <c r="J105" i="7"/>
  <c r="J159" i="7"/>
  <c r="J191" i="7"/>
  <c r="J281" i="7"/>
  <c r="J52" i="7"/>
  <c r="J84" i="7"/>
  <c r="J180" i="7"/>
  <c r="J224" i="7"/>
  <c r="J271" i="7"/>
  <c r="J53" i="7"/>
  <c r="J96" i="7"/>
  <c r="J128" i="7"/>
  <c r="J160" i="7"/>
  <c r="J192" i="7"/>
  <c r="J213" i="7"/>
  <c r="J248" i="7"/>
  <c r="J259" i="7"/>
  <c r="J118" i="7"/>
  <c r="J272" i="7"/>
  <c r="J87" i="7"/>
  <c r="J13" i="7"/>
  <c r="J45" i="7"/>
  <c r="J56" i="7"/>
  <c r="J77" i="7"/>
  <c r="J88" i="7"/>
  <c r="J120" i="7"/>
  <c r="J141" i="7"/>
  <c r="J152" i="7"/>
  <c r="J184" i="7"/>
  <c r="J205" i="7"/>
  <c r="J216" i="7"/>
  <c r="J227" i="7"/>
  <c r="J263" i="7"/>
  <c r="J299" i="7"/>
  <c r="J14" i="7"/>
  <c r="J46" i="7"/>
  <c r="J78" i="7"/>
  <c r="J110" i="7"/>
  <c r="J142" i="7"/>
  <c r="J174" i="7"/>
  <c r="J206" i="7"/>
  <c r="J228" i="7"/>
  <c r="J240" i="7"/>
  <c r="J251" i="7"/>
  <c r="J300" i="7"/>
  <c r="J121" i="7"/>
  <c r="J36" i="7"/>
  <c r="J68" i="7"/>
  <c r="J100" i="7"/>
  <c r="J132" i="7"/>
  <c r="J164" i="7"/>
  <c r="J196" i="7"/>
  <c r="J230" i="7"/>
  <c r="J241" i="7"/>
  <c r="J253" i="7"/>
  <c r="J276" i="7"/>
  <c r="J302" i="7"/>
  <c r="J188" i="7"/>
  <c r="J221" i="7"/>
  <c r="J244" i="7"/>
  <c r="J40" i="7"/>
  <c r="J292" i="7"/>
  <c r="J30" i="7"/>
  <c r="J94" i="7"/>
  <c r="J126" i="7"/>
  <c r="J158" i="7"/>
  <c r="J190" i="7"/>
  <c r="J257" i="7"/>
  <c r="J269" i="7"/>
  <c r="J63" i="7"/>
  <c r="J95" i="7"/>
  <c r="J127" i="7"/>
  <c r="J137" i="7"/>
  <c r="J169" i="7"/>
  <c r="J201" i="7"/>
  <c r="J294" i="7"/>
  <c r="J20" i="7"/>
  <c r="J116" i="7"/>
  <c r="J148" i="7"/>
  <c r="J235" i="7"/>
  <c r="J295" i="7"/>
  <c r="J10" i="7"/>
  <c r="J64" i="7"/>
  <c r="J85" i="7"/>
  <c r="J117" i="7"/>
  <c r="J149" i="7"/>
  <c r="J181" i="7"/>
  <c r="J236" i="7"/>
  <c r="J22" i="7"/>
  <c r="J54" i="7"/>
  <c r="J150" i="7"/>
  <c r="J182" i="7"/>
  <c r="J214" i="7"/>
  <c r="J225" i="7"/>
  <c r="J237" i="7"/>
  <c r="J55" i="7"/>
  <c r="J129" i="7"/>
  <c r="J183" i="7"/>
  <c r="J238" i="7"/>
  <c r="J249" i="7"/>
  <c r="J284" i="7"/>
  <c r="J44" i="7"/>
  <c r="J108" i="7"/>
  <c r="J140" i="7"/>
  <c r="J273" i="7"/>
  <c r="J16" i="7"/>
  <c r="J26" i="7"/>
  <c r="J37" i="7"/>
  <c r="J58" i="7"/>
  <c r="J69" i="7"/>
  <c r="J80" i="7"/>
  <c r="J90" i="7"/>
  <c r="J101" i="7"/>
  <c r="J112" i="7"/>
  <c r="J122" i="7"/>
  <c r="J133" i="7"/>
  <c r="J144" i="7"/>
  <c r="J154" i="7"/>
  <c r="J165" i="7"/>
  <c r="J176" i="7"/>
  <c r="J186" i="7"/>
  <c r="J197" i="7"/>
  <c r="J208" i="7"/>
  <c r="J218" i="7"/>
  <c r="J231" i="7"/>
  <c r="J254" i="7"/>
  <c r="J265" i="7"/>
  <c r="J277" i="7"/>
  <c r="J289" i="7"/>
  <c r="J303" i="7"/>
  <c r="J267" i="7"/>
  <c r="J29" i="7"/>
  <c r="J72" i="7"/>
  <c r="J157" i="7"/>
  <c r="J246" i="7"/>
  <c r="J247" i="7"/>
  <c r="J212" i="7"/>
  <c r="J21" i="7"/>
  <c r="J86" i="7"/>
  <c r="J283" i="7"/>
  <c r="J33" i="7"/>
  <c r="J151" i="7"/>
  <c r="J193" i="7"/>
  <c r="J215" i="7"/>
  <c r="J172" i="7"/>
  <c r="J204" i="7"/>
  <c r="J262" i="7"/>
  <c r="J48" i="7"/>
  <c r="J297" i="7"/>
  <c r="J38" i="7"/>
  <c r="J70" i="7"/>
  <c r="J102" i="7"/>
  <c r="J134" i="7"/>
  <c r="J166" i="7"/>
  <c r="J198" i="7"/>
  <c r="J219" i="7"/>
  <c r="J255" i="7"/>
  <c r="J278" i="7"/>
  <c r="J304" i="7"/>
  <c r="J12" i="7"/>
  <c r="J76" i="7"/>
  <c r="J239" i="7"/>
  <c r="J285" i="7"/>
  <c r="J7" i="7"/>
  <c r="J17" i="7"/>
  <c r="J27" i="7"/>
  <c r="J39" i="7"/>
  <c r="J49" i="7"/>
  <c r="J59" i="7"/>
  <c r="J71" i="7"/>
  <c r="J81" i="7"/>
  <c r="J91" i="7"/>
  <c r="J103" i="7"/>
  <c r="J113" i="7"/>
  <c r="J123" i="7"/>
  <c r="J135" i="7"/>
  <c r="J145" i="7"/>
  <c r="J155" i="7"/>
  <c r="J167" i="7"/>
  <c r="J177" i="7"/>
  <c r="J187" i="7"/>
  <c r="J199" i="7"/>
  <c r="J209" i="7"/>
  <c r="J220" i="7"/>
  <c r="J232" i="7"/>
  <c r="J243" i="7"/>
  <c r="J266" i="7"/>
  <c r="J279" i="7"/>
  <c r="J305" i="7"/>
  <c r="J296" i="7"/>
  <c r="J28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B6239F-CEE3-45FD-9217-1764FF1FF262}" keepAlive="1" name="Query - Posts" description="Connection to the 'Posts' query in the workbook." type="5" refreshedVersion="6" background="1" saveData="1">
    <dbPr connection="Provider=Microsoft.Mashup.OleDb.1;Data Source=$Workbook$;Location=Posts;Extended Properties=&quot;&quot;" command="SELECT * FROM [Posts]"/>
  </connection>
  <connection id="2" xr16:uid="{C6665BE6-7B11-4B70-B0F0-30B71201ABD3}" keepAlive="1" name="Query - Posts (2)" description="Connection to the 'Posts (2)' query in the workbook." type="5" refreshedVersion="6" background="1" saveData="1">
    <dbPr connection="Provider=Microsoft.Mashup.OleDb.1;Data Source=$Workbook$;Location=Posts (2);Extended Properties=&quot;&quot;" command="SELECT * FROM [Posts (2)]"/>
  </connection>
</connections>
</file>

<file path=xl/sharedStrings.xml><?xml version="1.0" encoding="utf-8"?>
<sst xmlns="http://schemas.openxmlformats.org/spreadsheetml/2006/main" count="8385" uniqueCount="522">
  <si>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</si>
  <si>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</si>
  <si>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</si>
  <si>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</si>
  <si>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</si>
  <si>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</si>
  <si>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</si>
  <si>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</si>
  <si>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</si>
  <si>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</si>
  <si>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</si>
  <si>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</si>
  <si>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</si>
  <si>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</si>
  <si>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</si>
  <si>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</si>
  <si>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</si>
  <si>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</si>
  <si>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</si>
  <si>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</si>
  <si>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</si>
  <si>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</si>
  <si>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</si>
  <si>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</si>
  <si>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</si>
  <si>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</si>
  <si>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</si>
  <si>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</si>
  <si>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</si>
  <si>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</si>
  <si>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</si>
  <si>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</si>
  <si>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</si>
  <si>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</si>
  <si>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</si>
  <si>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</si>
  <si>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</si>
  <si>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</si>
  <si>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</si>
  <si>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</si>
  <si>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</si>
  <si>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</si>
  <si>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</si>
  <si>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</si>
  <si>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</si>
  <si>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</si>
  <si>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</si>
  <si>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</si>
  <si>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</si>
  <si>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</si>
  <si>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</si>
  <si>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</si>
  <si>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</si>
  <si>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</si>
  <si>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</si>
  <si>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</si>
  <si>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</si>
  <si>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</si>
  <si>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</si>
  <si>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</si>
  <si>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</si>
  <si>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</si>
  <si>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</si>
  <si>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</si>
  <si>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</si>
  <si>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</si>
  <si>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</si>
  <si>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</si>
  <si>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</si>
  <si>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</si>
  <si>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</si>
  <si>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</si>
  <si>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</si>
  <si>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</si>
  <si>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</si>
  <si>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</si>
  <si>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</si>
  <si>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</si>
  <si>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</si>
  <si>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</si>
  <si>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</si>
  <si>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</si>
  <si>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</si>
  <si>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</si>
  <si>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</si>
  <si>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</si>
  <si>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</si>
  <si>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</si>
  <si>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</si>
  <si>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</si>
  <si>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</si>
  <si>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</si>
  <si>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</si>
  <si>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</si>
  <si>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</si>
  <si>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</si>
  <si>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</si>
  <si>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</si>
  <si>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</si>
  <si>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</si>
  <si>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</si>
  <si>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</si>
  <si>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</si>
  <si>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</si>
  <si>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</si>
  <si>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</si>
  <si>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</si>
  <si>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</si>
  <si>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</si>
  <si>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</si>
  <si>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</si>
  <si>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</si>
  <si>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</si>
  <si>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</si>
  <si>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</si>
  <si>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</si>
  <si>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</si>
  <si>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</si>
  <si>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</si>
  <si>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</si>
  <si>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</si>
  <si>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</si>
  <si>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</si>
  <si>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</si>
  <si>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</si>
  <si>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</si>
  <si>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</si>
  <si>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</si>
  <si>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</si>
  <si>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</si>
  <si>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</si>
  <si>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</si>
  <si>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</si>
  <si>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</si>
  <si>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</si>
  <si>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</si>
  <si>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</si>
  <si>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</si>
  <si>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</si>
  <si>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</si>
  <si>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</si>
  <si>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</si>
  <si>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</si>
  <si>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</si>
  <si>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</si>
  <si>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</si>
  <si>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</si>
  <si>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</si>
  <si>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</si>
  <si>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</si>
  <si>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</si>
  <si>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</si>
  <si>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</si>
  <si>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</si>
  <si>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</si>
  <si>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</si>
  <si>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</si>
  <si>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</si>
  <si>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</si>
  <si>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</si>
  <si>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</si>
  <si>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</si>
  <si>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</si>
  <si>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</si>
  <si>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</si>
  <si>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</si>
  <si>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</si>
  <si>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</si>
  <si>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</si>
  <si>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</si>
  <si>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</si>
  <si>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</si>
  <si>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</si>
  <si>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</si>
  <si>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</si>
  <si>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</si>
  <si>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</si>
  <si>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</si>
  <si>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</si>
  <si>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</si>
  <si>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</si>
  <si>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</si>
  <si>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</si>
  <si>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</si>
  <si>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</si>
  <si>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</si>
  <si>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</si>
  <si>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</si>
  <si>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</si>
  <si>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</si>
  <si>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</si>
  <si>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</si>
  <si>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</si>
  <si>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</si>
  <si>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</si>
  <si>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</si>
  <si>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</si>
  <si>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</si>
  <si>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</si>
  <si>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</si>
  <si>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</si>
  <si>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</si>
  <si>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</si>
  <si>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</si>
  <si>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</si>
  <si>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</si>
  <si>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</si>
  <si>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</si>
  <si>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</si>
  <si>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</si>
  <si>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</si>
  <si>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</si>
  <si>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</si>
  <si>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</si>
  <si>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</si>
  <si>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</si>
  <si>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</si>
  <si>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</si>
  <si>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</si>
  <si>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</si>
  <si>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</si>
  <si>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</si>
  <si>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</si>
  <si>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</si>
  <si>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</si>
  <si>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</si>
  <si>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</si>
  <si>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</si>
  <si>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</si>
  <si>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</si>
  <si>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</si>
  <si>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</si>
  <si>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</si>
  <si>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</si>
  <si>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</si>
  <si>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</si>
  <si>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</si>
  <si>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</si>
  <si>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</si>
  <si>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</si>
  <si>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</si>
  <si>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</si>
  <si>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</si>
  <si>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</si>
  <si>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</si>
  <si>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</si>
  <si>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</si>
  <si>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</si>
  <si>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</si>
  <si>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</si>
  <si>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</si>
  <si>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</si>
  <si>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</si>
  <si>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</si>
  <si>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</si>
  <si>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</si>
  <si>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</si>
  <si>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</si>
  <si>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</si>
  <si>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</si>
  <si>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</si>
  <si>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</si>
  <si>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</si>
  <si>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</si>
  <si>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</si>
  <si>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</si>
  <si>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</si>
  <si>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</si>
  <si>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</si>
  <si>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</si>
  <si>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</si>
  <si>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</si>
  <si>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</si>
  <si>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</si>
  <si>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</si>
  <si>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</si>
  <si>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</si>
  <si>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</si>
  <si>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</si>
  <si>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</si>
  <si>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</si>
  <si>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</si>
  <si>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</si>
  <si>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</si>
  <si>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</si>
  <si>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</si>
  <si>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</si>
  <si>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</si>
  <si>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</si>
  <si>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</si>
  <si>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</si>
  <si>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</si>
  <si>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</si>
  <si>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</si>
  <si>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</si>
  <si>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</si>
  <si>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</si>
  <si>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</si>
  <si>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</si>
  <si>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</si>
  <si>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</si>
  <si>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</si>
  <si>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</si>
  <si>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</si>
  <si>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</si>
  <si>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</si>
  <si>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</si>
  <si>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</si>
  <si>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</si>
  <si>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</si>
  <si>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</si>
  <si>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</si>
  <si>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</si>
  <si>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</si>
  <si>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</si>
  <si>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</si>
  <si>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</si>
  <si>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</si>
  <si>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</si>
  <si>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</si>
  <si>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</si>
  <si>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</si>
  <si>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</si>
  <si>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</si>
  <si>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</si>
  <si>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</si>
  <si>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</si>
  <si>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</si>
  <si>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</si>
  <si>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</si>
  <si>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</si>
  <si>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</si>
  <si>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</si>
  <si>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</si>
  <si>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</si>
  <si>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</si>
  <si>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</si>
  <si>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</si>
  <si>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</si>
  <si>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</si>
  <si>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</si>
  <si>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</si>
  <si>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</si>
  <si>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</si>
  <si>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</si>
  <si>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</si>
  <si>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</si>
  <si>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</si>
  <si>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</si>
  <si>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</si>
  <si>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</si>
  <si>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</si>
  <si>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</si>
  <si>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</si>
  <si>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</si>
  <si>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</si>
  <si>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</si>
  <si>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</si>
  <si>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</si>
  <si>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</si>
  <si>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</si>
  <si>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</si>
  <si>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</si>
  <si>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</si>
  <si>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</si>
  <si>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</si>
  <si>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</si>
  <si>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</si>
  <si>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</si>
  <si>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</si>
  <si>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</si>
  <si>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</si>
  <si>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</si>
  <si>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TASK 1: DATA CLEANING SUMMARY</t>
  </si>
  <si>
    <t>Step</t>
  </si>
  <si>
    <t>Action</t>
  </si>
  <si>
    <t>Result</t>
  </si>
  <si>
    <t>1. Remove Duplicates</t>
  </si>
  <si>
    <t>Checked Post ID</t>
  </si>
  <si>
    <t>300 posts retained (0 duplicates)</t>
  </si>
  <si>
    <t>2. Standardize Dates</t>
  </si>
  <si>
    <t>Converted to datetime</t>
  </si>
  <si>
    <t>All dates in YYYY-MM-DD format</t>
  </si>
  <si>
    <t>3. Standardize Platforms</t>
  </si>
  <si>
    <t>Instagram, Twitter, Youtube</t>
  </si>
  <si>
    <t>4. Format Numbers</t>
  </si>
  <si>
    <t>Convert to integers</t>
  </si>
  <si>
    <t>All numeric columns formatted</t>
  </si>
  <si>
    <t>5. Split Hashtags</t>
  </si>
  <si>
    <t>Expand comma-separated</t>
  </si>
  <si>
    <t>483 rows created from 300 posts</t>
  </si>
  <si>
    <t>Process adopted</t>
  </si>
  <si>
    <t>selest post ID, data tab, remove duplicates</t>
  </si>
  <si>
    <t>format cells-date</t>
  </si>
  <si>
    <t>PROPER(TRIM(B2))</t>
  </si>
  <si>
    <t>Title case(proper), trim spaces</t>
  </si>
  <si>
    <t>format cells-numbers</t>
  </si>
  <si>
    <t>Youtube</t>
  </si>
  <si>
    <t>#MusicForEveryone</t>
  </si>
  <si>
    <t>#SpotifyWrapped</t>
  </si>
  <si>
    <t xml:space="preserve">done through power query - transform tab-split column by delimiter,-each occurrence of the delimiter, split into rows, </t>
  </si>
  <si>
    <t>Engagement Rate (%)</t>
  </si>
  <si>
    <t>Rank</t>
  </si>
  <si>
    <t xml:space="preserve">TASK -2 : Engagement rate analysis </t>
  </si>
  <si>
    <t>Formula: Engagement Rate = (Likes + Comments + Shares) / Impressions × 100</t>
  </si>
  <si>
    <t>Top 10  Posts by Engagement Rate</t>
  </si>
  <si>
    <t>Row Labels</t>
  </si>
  <si>
    <t>Sum of Likes</t>
  </si>
  <si>
    <t>Sum of Shares</t>
  </si>
  <si>
    <t>Sum of Comments</t>
  </si>
  <si>
    <t>Count of Post ID</t>
  </si>
  <si>
    <t>Avg Clicks Per Post</t>
  </si>
  <si>
    <t>RANK</t>
  </si>
  <si>
    <t>HASHTAG PERFORMANCE - AVG CLICKS PER POST</t>
  </si>
  <si>
    <t>Total Likes</t>
  </si>
  <si>
    <t>Total Comments</t>
  </si>
  <si>
    <t>Total Shares</t>
  </si>
  <si>
    <t>Total Impressions</t>
  </si>
  <si>
    <t>Total Engagement</t>
  </si>
  <si>
    <t>Task -3: PLATFROM PERFORMANCE ANALYSIS</t>
  </si>
  <si>
    <t>ROI</t>
  </si>
  <si>
    <t>Total engagement</t>
  </si>
  <si>
    <t>Week</t>
  </si>
  <si>
    <t>New Followers</t>
  </si>
  <si>
    <t>Net Growth</t>
  </si>
  <si>
    <t>Growth Rate (%)</t>
  </si>
  <si>
    <t>WEEKLY FOLLOWER GROWTH BY PLATFORM</t>
  </si>
  <si>
    <t>Total Ad Spend ($)</t>
  </si>
  <si>
    <t>Metric</t>
  </si>
  <si>
    <t>Finding</t>
  </si>
  <si>
    <t>Best Platform (Engagement)</t>
  </si>
  <si>
    <t>Engagement Rate</t>
  </si>
  <si>
    <t>ROI (Engagement per $)</t>
  </si>
  <si>
    <t>Overall Ranking</t>
  </si>
  <si>
    <t>#1 in all metrics</t>
  </si>
  <si>
    <t>KEY FINDINGS</t>
  </si>
  <si>
    <t>Budget Allocation:</t>
  </si>
  <si>
    <t>Twitter: 60-70% of budget</t>
  </si>
  <si>
    <t>Other Platforms:</t>
  </si>
  <si>
    <t>30-40% combined</t>
  </si>
  <si>
    <t>- Highest engagement rate</t>
  </si>
  <si>
    <t>- Best ROI on ad spend</t>
  </si>
  <si>
    <t>- Strong follower growth</t>
  </si>
  <si>
    <t>Recommendation</t>
  </si>
  <si>
    <t>FOCUS:</t>
  </si>
  <si>
    <t xml:space="preserve"> On Twitter</t>
  </si>
  <si>
    <t>Justification</t>
  </si>
  <si>
    <t>Total Enagagement</t>
  </si>
  <si>
    <t>Average of Total Enagagement</t>
  </si>
  <si>
    <t>Average of Clicks</t>
  </si>
  <si>
    <t>Sum of Impressions</t>
  </si>
  <si>
    <t>Frenquency</t>
  </si>
  <si>
    <t>TASK:4 Most Frequent Hashtags</t>
  </si>
  <si>
    <t>Frequency</t>
  </si>
  <si>
    <t>Ranked by Average Hashtags</t>
  </si>
  <si>
    <t>2#DiscoverWeekly (130 uses)</t>
  </si>
  <si>
    <t>1.#NowPlaying (143 uses)</t>
  </si>
  <si>
    <t>3.#SoundtrackOfLife (109 uses)</t>
  </si>
  <si>
    <t>**Most Frequent Hashtags**</t>
  </si>
  <si>
    <t>**Best Performing Hashtags**</t>
  </si>
  <si>
    <t>1.#MusicForEveryone (3,637 avg engagement)</t>
  </si>
  <si>
    <t>2.#SpotifyWrapped (3,615 avg engagement)</t>
  </si>
  <si>
    <t>3.#DiscoverWeekly (3,580 avg engagement)</t>
  </si>
  <si>
    <t>Toatal engagement</t>
  </si>
  <si>
    <t>Sum of Toatal engagement</t>
  </si>
  <si>
    <t>Posts</t>
  </si>
  <si>
    <t>CONTENT TYPE PERFORMANCE BY PLATFORM</t>
  </si>
  <si>
    <t>**Best Content-Platform Combinations**</t>
  </si>
  <si>
    <t>1.Story on  Twitter</t>
  </si>
  <si>
    <t>2.Text on Instagarm</t>
  </si>
  <si>
    <t>3. Reel on Youtube</t>
  </si>
  <si>
    <t>CAMPAIGN</t>
  </si>
  <si>
    <t>POSTS</t>
  </si>
  <si>
    <t>TOTAL ENGAGEMENT</t>
  </si>
  <si>
    <t>BUDGET</t>
  </si>
  <si>
    <t>STATUS</t>
  </si>
  <si>
    <t>ENGAGEMENT UPLIFT ANALYSIS (During vs Before Campaign)</t>
  </si>
  <si>
    <t xml:space="preserve">Before Campaign </t>
  </si>
  <si>
    <t xml:space="preserve">During Campaign </t>
  </si>
  <si>
    <t xml:space="preserve">Uplift </t>
  </si>
  <si>
    <t xml:space="preserve">Trend </t>
  </si>
  <si>
    <t>Campaign</t>
  </si>
  <si>
    <t>TASK 5: CAMPAIGN ROI RANKING</t>
  </si>
  <si>
    <t>TOTAL IMPRESSIONS</t>
  </si>
  <si>
    <t>AVG IMPRESSIONS</t>
  </si>
  <si>
    <t>TOTAL LIKES</t>
  </si>
  <si>
    <t>AVG LIKES</t>
  </si>
  <si>
    <t>TOTAL CLICKS</t>
  </si>
  <si>
    <t>AVG CLICKS</t>
  </si>
  <si>
    <t>TASK:5 CAMPAIGN EFFECTIVENESS ANALYSIS</t>
  </si>
  <si>
    <t>TASK:5 FOLLOWER GROWTH BY CAMPAIGN</t>
  </si>
  <si>
    <t xml:space="preserve">RANK </t>
  </si>
  <si>
    <t>NEW FOLLOWERS</t>
  </si>
  <si>
    <t>UNFOLLW</t>
  </si>
  <si>
    <t>NET GAIN</t>
  </si>
  <si>
    <t>KEY INSIGHTS</t>
  </si>
  <si>
    <t>Best Uplift Campaign</t>
  </si>
  <si>
    <t>IndieWave (+10.96%)</t>
  </si>
  <si>
    <t>Only Positive Uplift</t>
  </si>
  <si>
    <t>IndieWave - all others were below baseline</t>
  </si>
  <si>
    <t>Biggest Drop</t>
  </si>
  <si>
    <t>SummerBeats (-20.78%)</t>
  </si>
  <si>
    <t>Key Insight</t>
  </si>
  <si>
    <t>Campaigns need stronger content strategy to beat organic baseline</t>
  </si>
  <si>
    <t>Task 6: Follower Retention &amp; Loyalty</t>
  </si>
  <si>
    <t>WEEK</t>
  </si>
  <si>
    <t>Sum of New_Followers</t>
  </si>
  <si>
    <t>Sum of Unfollows</t>
  </si>
  <si>
    <t>Sum of Ad_Spend</t>
  </si>
  <si>
    <t>Sum of Net Follower Gain</t>
  </si>
  <si>
    <t>3 week moving AVG</t>
  </si>
  <si>
    <t>MOVING AVG CHART</t>
  </si>
  <si>
    <t>Correlation (Ad Spend vs Net Gain)</t>
  </si>
  <si>
    <t>Correlation (Ad Spend vs New Followers)</t>
  </si>
  <si>
    <t>WEEKS</t>
  </si>
  <si>
    <t>Both = Weak Positive = Ad spend barely affects follower growth</t>
  </si>
  <si>
    <t>Ad Spend vs. Engagement charts</t>
  </si>
  <si>
    <t>Key Findings</t>
  </si>
  <si>
    <t>Story on Twitter = Winner — 272,103 likes (highest)</t>
  </si>
  <si>
    <t>Text on Instagram = 2nd best — 189,658 likes</t>
  </si>
  <si>
    <t>Reels only on YouTube — 89,871 likes</t>
  </si>
  <si>
    <t>right click , transform and trim to remove spaces before and after each hashtag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</si>
</sst>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₹&quot;\ #,##0.00;&quot;₹&quot;\ \-#,##0.00"/>
    <numFmt numFmtId="164" formatCode="[$-14009]yyyy/mm/dd;@"/>
    <numFmt numFmtId="165" formatCode="0;[Red]0"/>
    <numFmt numFmtId="166" formatCode="#,##0;[Red]#,##0"/>
    <numFmt numFmtId="167" formatCode="0.00;[Red]0.00"/>
    <numFmt numFmtId="168" formatCode="#,##0.00;[Red]#,##0.00"/>
  </numFmts>
  <fonts count="4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name val="Calibri"/>
      <family val="2"/>
    </font>
    <font>
      <b/>
      <sz val="11"/>
      <color rgb="FF000000"/>
      <name val="&quot;Aptos Narrow&quot;"/>
    </font>
    <font>
      <b/>
      <sz val="11"/>
      <color rgb="FFFFFFFF"/>
      <name val="Calibri"/>
      <family val="2"/>
    </font>
    <font>
      <i/>
      <sz val="11"/>
      <name val="Calibri"/>
      <family val="2"/>
    </font>
    <font>
      <b/>
      <sz val="11"/>
      <color theme="2"/>
      <name val="Calibri"/>
      <family val="2"/>
    </font>
    <font>
      <b/>
      <sz val="11"/>
      <color theme="1"/>
      <name val="Arial Black"/>
      <family val="2"/>
    </font>
    <font>
      <b/>
      <sz val="11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 val="double"/>
      <sz val="12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1"/>
      <color theme="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.5"/>
      <color theme="1"/>
      <name val="Courier New"/>
      <family val="3"/>
    </font>
    <font>
      <b/>
      <u/>
      <sz val="11"/>
      <color theme="7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.5"/>
      <color theme="1"/>
      <name val="Constantia"/>
      <family val="1"/>
    </font>
    <font>
      <b/>
      <sz val="11"/>
      <color rgb="FF7030A0"/>
      <name val="Calibri"/>
      <family val="2"/>
      <scheme val="minor"/>
    </font>
    <font>
      <sz val="11"/>
      <color rgb="FFC00000"/>
      <name val="&quot;Aptos Narrow&quot;"/>
    </font>
    <font>
      <b/>
      <sz val="11"/>
      <color theme="1"/>
      <name val="Constantia"/>
      <family val="1"/>
    </font>
    <font>
      <b/>
      <sz val="10.5"/>
      <color theme="1"/>
      <name val="Footlight MT Light"/>
      <family val="1"/>
    </font>
    <font>
      <sz val="11"/>
      <color theme="0"/>
      <name val="Calibri"/>
      <family val="2"/>
      <scheme val="minor"/>
    </font>
    <font>
      <sz val="11"/>
      <color theme="1"/>
      <name val="&quot;Aptos Narrow&quot;"/>
    </font>
    <font>
      <b/>
      <sz val="10.5"/>
      <color theme="0"/>
      <name val="Footlight MT Light"/>
      <family val="1"/>
    </font>
    <font>
      <sz val="11"/>
      <color rgb="FFFF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79998168889431442"/>
        <bgColor rgb="FFD9E1F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rgb="FF4472C4"/>
        <bgColor rgb="FF4472C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AAF6B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rgb="FF4472C4"/>
      </patternFill>
    </fill>
    <fill>
      <patternFill patternType="solid">
        <fgColor theme="4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rgb="FFFFE699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rgb="FF4472C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11">
    <xf numFmtId="0" fontId="0" fillId="0" borderId="0" xfId="0" applyFont="1" applyAlignment="1"/>
    <xf numFmtId="0" fontId="7" fillId="0" borderId="0" xfId="0" applyFont="1" applyAlignment="1"/>
    <xf numFmtId="164" fontId="7" fillId="0" borderId="0" xfId="0" applyNumberFormat="1" applyFont="1" applyAlignment="1"/>
    <xf numFmtId="164" fontId="7" fillId="0" borderId="0" xfId="0" applyNumberFormat="1" applyFont="1" applyAlignment="1">
      <alignment horizontal="right"/>
    </xf>
    <xf numFmtId="164" fontId="0" fillId="0" borderId="0" xfId="0" applyNumberFormat="1" applyFont="1" applyAlignment="1"/>
    <xf numFmtId="0" fontId="0" fillId="0" borderId="0" xfId="0"/>
    <xf numFmtId="165" fontId="7" fillId="0" borderId="0" xfId="0" applyNumberFormat="1" applyFont="1" applyAlignment="1"/>
    <xf numFmtId="165" fontId="7" fillId="0" borderId="0" xfId="0" applyNumberFormat="1" applyFont="1" applyAlignment="1">
      <alignment horizontal="right"/>
    </xf>
    <xf numFmtId="165" fontId="0" fillId="0" borderId="0" xfId="0" applyNumberFormat="1" applyFont="1" applyAlignment="1"/>
    <xf numFmtId="0" fontId="13" fillId="3" borderId="2" xfId="0" applyFont="1" applyFill="1" applyBorder="1" applyAlignment="1"/>
    <xf numFmtId="0" fontId="13" fillId="3" borderId="3" xfId="0" applyFont="1" applyFill="1" applyBorder="1" applyAlignment="1"/>
    <xf numFmtId="0" fontId="7" fillId="4" borderId="2" xfId="0" applyFont="1" applyFill="1" applyBorder="1" applyAlignment="1"/>
    <xf numFmtId="0" fontId="7" fillId="4" borderId="3" xfId="0" applyFont="1" applyFill="1" applyBorder="1" applyAlignment="1"/>
    <xf numFmtId="0" fontId="7" fillId="0" borderId="2" xfId="0" applyFont="1" applyBorder="1" applyAlignment="1"/>
    <xf numFmtId="0" fontId="7" fillId="0" borderId="3" xfId="0" applyFont="1" applyBorder="1" applyAlignment="1"/>
    <xf numFmtId="0" fontId="13" fillId="3" borderId="4" xfId="0" applyFont="1" applyFill="1" applyBorder="1" applyAlignment="1"/>
    <xf numFmtId="0" fontId="7" fillId="4" borderId="4" xfId="0" applyFont="1" applyFill="1" applyBorder="1" applyAlignment="1"/>
    <xf numFmtId="0" fontId="7" fillId="0" borderId="4" xfId="0" applyFont="1" applyBorder="1" applyAlignment="1"/>
    <xf numFmtId="0" fontId="6" fillId="4" borderId="3" xfId="0" applyFont="1" applyFill="1" applyBorder="1"/>
    <xf numFmtId="0" fontId="6" fillId="4" borderId="4" xfId="0" applyFont="1" applyFill="1" applyBorder="1"/>
    <xf numFmtId="0" fontId="6" fillId="0" borderId="3" xfId="0" applyFont="1" applyBorder="1"/>
    <xf numFmtId="0" fontId="6" fillId="0" borderId="4" xfId="0" applyFont="1" applyBorder="1"/>
    <xf numFmtId="0" fontId="6" fillId="4" borderId="2" xfId="0" applyFont="1" applyFill="1" applyBorder="1"/>
    <xf numFmtId="0" fontId="6" fillId="0" borderId="2" xfId="0" applyFont="1" applyBorder="1"/>
    <xf numFmtId="0" fontId="12" fillId="5" borderId="0" xfId="0" applyFont="1" applyFill="1"/>
    <xf numFmtId="0" fontId="12" fillId="5" borderId="0" xfId="0" applyFont="1" applyFill="1" applyAlignment="1"/>
    <xf numFmtId="0" fontId="0" fillId="6" borderId="0" xfId="0" applyFill="1"/>
    <xf numFmtId="0" fontId="0" fillId="6" borderId="0" xfId="0" applyFont="1" applyFill="1" applyAlignment="1"/>
    <xf numFmtId="0" fontId="6" fillId="6" borderId="0" xfId="0" applyFont="1" applyFill="1"/>
    <xf numFmtId="0" fontId="6" fillId="6" borderId="0" xfId="0" applyFont="1" applyFill="1" applyAlignment="1"/>
    <xf numFmtId="22" fontId="0" fillId="0" borderId="0" xfId="0" applyNumberFormat="1" applyFont="1" applyAlignment="1"/>
    <xf numFmtId="0" fontId="0" fillId="9" borderId="0" xfId="0" applyFont="1" applyFill="1" applyAlignment="1"/>
    <xf numFmtId="0" fontId="6" fillId="10" borderId="3" xfId="0" applyFont="1" applyFill="1" applyBorder="1"/>
    <xf numFmtId="0" fontId="6" fillId="9" borderId="3" xfId="0" applyFont="1" applyFill="1" applyBorder="1"/>
    <xf numFmtId="164" fontId="13" fillId="3" borderId="3" xfId="0" applyNumberFormat="1" applyFont="1" applyFill="1" applyBorder="1" applyAlignment="1"/>
    <xf numFmtId="164" fontId="6" fillId="4" borderId="3" xfId="0" applyNumberFormat="1" applyFont="1" applyFill="1" applyBorder="1" applyAlignment="1"/>
    <xf numFmtId="164" fontId="6" fillId="0" borderId="3" xfId="0" applyNumberFormat="1" applyFont="1" applyBorder="1" applyAlignment="1"/>
    <xf numFmtId="2" fontId="0" fillId="0" borderId="0" xfId="0" applyNumberFormat="1"/>
    <xf numFmtId="0" fontId="14" fillId="13" borderId="0" xfId="0" applyFont="1" applyFill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6" fontId="0" fillId="0" borderId="0" xfId="0" applyNumberFormat="1" applyFont="1" applyAlignment="1"/>
    <xf numFmtId="0" fontId="0" fillId="0" borderId="5" xfId="0" applyFont="1" applyBorder="1" applyAlignment="1"/>
    <xf numFmtId="166" fontId="0" fillId="0" borderId="9" xfId="0" applyNumberFormat="1" applyFont="1" applyBorder="1" applyAlignment="1"/>
    <xf numFmtId="166" fontId="0" fillId="0" borderId="10" xfId="0" applyNumberFormat="1" applyFont="1" applyBorder="1" applyAlignment="1"/>
    <xf numFmtId="0" fontId="0" fillId="6" borderId="0" xfId="0" applyFont="1" applyFill="1" applyAlignment="1">
      <alignment horizontal="left" indent="1"/>
    </xf>
    <xf numFmtId="166" fontId="0" fillId="0" borderId="12" xfId="0" applyNumberFormat="1" applyFont="1" applyBorder="1" applyAlignment="1"/>
    <xf numFmtId="0" fontId="0" fillId="0" borderId="12" xfId="0" applyFont="1" applyBorder="1" applyAlignment="1"/>
    <xf numFmtId="166" fontId="0" fillId="15" borderId="10" xfId="0" applyNumberFormat="1" applyFont="1" applyFill="1" applyBorder="1" applyAlignment="1"/>
    <xf numFmtId="166" fontId="0" fillId="15" borderId="12" xfId="0" applyNumberFormat="1" applyFont="1" applyFill="1" applyBorder="1" applyAlignment="1"/>
    <xf numFmtId="166" fontId="0" fillId="15" borderId="11" xfId="0" applyNumberFormat="1" applyFont="1" applyFill="1" applyBorder="1" applyAlignment="1"/>
    <xf numFmtId="166" fontId="0" fillId="15" borderId="5" xfId="0" applyNumberFormat="1" applyFont="1" applyFill="1" applyBorder="1" applyAlignment="1"/>
    <xf numFmtId="0" fontId="7" fillId="14" borderId="0" xfId="0" applyFont="1" applyFill="1" applyAlignment="1"/>
    <xf numFmtId="164" fontId="7" fillId="14" borderId="0" xfId="0" applyNumberFormat="1" applyFont="1" applyFill="1" applyAlignment="1"/>
    <xf numFmtId="165" fontId="7" fillId="14" borderId="0" xfId="0" applyNumberFormat="1" applyFont="1" applyFill="1" applyAlignment="1"/>
    <xf numFmtId="0" fontId="7" fillId="17" borderId="0" xfId="0" applyFont="1" applyFill="1" applyAlignment="1"/>
    <xf numFmtId="164" fontId="7" fillId="17" borderId="0" xfId="0" applyNumberFormat="1" applyFont="1" applyFill="1" applyAlignment="1">
      <alignment horizontal="right"/>
    </xf>
    <xf numFmtId="165" fontId="7" fillId="17" borderId="0" xfId="0" applyNumberFormat="1" applyFont="1" applyFill="1" applyAlignment="1">
      <alignment horizontal="right"/>
    </xf>
    <xf numFmtId="167" fontId="0" fillId="0" borderId="0" xfId="0" applyNumberFormat="1" applyFont="1" applyAlignment="1"/>
    <xf numFmtId="0" fontId="0" fillId="16" borderId="0" xfId="0" applyFont="1" applyFill="1" applyAlignment="1">
      <alignment horizontal="left"/>
    </xf>
    <xf numFmtId="167" fontId="0" fillId="16" borderId="0" xfId="0" applyNumberFormat="1" applyFont="1" applyFill="1" applyAlignment="1"/>
    <xf numFmtId="0" fontId="0" fillId="16" borderId="0" xfId="0" applyNumberFormat="1" applyFont="1" applyFill="1" applyAlignment="1"/>
    <xf numFmtId="0" fontId="5" fillId="0" borderId="0" xfId="0" applyFont="1" applyAlignment="1"/>
    <xf numFmtId="0" fontId="0" fillId="7" borderId="0" xfId="0" applyFont="1" applyFill="1" applyAlignment="1"/>
    <xf numFmtId="0" fontId="17" fillId="18" borderId="5" xfId="0" applyFont="1" applyFill="1" applyBorder="1" applyAlignment="1"/>
    <xf numFmtId="0" fontId="0" fillId="0" borderId="8" xfId="0" pivotButton="1" applyFont="1" applyBorder="1" applyAlignment="1"/>
    <xf numFmtId="0" fontId="0" fillId="0" borderId="13" xfId="0" applyFont="1" applyBorder="1" applyAlignment="1"/>
    <xf numFmtId="0" fontId="0" fillId="18" borderId="0" xfId="0" applyFont="1" applyFill="1" applyAlignment="1"/>
    <xf numFmtId="0" fontId="0" fillId="8" borderId="0" xfId="0" applyFill="1"/>
    <xf numFmtId="2" fontId="0" fillId="19" borderId="0" xfId="0" applyNumberFormat="1" applyFill="1"/>
    <xf numFmtId="0" fontId="0" fillId="20" borderId="0" xfId="0" applyFill="1"/>
    <xf numFmtId="0" fontId="10" fillId="0" borderId="0" xfId="0" applyFont="1"/>
    <xf numFmtId="164" fontId="14" fillId="23" borderId="0" xfId="0" applyNumberFormat="1" applyFont="1" applyFill="1"/>
    <xf numFmtId="0" fontId="14" fillId="23" borderId="0" xfId="0" applyFont="1" applyFill="1"/>
    <xf numFmtId="164" fontId="0" fillId="18" borderId="0" xfId="0" applyNumberFormat="1" applyFill="1"/>
    <xf numFmtId="0" fontId="0" fillId="18" borderId="0" xfId="0" applyFill="1"/>
    <xf numFmtId="2" fontId="0" fillId="18" borderId="0" xfId="0" applyNumberFormat="1" applyFill="1"/>
    <xf numFmtId="0" fontId="0" fillId="0" borderId="5" xfId="0" applyBorder="1"/>
    <xf numFmtId="0" fontId="12" fillId="24" borderId="5" xfId="0" applyFont="1" applyFill="1" applyBorder="1"/>
    <xf numFmtId="2" fontId="0" fillId="0" borderId="7" xfId="0" applyNumberFormat="1" applyBorder="1"/>
    <xf numFmtId="0" fontId="22" fillId="0" borderId="0" xfId="0" applyFont="1"/>
    <xf numFmtId="0" fontId="5" fillId="8" borderId="14" xfId="0" applyFont="1" applyFill="1" applyBorder="1"/>
    <xf numFmtId="0" fontId="0" fillId="8" borderId="16" xfId="0" applyFill="1" applyBorder="1"/>
    <xf numFmtId="0" fontId="0" fillId="8" borderId="7" xfId="0" applyFill="1" applyBorder="1"/>
    <xf numFmtId="0" fontId="0" fillId="8" borderId="17" xfId="0" applyFill="1" applyBorder="1"/>
    <xf numFmtId="0" fontId="0" fillId="8" borderId="18" xfId="0" applyFill="1" applyBorder="1"/>
    <xf numFmtId="0" fontId="5" fillId="8" borderId="16" xfId="0" applyFont="1" applyFill="1" applyBorder="1"/>
    <xf numFmtId="0" fontId="5" fillId="8" borderId="15" xfId="0" applyFont="1" applyFill="1" applyBorder="1" applyAlignment="1"/>
    <xf numFmtId="0" fontId="14" fillId="11" borderId="8" xfId="0" applyFont="1" applyFill="1" applyBorder="1"/>
    <xf numFmtId="0" fontId="14" fillId="11" borderId="13" xfId="0" applyFont="1" applyFill="1" applyBorder="1"/>
    <xf numFmtId="167" fontId="14" fillId="11" borderId="12" xfId="0" applyNumberFormat="1" applyFont="1" applyFill="1" applyBorder="1" applyAlignment="1"/>
    <xf numFmtId="0" fontId="0" fillId="0" borderId="0" xfId="0" applyNumberFormat="1" applyFont="1" applyAlignment="1"/>
    <xf numFmtId="0" fontId="0" fillId="14" borderId="0" xfId="0" applyFont="1" applyFill="1" applyAlignment="1">
      <alignment horizontal="left"/>
    </xf>
    <xf numFmtId="0" fontId="0" fillId="27" borderId="0" xfId="0" applyFont="1" applyFill="1" applyAlignment="1"/>
    <xf numFmtId="0" fontId="0" fillId="29" borderId="0" xfId="0" applyFont="1" applyFill="1" applyAlignment="1">
      <alignment horizontal="left"/>
    </xf>
    <xf numFmtId="167" fontId="0" fillId="29" borderId="0" xfId="0" applyNumberFormat="1" applyFont="1" applyFill="1" applyAlignment="1"/>
    <xf numFmtId="0" fontId="4" fillId="0" borderId="0" xfId="0" applyFont="1" applyAlignment="1"/>
    <xf numFmtId="0" fontId="0" fillId="30" borderId="0" xfId="0" applyFont="1" applyFill="1" applyAlignment="1"/>
    <xf numFmtId="167" fontId="0" fillId="7" borderId="0" xfId="0" applyNumberFormat="1" applyFont="1" applyFill="1" applyAlignment="1"/>
    <xf numFmtId="0" fontId="0" fillId="7" borderId="0" xfId="0" applyFont="1" applyFill="1" applyAlignment="1">
      <alignment horizontal="left"/>
    </xf>
    <xf numFmtId="0" fontId="0" fillId="22" borderId="0" xfId="0" applyFont="1" applyFill="1" applyAlignment="1">
      <alignment horizontal="left"/>
    </xf>
    <xf numFmtId="167" fontId="0" fillId="22" borderId="0" xfId="0" applyNumberFormat="1" applyFont="1" applyFill="1" applyAlignment="1"/>
    <xf numFmtId="0" fontId="0" fillId="0" borderId="0" xfId="0" applyFont="1" applyAlignment="1">
      <alignment horizontal="left" indent="1"/>
    </xf>
    <xf numFmtId="0" fontId="24" fillId="0" borderId="0" xfId="0" applyFont="1" applyAlignment="1"/>
    <xf numFmtId="0" fontId="24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0" fillId="0" borderId="0" xfId="0" applyFont="1" applyAlignment="1"/>
    <xf numFmtId="0" fontId="4" fillId="9" borderId="0" xfId="0" applyFont="1" applyFill="1" applyAlignment="1"/>
    <xf numFmtId="0" fontId="4" fillId="28" borderId="0" xfId="0" applyFont="1" applyFill="1" applyAlignment="1">
      <alignment horizontal="left"/>
    </xf>
    <xf numFmtId="0" fontId="0" fillId="28" borderId="0" xfId="0" applyFont="1" applyFill="1" applyAlignment="1">
      <alignment horizontal="left"/>
    </xf>
    <xf numFmtId="164" fontId="7" fillId="20" borderId="0" xfId="0" applyNumberFormat="1" applyFont="1" applyFill="1" applyAlignment="1">
      <alignment horizontal="right"/>
    </xf>
    <xf numFmtId="0" fontId="7" fillId="20" borderId="0" xfId="0" applyFont="1" applyFill="1" applyAlignment="1"/>
    <xf numFmtId="165" fontId="7" fillId="20" borderId="0" xfId="0" applyNumberFormat="1" applyFont="1" applyFill="1" applyAlignment="1">
      <alignment horizontal="right"/>
    </xf>
    <xf numFmtId="164" fontId="33" fillId="28" borderId="0" xfId="0" applyNumberFormat="1" applyFont="1" applyFill="1" applyAlignment="1"/>
    <xf numFmtId="0" fontId="33" fillId="28" borderId="0" xfId="0" applyFont="1" applyFill="1" applyAlignment="1"/>
    <xf numFmtId="165" fontId="33" fillId="28" borderId="0" xfId="0" applyNumberFormat="1" applyFont="1" applyFill="1" applyAlignment="1"/>
    <xf numFmtId="0" fontId="8" fillId="14" borderId="1" xfId="0" applyFont="1" applyFill="1" applyBorder="1" applyAlignment="1">
      <alignment horizontal="center" vertical="top"/>
    </xf>
    <xf numFmtId="164" fontId="8" fillId="14" borderId="1" xfId="0" applyNumberFormat="1" applyFont="1" applyFill="1" applyBorder="1" applyAlignment="1">
      <alignment horizontal="center" vertical="top"/>
    </xf>
    <xf numFmtId="165" fontId="8" fillId="14" borderId="1" xfId="0" applyNumberFormat="1" applyFont="1" applyFill="1" applyBorder="1" applyAlignment="1">
      <alignment horizontal="center" vertical="top"/>
    </xf>
    <xf numFmtId="0" fontId="9" fillId="12" borderId="0" xfId="0" applyFont="1" applyFill="1"/>
    <xf numFmtId="164" fontId="9" fillId="12" borderId="0" xfId="0" applyNumberFormat="1" applyFont="1" applyFill="1"/>
    <xf numFmtId="165" fontId="9" fillId="12" borderId="0" xfId="0" applyNumberFormat="1" applyFont="1" applyFill="1"/>
    <xf numFmtId="0" fontId="10" fillId="33" borderId="0" xfId="0" applyFont="1" applyFill="1" applyAlignment="1"/>
    <xf numFmtId="0" fontId="9" fillId="9" borderId="0" xfId="0" applyFont="1" applyFill="1"/>
    <xf numFmtId="164" fontId="9" fillId="9" borderId="0" xfId="0" applyNumberFormat="1" applyFont="1" applyFill="1"/>
    <xf numFmtId="165" fontId="9" fillId="9" borderId="0" xfId="0" applyNumberFormat="1" applyFont="1" applyFill="1"/>
    <xf numFmtId="0" fontId="8" fillId="9" borderId="1" xfId="0" applyFont="1" applyFill="1" applyBorder="1" applyAlignment="1">
      <alignment horizontal="center" vertical="top"/>
    </xf>
    <xf numFmtId="164" fontId="8" fillId="9" borderId="1" xfId="0" applyNumberFormat="1" applyFont="1" applyFill="1" applyBorder="1" applyAlignment="1">
      <alignment horizontal="center" vertical="top"/>
    </xf>
    <xf numFmtId="165" fontId="8" fillId="9" borderId="1" xfId="0" applyNumberFormat="1" applyFont="1" applyFill="1" applyBorder="1" applyAlignment="1">
      <alignment horizontal="center" vertical="top"/>
    </xf>
    <xf numFmtId="0" fontId="4" fillId="7" borderId="0" xfId="0" applyFont="1" applyFill="1" applyAlignment="1"/>
    <xf numFmtId="167" fontId="27" fillId="7" borderId="0" xfId="0" applyNumberFormat="1" applyFont="1" applyFill="1" applyAlignment="1"/>
    <xf numFmtId="167" fontId="27" fillId="0" borderId="0" xfId="0" applyNumberFormat="1" applyFont="1" applyAlignment="1"/>
    <xf numFmtId="7" fontId="0" fillId="7" borderId="0" xfId="0" applyNumberFormat="1" applyFont="1" applyFill="1" applyAlignment="1"/>
    <xf numFmtId="7" fontId="0" fillId="0" borderId="0" xfId="0" applyNumberFormat="1" applyFont="1" applyAlignment="1"/>
    <xf numFmtId="0" fontId="34" fillId="0" borderId="0" xfId="0" applyFont="1" applyAlignment="1"/>
    <xf numFmtId="0" fontId="31" fillId="30" borderId="0" xfId="0" applyFont="1" applyFill="1" applyAlignment="1"/>
    <xf numFmtId="0" fontId="34" fillId="30" borderId="0" xfId="0" applyFont="1" applyFill="1" applyAlignment="1"/>
    <xf numFmtId="0" fontId="35" fillId="0" borderId="0" xfId="0" applyFont="1" applyAlignment="1"/>
    <xf numFmtId="2" fontId="0" fillId="0" borderId="0" xfId="0" applyNumberFormat="1" applyFont="1" applyAlignment="1"/>
    <xf numFmtId="2" fontId="10" fillId="33" borderId="0" xfId="0" applyNumberFormat="1" applyFont="1" applyFill="1" applyAlignment="1"/>
    <xf numFmtId="0" fontId="4" fillId="35" borderId="0" xfId="0" applyFont="1" applyFill="1" applyAlignment="1"/>
    <xf numFmtId="0" fontId="0" fillId="35" borderId="0" xfId="0" applyFont="1" applyFill="1" applyAlignment="1"/>
    <xf numFmtId="2" fontId="0" fillId="35" borderId="0" xfId="0" applyNumberFormat="1" applyFont="1" applyFill="1" applyAlignment="1"/>
    <xf numFmtId="167" fontId="0" fillId="35" borderId="0" xfId="0" applyNumberFormat="1" applyFont="1" applyFill="1" applyAlignment="1"/>
    <xf numFmtId="2" fontId="27" fillId="35" borderId="0" xfId="0" applyNumberFormat="1" applyFont="1" applyFill="1" applyAlignment="1">
      <alignment vertical="center"/>
    </xf>
    <xf numFmtId="167" fontId="27" fillId="35" borderId="0" xfId="0" applyNumberFormat="1" applyFont="1" applyFill="1" applyAlignment="1">
      <alignment vertical="center"/>
    </xf>
    <xf numFmtId="167" fontId="27" fillId="35" borderId="0" xfId="0" applyNumberFormat="1" applyFont="1" applyFill="1" applyAlignment="1"/>
    <xf numFmtId="7" fontId="0" fillId="35" borderId="0" xfId="0" applyNumberFormat="1" applyFont="1" applyFill="1" applyAlignment="1"/>
    <xf numFmtId="0" fontId="3" fillId="27" borderId="0" xfId="0" applyFont="1" applyFill="1" applyAlignment="1"/>
    <xf numFmtId="2" fontId="3" fillId="0" borderId="0" xfId="0" applyNumberFormat="1" applyFont="1" applyAlignment="1"/>
    <xf numFmtId="0" fontId="3" fillId="7" borderId="0" xfId="0" applyFont="1" applyFill="1" applyAlignment="1"/>
    <xf numFmtId="2" fontId="3" fillId="7" borderId="0" xfId="0" applyNumberFormat="1" applyFont="1" applyFill="1" applyAlignment="1"/>
    <xf numFmtId="164" fontId="7" fillId="31" borderId="0" xfId="0" applyNumberFormat="1" applyFont="1" applyFill="1" applyAlignment="1">
      <alignment horizontal="right"/>
    </xf>
    <xf numFmtId="0" fontId="7" fillId="31" borderId="0" xfId="0" applyFont="1" applyFill="1" applyAlignment="1"/>
    <xf numFmtId="165" fontId="7" fillId="31" borderId="0" xfId="0" applyNumberFormat="1" applyFont="1" applyFill="1" applyAlignment="1">
      <alignment horizontal="right"/>
    </xf>
    <xf numFmtId="164" fontId="37" fillId="31" borderId="0" xfId="0" applyNumberFormat="1" applyFont="1" applyFill="1" applyAlignment="1"/>
    <xf numFmtId="0" fontId="37" fillId="31" borderId="0" xfId="0" applyFont="1" applyFill="1" applyAlignment="1"/>
    <xf numFmtId="165" fontId="37" fillId="31" borderId="0" xfId="0" applyNumberFormat="1" applyFont="1" applyFill="1" applyAlignment="1"/>
    <xf numFmtId="0" fontId="38" fillId="36" borderId="0" xfId="0" applyFont="1" applyFill="1" applyAlignment="1"/>
    <xf numFmtId="0" fontId="36" fillId="36" borderId="0" xfId="0" applyFont="1" applyFill="1" applyAlignment="1"/>
    <xf numFmtId="0" fontId="35" fillId="27" borderId="0" xfId="0" applyFont="1" applyFill="1" applyAlignment="1"/>
    <xf numFmtId="0" fontId="35" fillId="8" borderId="0" xfId="0" applyFont="1" applyFill="1" applyAlignment="1"/>
    <xf numFmtId="0" fontId="16" fillId="37" borderId="0" xfId="0" applyFont="1" applyFill="1" applyAlignment="1">
      <alignment horizontal="center" vertical="center" wrapText="1"/>
    </xf>
    <xf numFmtId="164" fontId="0" fillId="0" borderId="0" xfId="0" applyNumberFormat="1" applyFont="1" applyAlignment="1">
      <alignment horizontal="left"/>
    </xf>
    <xf numFmtId="167" fontId="10" fillId="8" borderId="0" xfId="0" applyNumberFormat="1" applyFont="1" applyFill="1" applyAlignment="1"/>
    <xf numFmtId="167" fontId="2" fillId="0" borderId="0" xfId="0" applyNumberFormat="1" applyFont="1" applyAlignment="1"/>
    <xf numFmtId="0" fontId="10" fillId="38" borderId="19" xfId="0" applyFont="1" applyFill="1" applyBorder="1"/>
    <xf numFmtId="164" fontId="0" fillId="7" borderId="0" xfId="0" applyNumberFormat="1" applyFont="1" applyFill="1" applyAlignment="1">
      <alignment horizontal="left"/>
    </xf>
    <xf numFmtId="0" fontId="0" fillId="7" borderId="0" xfId="0" applyNumberFormat="1" applyFont="1" applyFill="1" applyAlignment="1"/>
    <xf numFmtId="165" fontId="0" fillId="7" borderId="0" xfId="0" applyNumberFormat="1" applyFont="1" applyFill="1" applyAlignment="1"/>
    <xf numFmtId="167" fontId="2" fillId="7" borderId="0" xfId="0" applyNumberFormat="1" applyFont="1" applyFill="1" applyAlignment="1"/>
    <xf numFmtId="0" fontId="10" fillId="38" borderId="19" xfId="0" applyFont="1" applyFill="1" applyBorder="1" applyAlignment="1"/>
    <xf numFmtId="0" fontId="10" fillId="22" borderId="0" xfId="0" applyFont="1" applyFill="1" applyAlignment="1">
      <alignment horizontal="left"/>
    </xf>
    <xf numFmtId="0" fontId="10" fillId="28" borderId="0" xfId="0" applyFont="1" applyFill="1" applyAlignment="1"/>
    <xf numFmtId="2" fontId="39" fillId="39" borderId="0" xfId="0" applyNumberFormat="1" applyFont="1" applyFill="1" applyAlignment="1"/>
    <xf numFmtId="164" fontId="0" fillId="9" borderId="0" xfId="0" applyNumberFormat="1" applyFont="1" applyFill="1" applyAlignment="1">
      <alignment horizontal="left"/>
    </xf>
    <xf numFmtId="0" fontId="0" fillId="9" borderId="0" xfId="0" applyNumberFormat="1" applyFont="1" applyFill="1" applyAlignment="1"/>
    <xf numFmtId="165" fontId="0" fillId="9" borderId="0" xfId="0" applyNumberFormat="1" applyFont="1" applyFill="1" applyAlignment="1"/>
    <xf numFmtId="0" fontId="10" fillId="40" borderId="0" xfId="0" applyFont="1" applyFill="1" applyAlignment="1"/>
    <xf numFmtId="168" fontId="0" fillId="27" borderId="0" xfId="0" applyNumberFormat="1" applyFont="1" applyFill="1" applyAlignment="1"/>
    <xf numFmtId="168" fontId="0" fillId="29" borderId="0" xfId="0" applyNumberFormat="1" applyFont="1" applyFill="1" applyAlignment="1"/>
    <xf numFmtId="168" fontId="0" fillId="0" borderId="5" xfId="0" applyNumberFormat="1" applyBorder="1"/>
    <xf numFmtId="168" fontId="0" fillId="0" borderId="0" xfId="0" applyNumberFormat="1" applyFont="1" applyAlignment="1"/>
    <xf numFmtId="0" fontId="35" fillId="7" borderId="0" xfId="0" applyFont="1" applyFill="1" applyAlignment="1"/>
    <xf numFmtId="0" fontId="11" fillId="2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5" fillId="12" borderId="5" xfId="0" applyFont="1" applyFill="1" applyBorder="1" applyAlignment="1">
      <alignment horizontal="center"/>
    </xf>
    <xf numFmtId="0" fontId="10" fillId="14" borderId="5" xfId="0" applyFont="1" applyFill="1" applyBorder="1" applyAlignment="1">
      <alignment horizontal="center" vertical="center"/>
    </xf>
    <xf numFmtId="0" fontId="24" fillId="14" borderId="0" xfId="0" applyFont="1" applyFill="1" applyAlignment="1">
      <alignment horizontal="center"/>
    </xf>
    <xf numFmtId="0" fontId="18" fillId="9" borderId="0" xfId="0" applyFont="1" applyFill="1" applyAlignment="1">
      <alignment horizontal="center"/>
    </xf>
    <xf numFmtId="0" fontId="19" fillId="21" borderId="0" xfId="0" applyFont="1" applyFill="1" applyAlignment="1">
      <alignment horizontal="center"/>
    </xf>
    <xf numFmtId="0" fontId="21" fillId="25" borderId="0" xfId="0" applyFont="1" applyFill="1" applyAlignment="1">
      <alignment horizontal="center"/>
    </xf>
    <xf numFmtId="0" fontId="21" fillId="25" borderId="6" xfId="0" applyFont="1" applyFill="1" applyBorder="1" applyAlignment="1">
      <alignment horizontal="center"/>
    </xf>
    <xf numFmtId="0" fontId="12" fillId="26" borderId="0" xfId="0" applyFont="1" applyFill="1" applyBorder="1" applyAlignment="1">
      <alignment horizontal="center"/>
    </xf>
    <xf numFmtId="0" fontId="10" fillId="27" borderId="16" xfId="0" applyFont="1" applyFill="1" applyBorder="1" applyAlignment="1">
      <alignment horizontal="center"/>
    </xf>
    <xf numFmtId="0" fontId="10" fillId="27" borderId="7" xfId="0" applyFont="1" applyFill="1" applyBorder="1" applyAlignment="1">
      <alignment horizontal="center"/>
    </xf>
    <xf numFmtId="0" fontId="10" fillId="27" borderId="0" xfId="0" applyFont="1" applyFill="1" applyAlignment="1">
      <alignment horizontal="center"/>
    </xf>
    <xf numFmtId="0" fontId="20" fillId="22" borderId="0" xfId="0" applyFont="1" applyFill="1" applyAlignment="1">
      <alignment horizontal="center"/>
    </xf>
    <xf numFmtId="0" fontId="23" fillId="30" borderId="0" xfId="0" applyFont="1" applyFill="1" applyAlignment="1">
      <alignment horizontal="center"/>
    </xf>
    <xf numFmtId="0" fontId="10" fillId="31" borderId="0" xfId="0" applyFont="1" applyFill="1" applyAlignment="1">
      <alignment horizontal="center"/>
    </xf>
    <xf numFmtId="0" fontId="29" fillId="32" borderId="0" xfId="0" applyFont="1" applyFill="1" applyAlignment="1">
      <alignment horizontal="center" vertical="center"/>
    </xf>
    <xf numFmtId="0" fontId="26" fillId="32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top"/>
    </xf>
    <xf numFmtId="0" fontId="10" fillId="14" borderId="0" xfId="0" applyFont="1" applyFill="1" applyAlignment="1">
      <alignment horizontal="center"/>
    </xf>
    <xf numFmtId="0" fontId="32" fillId="15" borderId="0" xfId="0" applyFont="1" applyFill="1" applyAlignment="1">
      <alignment horizontal="center"/>
    </xf>
    <xf numFmtId="0" fontId="0" fillId="14" borderId="0" xfId="0" applyFont="1" applyFill="1" applyAlignment="1">
      <alignment horizontal="center"/>
    </xf>
    <xf numFmtId="0" fontId="25" fillId="34" borderId="0" xfId="0" applyFont="1" applyFill="1" applyAlignment="1">
      <alignment horizontal="center"/>
    </xf>
    <xf numFmtId="0" fontId="10" fillId="1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1" fillId="6" borderId="0" xfId="0" applyFont="1" applyFill="1" applyAlignment="1"/>
  </cellXfs>
  <cellStyles count="1">
    <cellStyle name="Normal" xfId="0" builtinId="0"/>
  </cellStyles>
  <dxfs count="78">
    <dxf>
      <fill>
        <patternFill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68" formatCode="#,##0.00;[Red]#,##0.00"/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167" formatCode="0.00;[Red]0.00"/>
    </dxf>
    <dxf>
      <numFmt numFmtId="168" formatCode="#,##0.00;[Red]#,##0.00"/>
    </dxf>
    <dxf>
      <numFmt numFmtId="168" formatCode="#,##0.00;[Red]#,##0.00"/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fgColor indexed="64"/>
          <bgColor rgb="FFFFC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0.00;[Red]0.00"/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7" formatCode="0.00;[Red]0.00"/>
    </dxf>
    <dxf>
      <numFmt numFmtId="168" formatCode="#,##0.00;[Red]#,##0.00"/>
    </dxf>
    <dxf>
      <border>
        <left style="medium">
          <color indexed="64"/>
        </lef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thin">
          <color indexed="64"/>
        </top>
        <bottom style="medium">
          <color indexed="64"/>
        </bottom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  <vertical style="thin">
          <color indexed="64"/>
        </vertical>
      </border>
    </dxf>
    <dxf>
      <border>
        <right style="thin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6" formatCode="#,##0;[Red]#,##0"/>
    </dxf>
    <dxf>
      <numFmt numFmtId="166" formatCode="#,##0;[Red]#,##0"/>
    </dxf>
    <dxf>
      <numFmt numFmtId="166" formatCode="#,##0;[Red]#,##0"/>
    </dxf>
    <dxf>
      <numFmt numFmtId="166" formatCode="#,##0;[Red]#,##0"/>
    </dxf>
    <dxf>
      <numFmt numFmtId="166" formatCode="#,##0;[Red]#,##0"/>
    </dxf>
    <dxf>
      <numFmt numFmtId="166" formatCode="#,##0;[Red]#,##0"/>
    </dxf>
  </dxfs>
  <tableStyles count="0" defaultTableStyle="TableStyleMedium2" defaultPivotStyle="PivotStyleLight16"/>
  <colors>
    <mruColors>
      <color rgb="FFAAF6B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3.xml"/><Relationship Id="rId30" Type="http://schemas.openxmlformats.org/officeDocument/2006/relationships/theme" Target="theme/theme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IN" sz="900" b="1" i="0" baseline="0">
                <a:effectLst/>
              </a:rPr>
              <a:t>Ad Spend vs Total Engagement by Platform</a:t>
            </a:r>
            <a:endParaRPr lang="en-IN" sz="900"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rgbClr val="000000">
                    <a:lumMod val="65000"/>
                    <a:lumOff val="35000"/>
                  </a:srgbClr>
                </a:solidFill>
              </a:defRPr>
            </a:pPr>
            <a:endParaRPr lang="en-IN"/>
          </a:p>
        </c:rich>
      </c:tx>
      <c:layout>
        <c:manualLayout>
          <c:xMode val="edge"/>
          <c:yMode val="edge"/>
          <c:x val="0.30557633420822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'Platfrom performance analysis'!$F$3</c:f>
              <c:strCache>
                <c:ptCount val="1"/>
                <c:pt idx="0">
                  <c:v>Total Engagement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'Platfrom performance analysis'!$A$4:$A$6</c:f>
              <c:strCache>
                <c:ptCount val="3"/>
                <c:pt idx="0">
                  <c:v>Twitter</c:v>
                </c:pt>
                <c:pt idx="1">
                  <c:v>Instagram</c:v>
                </c:pt>
                <c:pt idx="2">
                  <c:v>Youtube</c:v>
                </c:pt>
              </c:strCache>
            </c:strRef>
          </c:cat>
          <c:val>
            <c:numRef>
              <c:f>'Platfrom performance analysis'!$F$4:$F$6</c:f>
              <c:numCache>
                <c:formatCode>General</c:formatCode>
                <c:ptCount val="3"/>
                <c:pt idx="0">
                  <c:v>527370</c:v>
                </c:pt>
                <c:pt idx="1">
                  <c:v>301576</c:v>
                </c:pt>
                <c:pt idx="2">
                  <c:v>228696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5-4960-B86C-E8C6D48EA280}"/>
            </c:ext>
          </c:extLst>
        </c:ser>
        <c:ser>
          <c:idx val="1"/>
          <c:order val="1"/>
          <c:tx>
            <c:strRef>
              <c:f>'Platfrom performance analysis'!$I$3</c:f>
              <c:strCache>
                <c:ptCount val="1"/>
                <c:pt idx="0">
                  <c:v>Total Ad Spend ($)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'Platfrom performance analysis'!$A$4:$A$6</c:f>
              <c:strCache>
                <c:ptCount val="3"/>
                <c:pt idx="0">
                  <c:v>Twitter</c:v>
                </c:pt>
                <c:pt idx="1">
                  <c:v>Instagram</c:v>
                </c:pt>
                <c:pt idx="2">
                  <c:v>Youtube</c:v>
                </c:pt>
              </c:strCache>
            </c:strRef>
          </c:cat>
          <c:val>
            <c:numRef>
              <c:f>'Platfrom performance analysis'!$I$4:$I$6</c:f>
              <c:numCache>
                <c:formatCode>General</c:formatCode>
                <c:ptCount val="3"/>
                <c:pt idx="0">
                  <c:v>1114204</c:v>
                </c:pt>
                <c:pt idx="1">
                  <c:v>1035942</c:v>
                </c:pt>
                <c:pt idx="2">
                  <c:v>1065782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A5-4960-B86C-E8C6D48EA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29264"/>
        <c:axId val="88865920"/>
      </c:barChart>
      <c:catAx>
        <c:axId val="12912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65920"/>
        <c:crosses val="autoZero"/>
        <c:auto val="1"/>
        <c:lblAlgn val="ctr"/>
        <c:lblOffset val="100"/>
        <c:noMultiLvlLbl val="0"/>
      </c:catAx>
      <c:valAx>
        <c:axId val="8886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2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Weekly Net Follower Gain vs 3-week moving Avg</a:t>
            </a:r>
          </a:p>
        </c:rich>
      </c:tx>
      <c:layout>
        <c:manualLayout>
          <c:xMode val="edge"/>
          <c:yMode val="edge"/>
          <c:x val="0.19632478563382863"/>
          <c:y val="3.887504011747276E-2"/>
        </c:manualLayout>
      </c:layout>
      <c:overlay val="0"/>
      <c:spPr>
        <a:solidFill>
          <a:schemeClr val="accent1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chart'!$A$3</c:f>
              <c:strCache>
                <c:ptCount val="1"/>
                <c:pt idx="0">
                  <c:v>Sum of Net Follower Gain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28-48AC-8A80-BD4E595181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'AVG chart'!$A$4:$A$70</c:f>
              <c:numCache>
                <c:formatCode>0;[Red]0</c:formatCode>
                <c:ptCount val="67"/>
                <c:pt idx="0">
                  <c:v>3419</c:v>
                </c:pt>
                <c:pt idx="1">
                  <c:v>2777</c:v>
                </c:pt>
                <c:pt idx="2">
                  <c:v>3175</c:v>
                </c:pt>
                <c:pt idx="3">
                  <c:v>2433</c:v>
                </c:pt>
                <c:pt idx="4">
                  <c:v>2426</c:v>
                </c:pt>
                <c:pt idx="5">
                  <c:v>3155</c:v>
                </c:pt>
                <c:pt idx="6">
                  <c:v>2369</c:v>
                </c:pt>
                <c:pt idx="7">
                  <c:v>2281</c:v>
                </c:pt>
                <c:pt idx="8">
                  <c:v>2132</c:v>
                </c:pt>
                <c:pt idx="9">
                  <c:v>2693</c:v>
                </c:pt>
                <c:pt idx="10">
                  <c:v>3072</c:v>
                </c:pt>
                <c:pt idx="11">
                  <c:v>2300</c:v>
                </c:pt>
                <c:pt idx="12">
                  <c:v>2450</c:v>
                </c:pt>
                <c:pt idx="13">
                  <c:v>2502</c:v>
                </c:pt>
                <c:pt idx="14">
                  <c:v>2630</c:v>
                </c:pt>
                <c:pt idx="15">
                  <c:v>2162</c:v>
                </c:pt>
                <c:pt idx="16">
                  <c:v>2785</c:v>
                </c:pt>
                <c:pt idx="17">
                  <c:v>3151</c:v>
                </c:pt>
                <c:pt idx="18">
                  <c:v>2338</c:v>
                </c:pt>
                <c:pt idx="19">
                  <c:v>2670</c:v>
                </c:pt>
                <c:pt idx="20">
                  <c:v>2792</c:v>
                </c:pt>
                <c:pt idx="21">
                  <c:v>2181</c:v>
                </c:pt>
                <c:pt idx="22">
                  <c:v>3576</c:v>
                </c:pt>
                <c:pt idx="23">
                  <c:v>2794</c:v>
                </c:pt>
                <c:pt idx="24">
                  <c:v>1935</c:v>
                </c:pt>
                <c:pt idx="25">
                  <c:v>2287</c:v>
                </c:pt>
                <c:pt idx="26">
                  <c:v>2383</c:v>
                </c:pt>
                <c:pt idx="27">
                  <c:v>1398</c:v>
                </c:pt>
                <c:pt idx="28">
                  <c:v>2693</c:v>
                </c:pt>
                <c:pt idx="29">
                  <c:v>2550</c:v>
                </c:pt>
                <c:pt idx="30">
                  <c:v>2337</c:v>
                </c:pt>
                <c:pt idx="31">
                  <c:v>2451</c:v>
                </c:pt>
                <c:pt idx="32">
                  <c:v>2341</c:v>
                </c:pt>
                <c:pt idx="33">
                  <c:v>1832</c:v>
                </c:pt>
                <c:pt idx="34">
                  <c:v>1928</c:v>
                </c:pt>
                <c:pt idx="35">
                  <c:v>1680</c:v>
                </c:pt>
                <c:pt idx="36">
                  <c:v>2361</c:v>
                </c:pt>
                <c:pt idx="37">
                  <c:v>1543</c:v>
                </c:pt>
                <c:pt idx="38">
                  <c:v>1713</c:v>
                </c:pt>
                <c:pt idx="39">
                  <c:v>2763</c:v>
                </c:pt>
                <c:pt idx="40">
                  <c:v>2315</c:v>
                </c:pt>
                <c:pt idx="41">
                  <c:v>2188</c:v>
                </c:pt>
                <c:pt idx="42">
                  <c:v>2679</c:v>
                </c:pt>
                <c:pt idx="43">
                  <c:v>2781</c:v>
                </c:pt>
                <c:pt idx="44">
                  <c:v>3291</c:v>
                </c:pt>
                <c:pt idx="45">
                  <c:v>3216</c:v>
                </c:pt>
                <c:pt idx="46">
                  <c:v>1728</c:v>
                </c:pt>
                <c:pt idx="47">
                  <c:v>2378</c:v>
                </c:pt>
                <c:pt idx="48">
                  <c:v>2054</c:v>
                </c:pt>
                <c:pt idx="49">
                  <c:v>1400</c:v>
                </c:pt>
                <c:pt idx="50">
                  <c:v>3569</c:v>
                </c:pt>
                <c:pt idx="51">
                  <c:v>2909</c:v>
                </c:pt>
                <c:pt idx="52">
                  <c:v>2049</c:v>
                </c:pt>
                <c:pt idx="53">
                  <c:v>2243</c:v>
                </c:pt>
                <c:pt idx="54">
                  <c:v>2017</c:v>
                </c:pt>
                <c:pt idx="55">
                  <c:v>1384</c:v>
                </c:pt>
                <c:pt idx="56">
                  <c:v>2315</c:v>
                </c:pt>
                <c:pt idx="57">
                  <c:v>2669</c:v>
                </c:pt>
                <c:pt idx="58">
                  <c:v>2654</c:v>
                </c:pt>
                <c:pt idx="59">
                  <c:v>2694</c:v>
                </c:pt>
                <c:pt idx="60">
                  <c:v>3236</c:v>
                </c:pt>
                <c:pt idx="61">
                  <c:v>1689</c:v>
                </c:pt>
                <c:pt idx="62">
                  <c:v>2347</c:v>
                </c:pt>
                <c:pt idx="63">
                  <c:v>1819</c:v>
                </c:pt>
                <c:pt idx="64">
                  <c:v>2646</c:v>
                </c:pt>
                <c:pt idx="65">
                  <c:v>1424</c:v>
                </c:pt>
                <c:pt idx="66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8-48AC-8A80-BD4E59518122}"/>
            </c:ext>
          </c:extLst>
        </c:ser>
        <c:ser>
          <c:idx val="1"/>
          <c:order val="1"/>
          <c:tx>
            <c:strRef>
              <c:f>'AVG chart'!$B$3</c:f>
              <c:strCache>
                <c:ptCount val="1"/>
                <c:pt idx="0">
                  <c:v>3 week moving AVG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'AVG chart'!$B$4:$B$70</c:f>
              <c:numCache>
                <c:formatCode>0.00;[Red]0.00</c:formatCode>
                <c:ptCount val="67"/>
                <c:pt idx="0">
                  <c:v>3419</c:v>
                </c:pt>
                <c:pt idx="1">
                  <c:v>3098</c:v>
                </c:pt>
                <c:pt idx="2">
                  <c:v>3123.6666666666665</c:v>
                </c:pt>
                <c:pt idx="3">
                  <c:v>2795</c:v>
                </c:pt>
                <c:pt idx="4">
                  <c:v>2678</c:v>
                </c:pt>
                <c:pt idx="5">
                  <c:v>2671.3333333333335</c:v>
                </c:pt>
                <c:pt idx="6">
                  <c:v>2650</c:v>
                </c:pt>
                <c:pt idx="7">
                  <c:v>2601.6666666666665</c:v>
                </c:pt>
                <c:pt idx="8">
                  <c:v>2260.6666666666665</c:v>
                </c:pt>
                <c:pt idx="9">
                  <c:v>2368.6666666666665</c:v>
                </c:pt>
                <c:pt idx="10">
                  <c:v>2632.3333333333335</c:v>
                </c:pt>
                <c:pt idx="11">
                  <c:v>2688.3333333333335</c:v>
                </c:pt>
                <c:pt idx="12">
                  <c:v>2607.3333333333335</c:v>
                </c:pt>
                <c:pt idx="13">
                  <c:v>2417.3333333333335</c:v>
                </c:pt>
                <c:pt idx="14">
                  <c:v>2527.3333333333335</c:v>
                </c:pt>
                <c:pt idx="15">
                  <c:v>2431.3333333333335</c:v>
                </c:pt>
                <c:pt idx="16">
                  <c:v>2525.6666666666665</c:v>
                </c:pt>
                <c:pt idx="17">
                  <c:v>2699.3333333333335</c:v>
                </c:pt>
                <c:pt idx="18">
                  <c:v>2758</c:v>
                </c:pt>
                <c:pt idx="19">
                  <c:v>2719.6666666666665</c:v>
                </c:pt>
                <c:pt idx="20">
                  <c:v>2600</c:v>
                </c:pt>
                <c:pt idx="21">
                  <c:v>2547.6666666666665</c:v>
                </c:pt>
                <c:pt idx="22">
                  <c:v>2849.6666666666665</c:v>
                </c:pt>
                <c:pt idx="23">
                  <c:v>2850.3333333333335</c:v>
                </c:pt>
                <c:pt idx="24">
                  <c:v>2768.3333333333335</c:v>
                </c:pt>
                <c:pt idx="25">
                  <c:v>2338.6666666666665</c:v>
                </c:pt>
                <c:pt idx="26">
                  <c:v>2201.6666666666665</c:v>
                </c:pt>
                <c:pt idx="27">
                  <c:v>2022.6666666666667</c:v>
                </c:pt>
                <c:pt idx="28">
                  <c:v>2158</c:v>
                </c:pt>
                <c:pt idx="29">
                  <c:v>2213.6666666666665</c:v>
                </c:pt>
                <c:pt idx="30">
                  <c:v>2526.6666666666665</c:v>
                </c:pt>
                <c:pt idx="31">
                  <c:v>2446</c:v>
                </c:pt>
                <c:pt idx="32">
                  <c:v>2376.3333333333335</c:v>
                </c:pt>
                <c:pt idx="33">
                  <c:v>2208</c:v>
                </c:pt>
                <c:pt idx="34">
                  <c:v>2033.6666666666667</c:v>
                </c:pt>
                <c:pt idx="35">
                  <c:v>1813.3333333333333</c:v>
                </c:pt>
                <c:pt idx="36">
                  <c:v>1989.6666666666667</c:v>
                </c:pt>
                <c:pt idx="37">
                  <c:v>1861.3333333333333</c:v>
                </c:pt>
                <c:pt idx="38">
                  <c:v>1872.3333333333333</c:v>
                </c:pt>
                <c:pt idx="39">
                  <c:v>2006.3333333333333</c:v>
                </c:pt>
                <c:pt idx="40">
                  <c:v>2263.6666666666665</c:v>
                </c:pt>
                <c:pt idx="41">
                  <c:v>2422</c:v>
                </c:pt>
                <c:pt idx="42">
                  <c:v>2394</c:v>
                </c:pt>
                <c:pt idx="43">
                  <c:v>2549.3333333333335</c:v>
                </c:pt>
                <c:pt idx="44">
                  <c:v>2917</c:v>
                </c:pt>
                <c:pt idx="45">
                  <c:v>3096</c:v>
                </c:pt>
                <c:pt idx="46">
                  <c:v>2745</c:v>
                </c:pt>
                <c:pt idx="47">
                  <c:v>2440.6666666666665</c:v>
                </c:pt>
                <c:pt idx="48">
                  <c:v>2053.3333333333335</c:v>
                </c:pt>
                <c:pt idx="49">
                  <c:v>1944</c:v>
                </c:pt>
                <c:pt idx="50">
                  <c:v>2341</c:v>
                </c:pt>
                <c:pt idx="51">
                  <c:v>2626</c:v>
                </c:pt>
                <c:pt idx="52">
                  <c:v>2842.3333333333335</c:v>
                </c:pt>
                <c:pt idx="53">
                  <c:v>2400.3333333333335</c:v>
                </c:pt>
                <c:pt idx="54">
                  <c:v>2103</c:v>
                </c:pt>
                <c:pt idx="55">
                  <c:v>1881.3333333333333</c:v>
                </c:pt>
                <c:pt idx="56">
                  <c:v>1905.3333333333333</c:v>
                </c:pt>
                <c:pt idx="57">
                  <c:v>2122.6666666666665</c:v>
                </c:pt>
                <c:pt idx="58">
                  <c:v>2546</c:v>
                </c:pt>
                <c:pt idx="59">
                  <c:v>2672.3333333333335</c:v>
                </c:pt>
                <c:pt idx="60">
                  <c:v>2861.3333333333335</c:v>
                </c:pt>
                <c:pt idx="61">
                  <c:v>2539.6666666666665</c:v>
                </c:pt>
                <c:pt idx="62">
                  <c:v>2424</c:v>
                </c:pt>
                <c:pt idx="63">
                  <c:v>1951.6666666666667</c:v>
                </c:pt>
                <c:pt idx="64">
                  <c:v>2270.6666666666665</c:v>
                </c:pt>
                <c:pt idx="65">
                  <c:v>1963</c:v>
                </c:pt>
                <c:pt idx="66">
                  <c:v>1835.3333333333333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28-48AC-8A80-BD4E59518122}"/>
            </c:ext>
          </c:extLst>
        </c:ser>
        <c:ser>
          <c:idx val="2"/>
          <c:order val="2"/>
          <c:tx>
            <c:strRef>
              <c:f>'AVG chart'!$C$3</c:f>
              <c:strCache>
                <c:ptCount val="1"/>
                <c:pt idx="0">
                  <c:v>Week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'AVG chart'!$C$4:$C$70</c:f>
              <c:numCache>
                <c:formatCode>[$-14009]yyyy/mm/dd;@</c:formatCode>
                <c:ptCount val="67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  <c:pt idx="66">
                  <c:v>45908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28-48AC-8A80-BD4E59518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3655520"/>
        <c:axId val="1580896192"/>
      </c:lineChart>
      <c:catAx>
        <c:axId val="178365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896192"/>
        <c:crosses val="autoZero"/>
        <c:auto val="1"/>
        <c:lblAlgn val="ctr"/>
        <c:lblOffset val="100"/>
        <c:noMultiLvlLbl val="0"/>
      </c:catAx>
      <c:valAx>
        <c:axId val="158089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 Follower 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[Red]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65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396240</xdr:colOff>
      <xdr:row>1</xdr:row>
      <xdr:rowOff>19050</xdr:rowOff>
    </xdr:from>
    <xdr:to>
      <xdr:col>19</xdr:col>
      <xdr:colOff>91440</xdr:colOff>
      <xdr:row>16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2BEAB20-6F5D-490F-8AC7-44BD2D408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20</xdr:row>
      <xdr:rowOff>83820</xdr:rowOff>
    </xdr:from>
    <xdr:to>
      <xdr:col>4</xdr:col>
      <xdr:colOff>457200</xdr:colOff>
      <xdr:row>30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638120-6E82-4B45-B429-DF0634A14FC6}"/>
            </a:ext>
          </a:extLst>
        </xdr:cNvPr>
        <xdr:cNvSpPr txBox="1"/>
      </xdr:nvSpPr>
      <xdr:spPr>
        <a:xfrm>
          <a:off x="76200" y="3741420"/>
          <a:ext cx="3909060" cy="178308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u="dbl">
              <a:solidFill>
                <a:schemeClr val="tx2"/>
              </a:solidFill>
            </a:rPr>
            <a:t>Recommendation</a:t>
          </a:r>
        </a:p>
        <a:p>
          <a:endParaRPr lang="en-IN" sz="1200">
            <a:solidFill>
              <a:schemeClr val="tx2"/>
            </a:solidFill>
          </a:endParaRPr>
        </a:p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1.Platform Priority</a:t>
          </a:r>
          <a:r>
            <a:rPr lang="en-IN" sz="1200" b="1"/>
            <a:t> ---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Focus on Twitter Stories</a:t>
          </a:r>
        </a:p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2.Hashtag Strategy --- Always include #MusicForEveryone, #SpotifyWrapped, #DiscoverWeekly</a:t>
          </a:r>
        </a:p>
        <a:p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3.Avoid --- Text posts on Youtube (lowest performance)</a:t>
          </a:r>
        </a:p>
        <a:p>
          <a:endParaRPr lang="en-IN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200" b="1">
            <a:solidFill>
              <a:schemeClr val="tx2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1</xdr:row>
      <xdr:rowOff>38100</xdr:rowOff>
    </xdr:from>
    <xdr:to>
      <xdr:col>17</xdr:col>
      <xdr:colOff>312420</xdr:colOff>
      <xdr:row>26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2F35AA-1A99-42CE-9FC5-E982FAF5D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4kam\OneDrive\Desktop\Project%20-Spotify%20social%20media%20performace%20data%20.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4kam\OneDrive\Desktop\Project%20-Spotify%20social%20media%20performace%20data%20.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4kam\OneDrive\Desktop\Project%20-Spotify%20social%20media%20performace%20data%20.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4kam\OneDrive\Desktop\Project%20-Spotify%20social%20media%20performace%20data%20.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4kam" refreshedDate="46067.85629398148" createdVersion="6" refreshedVersion="6" minRefreshableVersion="3" recordCount="300" xr:uid="{4A0B1FA6-11DC-48B3-9DFC-76D508DB9795}">
  <cacheSource type="worksheet">
    <worksheetSource ref="A1:M301" sheet="Cleaned Posts" r:id="rId2"/>
  </cacheSource>
  <cacheFields count="13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165">
      <sharedItems containsSemiMixedTypes="0" containsString="0" containsNumber="1" containsInteger="1" minValue="1010" maxValue="4995" count="290">
        <n v="2414"/>
        <n v="1934"/>
        <n v="3092"/>
        <n v="3173"/>
        <n v="2748"/>
        <n v="3882"/>
        <n v="4674"/>
        <n v="1428"/>
        <n v="4432"/>
        <n v="2357"/>
        <n v="1971"/>
        <n v="1485"/>
        <n v="3956"/>
        <n v="2460"/>
        <n v="3476"/>
        <n v="4049"/>
        <n v="1514"/>
        <n v="4281"/>
        <n v="1751"/>
        <n v="3753"/>
        <n v="1678"/>
        <n v="4896"/>
        <n v="2786"/>
        <n v="2607"/>
        <n v="4013"/>
        <n v="2707"/>
        <n v="2824"/>
        <n v="3558"/>
        <n v="3418"/>
        <n v="2411"/>
        <n v="4036"/>
        <n v="2776"/>
        <n v="4929"/>
        <n v="1015"/>
        <n v="3316"/>
        <n v="2274"/>
        <n v="4095"/>
        <n v="1230"/>
        <n v="1341"/>
        <n v="3615"/>
        <n v="4001"/>
        <n v="3451"/>
        <n v="4891"/>
        <n v="1452"/>
        <n v="3806"/>
        <n v="2923"/>
        <n v="3361"/>
        <n v="3074"/>
        <n v="4276"/>
        <n v="4401"/>
        <n v="4161"/>
        <n v="2613"/>
        <n v="2842"/>
        <n v="4851"/>
        <n v="1828"/>
        <n v="2422"/>
        <n v="2683"/>
        <n v="3135"/>
        <n v="1105"/>
        <n v="3437"/>
        <n v="1959"/>
        <n v="1035"/>
        <n v="4478"/>
        <n v="1488"/>
        <n v="4836"/>
        <n v="4563"/>
        <n v="3276"/>
        <n v="1316"/>
        <n v="4811"/>
        <n v="4218"/>
        <n v="1360"/>
        <n v="1085"/>
        <n v="1763"/>
        <n v="1554"/>
        <n v="2464"/>
        <n v="2418"/>
        <n v="2494"/>
        <n v="4781"/>
        <n v="2284"/>
        <n v="4234"/>
        <n v="2102"/>
        <n v="4845"/>
        <n v="4247"/>
        <n v="2965"/>
        <n v="1371"/>
        <n v="4796"/>
        <n v="2601"/>
        <n v="3336"/>
        <n v="1165"/>
        <n v="1948"/>
        <n v="1100"/>
        <n v="4628"/>
        <n v="2319"/>
        <n v="2895"/>
        <n v="3878"/>
        <n v="4969"/>
        <n v="1984"/>
        <n v="3004"/>
        <n v="3169"/>
        <n v="3036"/>
        <n v="1830"/>
        <n v="2587"/>
        <n v="2878"/>
        <n v="4619"/>
        <n v="4090"/>
        <n v="4581"/>
        <n v="3253"/>
        <n v="4955"/>
        <n v="1333"/>
        <n v="1616"/>
        <n v="1803"/>
        <n v="4177"/>
        <n v="1311"/>
        <n v="1516"/>
        <n v="2023"/>
        <n v="2134"/>
        <n v="2266"/>
        <n v="3916"/>
        <n v="1022"/>
        <n v="2911"/>
        <n v="3277"/>
        <n v="2956"/>
        <n v="3208"/>
        <n v="1456"/>
        <n v="1902"/>
        <n v="3219"/>
        <n v="1261"/>
        <n v="1564"/>
        <n v="4006"/>
        <n v="1976"/>
        <n v="1583"/>
        <n v="2870"/>
        <n v="3728"/>
        <n v="4965"/>
        <n v="1131"/>
        <n v="2754"/>
        <n v="1856"/>
        <n v="3543"/>
        <n v="4283"/>
        <n v="2329"/>
        <n v="4287"/>
        <n v="2633"/>
        <n v="2383"/>
        <n v="4752"/>
        <n v="3890"/>
        <n v="2311"/>
        <n v="2962"/>
        <n v="3118"/>
        <n v="3805"/>
        <n v="2525"/>
        <n v="3563"/>
        <n v="1437"/>
        <n v="4425"/>
        <n v="4609"/>
        <n v="1558"/>
        <n v="1889"/>
        <n v="3086"/>
        <n v="3414"/>
        <n v="1342"/>
        <n v="4383"/>
        <n v="4294"/>
        <n v="2762"/>
        <n v="3782"/>
        <n v="4318"/>
        <n v="2335"/>
        <n v="4023"/>
        <n v="3948"/>
        <n v="4598"/>
        <n v="2665"/>
        <n v="3469"/>
        <n v="4823"/>
        <n v="3812"/>
        <n v="2387"/>
        <n v="3929"/>
        <n v="2191"/>
        <n v="3204"/>
        <n v="2408"/>
        <n v="2733"/>
        <n v="4618"/>
        <n v="4210"/>
        <n v="3987"/>
        <n v="4957"/>
        <n v="2605"/>
        <n v="4221"/>
        <n v="4422"/>
        <n v="1211"/>
        <n v="2784"/>
        <n v="3634"/>
        <n v="1771"/>
        <n v="1424"/>
        <n v="1079"/>
        <n v="2033"/>
        <n v="1839"/>
        <n v="2340"/>
        <n v="2080"/>
        <n v="4214"/>
        <n v="3792"/>
        <n v="3989"/>
        <n v="2857"/>
        <n v="1403"/>
        <n v="3071"/>
        <n v="1010"/>
        <n v="1295"/>
        <n v="1433"/>
        <n v="4902"/>
        <n v="2659"/>
        <n v="2599"/>
        <n v="1765"/>
        <n v="2169"/>
        <n v="4303"/>
        <n v="1519"/>
        <n v="2569"/>
        <n v="2778"/>
        <n v="3611"/>
        <n v="1224"/>
        <n v="4673"/>
        <n v="1432"/>
        <n v="2174"/>
        <n v="4308"/>
        <n v="1060"/>
        <n v="4653"/>
        <n v="1701"/>
        <n v="1673"/>
        <n v="4310"/>
        <n v="2752"/>
        <n v="3818"/>
        <n v="2101"/>
        <n v="2519"/>
        <n v="4502"/>
        <n v="2478"/>
        <n v="4984"/>
        <n v="4774"/>
        <n v="2145"/>
        <n v="4315"/>
        <n v="2267"/>
        <n v="4375"/>
        <n v="3817"/>
        <n v="2981"/>
        <n v="3300"/>
        <n v="4722"/>
        <n v="3529"/>
        <n v="4782"/>
        <n v="1848"/>
        <n v="4676"/>
        <n v="1994"/>
        <n v="4995"/>
        <n v="2291"/>
        <n v="2304"/>
        <n v="3413"/>
        <n v="1453"/>
        <n v="1651"/>
        <n v="3341"/>
        <n v="2972"/>
        <n v="4963"/>
        <n v="2399"/>
        <n v="2162"/>
        <n v="4341"/>
        <n v="2448"/>
        <n v="2471"/>
        <n v="2692"/>
        <n v="4621"/>
        <n v="1409"/>
        <n v="3029"/>
        <n v="2229"/>
        <n v="2691"/>
        <n v="2110"/>
        <n v="2177"/>
        <n v="1205"/>
        <n v="3194"/>
        <n v="3507"/>
        <n v="4471"/>
        <n v="4931"/>
        <n v="2604"/>
        <n v="4197"/>
        <n v="1914"/>
        <n v="1334"/>
        <n v="3359"/>
        <n v="2172"/>
        <n v="4877"/>
        <n v="4918"/>
        <n v="2088"/>
        <n v="3061"/>
        <n v="1265"/>
        <n v="1436"/>
        <n v="2244"/>
        <n v="3393"/>
        <n v="2901"/>
        <n v="2275"/>
        <n v="2227"/>
        <n v="1883"/>
      </sharedItems>
    </cacheField>
    <cacheField name="Shares" numFmtId="165">
      <sharedItems containsSemiMixedTypes="0" containsString="0" containsNumber="1" containsInteger="1" minValue="100" maxValue="499" count="220">
        <n v="245"/>
        <n v="210"/>
        <n v="177"/>
        <n v="229"/>
        <n v="145"/>
        <n v="239"/>
        <n v="409"/>
        <n v="347"/>
        <n v="223"/>
        <n v="274"/>
        <n v="370"/>
        <n v="353"/>
        <n v="319"/>
        <n v="355"/>
        <n v="377"/>
        <n v="164"/>
        <n v="101"/>
        <n v="143"/>
        <n v="411"/>
        <n v="423"/>
        <n v="466"/>
        <n v="368"/>
        <n v="379"/>
        <n v="320"/>
        <n v="103"/>
        <n v="425"/>
        <n v="314"/>
        <n v="188"/>
        <n v="194"/>
        <n v="112"/>
        <n v="307"/>
        <n v="182"/>
        <n v="366"/>
        <n v="332"/>
        <n v="243"/>
        <n v="385"/>
        <n v="309"/>
        <n v="472"/>
        <n v="192"/>
        <n v="363"/>
        <n v="450"/>
        <n v="281"/>
        <n v="114"/>
        <n v="330"/>
        <n v="371"/>
        <n v="227"/>
        <n v="421"/>
        <n v="481"/>
        <n v="455"/>
        <n v="213"/>
        <n v="460"/>
        <n v="405"/>
        <n v="110"/>
        <n v="181"/>
        <n v="326"/>
        <n v="129"/>
        <n v="316"/>
        <n v="137"/>
        <n v="327"/>
        <n v="331"/>
        <n v="488"/>
        <n v="473"/>
        <n v="247"/>
        <n v="249"/>
        <n v="496"/>
        <n v="206"/>
        <n v="401"/>
        <n v="161"/>
        <n v="494"/>
        <n v="191"/>
        <n v="187"/>
        <n v="486"/>
        <n v="158"/>
        <n v="390"/>
        <n v="328"/>
        <n v="139"/>
        <n v="427"/>
        <n v="336"/>
        <n v="294"/>
        <n v="155"/>
        <n v="257"/>
        <n v="484"/>
        <n v="292"/>
        <n v="431"/>
        <n v="433"/>
        <n v="415"/>
        <n v="386"/>
        <n v="293"/>
        <n v="447"/>
        <n v="265"/>
        <n v="272"/>
        <n v="209"/>
        <n v="342"/>
        <n v="483"/>
        <n v="299"/>
        <n v="286"/>
        <n v="360"/>
        <n v="273"/>
        <n v="489"/>
        <n v="215"/>
        <n v="124"/>
        <n v="322"/>
        <n v="126"/>
        <n v="459"/>
        <n v="463"/>
        <n v="467"/>
        <n v="381"/>
        <n v="476"/>
        <n v="394"/>
        <n v="424"/>
        <n v="190"/>
        <n v="362"/>
        <n v="420"/>
        <n v="262"/>
        <n v="380"/>
        <n v="271"/>
        <n v="175"/>
        <n v="100"/>
        <n v="357"/>
        <n v="334"/>
        <n v="398"/>
        <n v="471"/>
        <n v="373"/>
        <n v="318"/>
        <n v="136"/>
        <n v="408"/>
        <n v="207"/>
        <n v="400"/>
        <n v="116"/>
        <n v="453"/>
        <n v="185"/>
        <n v="352"/>
        <n v="298"/>
        <n v="148"/>
        <n v="154"/>
        <n v="220"/>
        <n v="339"/>
        <n v="150"/>
        <n v="151"/>
        <n v="321"/>
        <n v="275"/>
        <n v="288"/>
        <n v="278"/>
        <n v="323"/>
        <n v="297"/>
        <n v="312"/>
        <n v="171"/>
        <n v="282"/>
        <n v="434"/>
        <n v="111"/>
        <n v="280"/>
        <n v="487"/>
        <n v="396"/>
        <n v="179"/>
        <n v="141"/>
        <n v="389"/>
        <n v="315"/>
        <n v="443"/>
        <n v="361"/>
        <n v="153"/>
        <n v="452"/>
        <n v="422"/>
        <n v="167"/>
        <n v="324"/>
        <n v="285"/>
        <n v="240"/>
        <n v="306"/>
        <n v="456"/>
        <n v="140"/>
        <n v="241"/>
        <n v="127"/>
        <n v="168"/>
        <n v="270"/>
        <n v="437"/>
        <n v="499"/>
        <n v="442"/>
        <n v="226"/>
        <n v="284"/>
        <n v="115"/>
        <n v="202"/>
        <n v="238"/>
        <n v="300"/>
        <n v="340"/>
        <n v="208"/>
        <n v="230"/>
        <n v="303"/>
        <n v="258"/>
        <n v="354"/>
        <n v="310"/>
        <n v="263"/>
        <n v="417"/>
        <n v="211"/>
        <n v="197"/>
        <n v="231"/>
        <n v="146"/>
        <n v="289"/>
        <n v="156"/>
        <n v="480"/>
        <n v="255"/>
        <n v="464"/>
        <n v="166"/>
        <n v="446"/>
        <n v="374"/>
        <n v="440"/>
        <n v="395"/>
        <n v="384"/>
        <n v="449"/>
        <n v="295"/>
        <n v="317"/>
        <n v="469"/>
        <n v="439"/>
        <n v="359"/>
        <n v="338"/>
        <n v="107"/>
        <n v="490"/>
        <n v="219"/>
        <n v="392"/>
        <n v="104"/>
        <n v="108"/>
        <n v="432"/>
      </sharedItems>
    </cacheField>
    <cacheField name="Comments" numFmtId="165">
      <sharedItems containsSemiMixedTypes="0" containsString="0" containsNumber="1" containsInteger="1" minValue="51" maxValue="400" count="200">
        <n v="137"/>
        <n v="393"/>
        <n v="81"/>
        <n v="197"/>
        <n v="315"/>
        <n v="275"/>
        <n v="327"/>
        <n v="67"/>
        <n v="299"/>
        <n v="172"/>
        <n v="306"/>
        <n v="244"/>
        <n v="61"/>
        <n v="253"/>
        <n v="396"/>
        <n v="94"/>
        <n v="163"/>
        <n v="151"/>
        <n v="308"/>
        <n v="323"/>
        <n v="233"/>
        <n v="208"/>
        <n v="180"/>
        <n v="92"/>
        <n v="51"/>
        <n v="274"/>
        <n v="199"/>
        <n v="387"/>
        <n v="168"/>
        <n v="382"/>
        <n v="178"/>
        <n v="95"/>
        <n v="268"/>
        <n v="222"/>
        <n v="400"/>
        <n v="207"/>
        <n v="238"/>
        <n v="162"/>
        <n v="129"/>
        <n v="326"/>
        <n v="278"/>
        <n v="250"/>
        <n v="358"/>
        <n v="348"/>
        <n v="223"/>
        <n v="216"/>
        <n v="228"/>
        <n v="331"/>
        <n v="212"/>
        <n v="214"/>
        <n v="376"/>
        <n v="215"/>
        <n v="55"/>
        <n v="62"/>
        <n v="359"/>
        <n v="82"/>
        <n v="184"/>
        <n v="121"/>
        <n v="110"/>
        <n v="140"/>
        <n v="356"/>
        <n v="114"/>
        <n v="286"/>
        <n v="254"/>
        <n v="183"/>
        <n v="52"/>
        <n v="320"/>
        <n v="187"/>
        <n v="158"/>
        <n v="78"/>
        <n v="360"/>
        <n v="122"/>
        <n v="260"/>
        <n v="276"/>
        <n v="84"/>
        <n v="213"/>
        <n v="171"/>
        <n v="96"/>
        <n v="89"/>
        <n v="339"/>
        <n v="337"/>
        <n v="312"/>
        <n v="397"/>
        <n v="193"/>
        <n v="90"/>
        <n v="97"/>
        <n v="237"/>
        <n v="218"/>
        <n v="175"/>
        <n v="115"/>
        <n v="181"/>
        <n v="91"/>
        <n v="57"/>
        <n v="374"/>
        <n v="112"/>
        <n v="336"/>
        <n v="345"/>
        <n v="298"/>
        <n v="287"/>
        <n v="361"/>
        <n v="332"/>
        <n v="99"/>
        <n v="229"/>
        <n v="259"/>
        <n v="277"/>
        <n v="279"/>
        <n v="267"/>
        <n v="371"/>
        <n v="194"/>
        <n v="249"/>
        <n v="307"/>
        <n v="116"/>
        <n v="264"/>
        <n v="156"/>
        <n v="291"/>
        <n v="380"/>
        <n v="302"/>
        <n v="56"/>
        <n v="338"/>
        <n v="363"/>
        <n v="280"/>
        <n v="195"/>
        <n v="63"/>
        <n v="294"/>
        <n v="227"/>
        <n v="395"/>
        <n v="202"/>
        <n v="310"/>
        <n v="118"/>
        <n v="204"/>
        <n v="176"/>
        <n v="93"/>
        <n v="144"/>
        <n v="329"/>
        <n v="75"/>
        <n v="378"/>
        <n v="76"/>
        <n v="289"/>
        <n v="330"/>
        <n v="83"/>
        <n v="255"/>
        <n v="85"/>
        <n v="251"/>
        <n v="235"/>
        <n v="350"/>
        <n v="365"/>
        <n v="148"/>
        <n v="58"/>
        <n v="399"/>
        <n v="272"/>
        <n v="190"/>
        <n v="206"/>
        <n v="127"/>
        <n v="120"/>
        <n v="128"/>
        <n v="344"/>
        <n v="200"/>
        <n v="240"/>
        <n v="305"/>
        <n v="73"/>
        <n v="182"/>
        <n v="100"/>
        <n v="379"/>
        <n v="375"/>
        <n v="317"/>
        <n v="139"/>
        <n v="106"/>
        <n v="319"/>
        <n v="349"/>
        <n v="385"/>
        <n v="239"/>
        <n v="386"/>
        <n v="242"/>
        <n v="273"/>
        <n v="243"/>
        <n v="107"/>
        <n v="311"/>
        <n v="290"/>
        <n v="161"/>
        <n v="86"/>
        <n v="282"/>
        <n v="123"/>
        <n v="221"/>
        <n v="98"/>
        <n v="105"/>
        <n v="66"/>
        <n v="328"/>
        <n v="236"/>
        <n v="309"/>
        <n v="292"/>
        <n v="269"/>
        <n v="245"/>
        <n v="257"/>
        <n v="70"/>
        <n v="149"/>
        <n v="124"/>
        <n v="364"/>
        <n v="231"/>
        <n v="79"/>
        <n v="125"/>
      </sharedItems>
    </cacheField>
    <cacheField name="Impressions" numFmtId="165">
      <sharedItems containsSemiMixedTypes="0" containsString="0" containsNumber="1" containsInteger="1" minValue="20368" maxValue="59888"/>
    </cacheField>
    <cacheField name="Reach" numFmtId="165">
      <sharedItems containsSemiMixedTypes="0" containsString="0" containsNumber="1" containsInteger="1" minValue="18091" maxValue="74761"/>
    </cacheField>
    <cacheField name="Clicks" numFmtId="165">
      <sharedItems containsSemiMixedTypes="0" containsString="0" containsNumber="1" containsInteger="1" minValue="80" maxValue="299"/>
    </cacheField>
    <cacheField name="Hashtags Used" numFmtId="0">
      <sharedItems/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4kam" refreshedDate="46067.882120717593" createdVersion="6" refreshedVersion="6" minRefreshableVersion="3" recordCount="483" xr:uid="{9B07533F-0BD3-4CC0-B903-0E8BC952A3AE}">
  <cacheSource type="worksheet">
    <worksheetSource ref="A1:M484" sheet="HASHTAGS Expanded" r:id="rId2"/>
  </cacheSource>
  <cacheFields count="13">
    <cacheField name="Post ID" numFmtId="0">
      <sharedItems/>
    </cacheField>
    <cacheField name="Platform" numFmtId="0">
      <sharedItems/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" numFmtId="0">
      <sharedItems count="5">
        <s v="#SoundtrackOfLife"/>
        <s v="#NowPlaying"/>
        <s v="#DiscoverWeekly"/>
        <s v="#MusicForEveryone"/>
        <s v="#SpotifyWrapped"/>
      </sharedItems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4kam" refreshedDate="46069.713987847223" createdVersion="6" refreshedVersion="6" minRefreshableVersion="3" recordCount="483" xr:uid="{832B2A25-6714-4A9D-A715-0699480B3295}">
  <cacheSource type="worksheet">
    <worksheetSource ref="A1:N484" sheet="HASHTAGS Expanded" r:id="rId2"/>
  </cacheSource>
  <cacheFields count="14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" numFmtId="0">
      <sharedItems count="5">
        <s v="#SoundtrackOfLife"/>
        <s v="#NowPlaying"/>
        <s v="#DiscoverWeekly"/>
        <s v="#MusicForEveryone"/>
        <s v="#SpotifyWrapped"/>
      </sharedItems>
    </cacheField>
    <cacheField name="Campaign_Name" numFmtId="0">
      <sharedItems/>
    </cacheField>
    <cacheField name="Total Enagagement" numFmtId="0">
      <sharedItems containsSemiMixedTypes="0" containsString="0" containsNumber="1" containsInteger="1" minValue="1341" maxValue="5728" count="289">
        <n v="2796"/>
        <n v="2537"/>
        <n v="3350"/>
        <n v="3599"/>
        <n v="3208"/>
        <n v="4396"/>
        <n v="5410"/>
        <n v="1842"/>
        <n v="4954"/>
        <n v="2803"/>
        <n v="2647"/>
        <n v="2082"/>
        <n v="4336"/>
        <n v="3122"/>
        <n v="4227"/>
        <n v="4520"/>
        <n v="1953"/>
        <n v="4545"/>
        <n v="2045"/>
        <n v="4472"/>
        <n v="2424"/>
        <n v="5595"/>
        <n v="3362"/>
        <n v="3166"/>
        <n v="4425"/>
        <n v="2861"/>
        <n v="3523"/>
        <n v="4071"/>
        <n v="3993"/>
        <n v="2773"/>
        <n v="4530"/>
        <n v="3261"/>
        <n v="5206"/>
        <n v="1689"/>
        <n v="3916"/>
        <n v="2739"/>
        <n v="4880"/>
        <n v="1746"/>
        <n v="2051"/>
        <n v="3969"/>
        <n v="4483"/>
        <n v="4207"/>
        <n v="5728"/>
        <n v="2059"/>
        <n v="4198"/>
        <n v="3503"/>
        <n v="3907"/>
        <n v="3793"/>
        <n v="4726"/>
        <n v="5038"/>
        <n v="4703"/>
        <n v="3296"/>
        <n v="3386"/>
        <n v="5523"/>
        <n v="2492"/>
        <n v="3253"/>
        <n v="3311"/>
        <n v="3460"/>
        <n v="1341"/>
        <n v="5062"/>
        <n v="3925"/>
        <n v="2357"/>
        <n v="1356"/>
        <n v="4700"/>
        <n v="1925"/>
        <n v="5307"/>
        <n v="5407"/>
        <n v="3811"/>
        <n v="2074"/>
        <n v="5538"/>
        <n v="4648"/>
        <n v="1661"/>
        <n v="1901"/>
        <n v="2156"/>
        <n v="2167"/>
        <n v="2943"/>
        <n v="2939"/>
        <n v="3043"/>
        <n v="5094"/>
        <n v="2731"/>
        <n v="4996"/>
        <n v="2589"/>
        <n v="5087"/>
        <n v="4850"/>
        <n v="3464"/>
        <n v="1606"/>
        <n v="3268"/>
        <n v="5562"/>
        <n v="3197"/>
        <n v="3902"/>
        <n v="1622"/>
        <n v="2418"/>
        <n v="1641"/>
        <n v="5282"/>
        <n v="2996"/>
        <n v="3277"/>
        <n v="4406"/>
        <n v="5639"/>
        <n v="2821"/>
        <n v="3637"/>
        <n v="3730"/>
        <n v="3444"/>
        <n v="2123"/>
        <n v="3217"/>
        <n v="3234"/>
        <n v="4948"/>
        <n v="4577"/>
        <n v="4598"/>
        <n v="4874"/>
        <n v="4072"/>
        <n v="5599"/>
        <n v="1917"/>
        <n v="2363"/>
        <n v="4997"/>
        <n v="1853"/>
        <n v="2063"/>
        <n v="2246"/>
        <n v="2570"/>
        <n v="2532"/>
        <n v="4604"/>
        <n v="1845"/>
        <n v="3472"/>
        <n v="3959"/>
        <n v="3682"/>
        <n v="3961"/>
        <n v="1858"/>
        <n v="2575"/>
        <n v="3910"/>
        <n v="1684"/>
        <n v="2297"/>
        <n v="4620"/>
        <n v="2456"/>
        <n v="2265"/>
        <n v="3643"/>
        <n v="4274"/>
        <n v="5447"/>
        <n v="1347"/>
        <n v="3233"/>
        <n v="2561"/>
        <n v="4095"/>
        <n v="5124"/>
        <n v="4910"/>
        <n v="2993"/>
        <n v="4682"/>
        <n v="3331"/>
        <n v="5142"/>
        <n v="4636"/>
        <n v="2881"/>
        <n v="3642"/>
        <n v="3429"/>
        <n v="4321"/>
        <n v="3091"/>
        <n v="4273"/>
        <n v="2060"/>
        <n v="4772"/>
        <n v="5431"/>
        <n v="2112"/>
        <n v="2309"/>
        <n v="3544"/>
        <n v="2858"/>
        <n v="3772"/>
        <n v="1837"/>
        <n v="2914"/>
        <n v="4911"/>
        <n v="4810"/>
        <n v="3424"/>
        <n v="4410"/>
        <n v="5018"/>
        <n v="2560"/>
        <n v="4407"/>
        <n v="4348"/>
        <n v="3123"/>
        <n v="5614"/>
        <n v="4422"/>
        <n v="2818"/>
        <n v="4534"/>
        <n v="2562"/>
        <n v="3411"/>
        <n v="3687"/>
        <n v="2982"/>
        <n v="3265"/>
        <n v="5184"/>
        <n v="4879"/>
        <n v="4432"/>
        <n v="5584"/>
        <n v="3035"/>
        <n v="4586"/>
        <n v="5012"/>
        <n v="1725"/>
        <n v="3294"/>
        <n v="4313"/>
        <n v="2530"/>
        <n v="2132"/>
        <n v="1534"/>
        <n v="4601"/>
        <n v="2547"/>
        <n v="2233"/>
        <n v="2687"/>
        <n v="4627"/>
        <n v="4593"/>
        <n v="3659"/>
        <n v="3397"/>
        <n v="1611"/>
        <n v="1529"/>
        <n v="2190"/>
        <n v="5700"/>
        <n v="2899"/>
        <n v="3105"/>
        <n v="2150"/>
        <n v="2466"/>
        <n v="2354"/>
        <n v="3084"/>
        <n v="3336"/>
        <n v="3877"/>
        <n v="1591"/>
        <n v="5036"/>
        <n v="2136"/>
        <n v="2885"/>
        <n v="4585"/>
        <n v="1821"/>
        <n v="5228"/>
        <n v="2358"/>
        <n v="2020"/>
        <n v="4900"/>
        <n v="3152"/>
        <n v="4219"/>
        <n v="2702"/>
        <n v="2960"/>
        <n v="5126"/>
        <n v="3147"/>
        <n v="5622"/>
        <n v="5521"/>
        <n v="4796"/>
        <n v="2740"/>
        <n v="4972"/>
        <n v="4305"/>
        <n v="3407"/>
        <n v="4051"/>
        <n v="5376"/>
        <n v="3899"/>
        <n v="5303"/>
        <n v="2559"/>
        <n v="4942"/>
        <n v="2481"/>
        <n v="5320"/>
        <n v="2836"/>
        <n v="2754"/>
        <n v="3825"/>
        <n v="1787"/>
        <n v="2413"/>
        <n v="3618"/>
        <n v="3543"/>
        <n v="5411"/>
        <n v="2811"/>
        <n v="2563"/>
        <n v="3010"/>
        <n v="2957"/>
        <n v="3354"/>
        <n v="5293"/>
        <n v="1980"/>
        <n v="3535"/>
        <n v="2952"/>
        <n v="3383"/>
        <n v="2730"/>
        <n v="5510"/>
        <n v="2727"/>
        <n v="1960"/>
        <n v="3731"/>
        <n v="4173"/>
        <n v="5037"/>
        <n v="5593"/>
        <n v="3191"/>
        <n v="4836"/>
        <n v="2325"/>
        <n v="1948"/>
        <n v="3883"/>
        <n v="2580"/>
        <n v="5555"/>
        <n v="5507"/>
        <n v="3746"/>
        <n v="3457"/>
        <n v="1859"/>
        <n v="1884"/>
        <n v="2867"/>
        <n v="3576"/>
        <n v="3095"/>
        <n v="2685"/>
        <n v="2882"/>
        <n v="27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4kam" refreshedDate="46069.815494907409" createdVersion="6" refreshedVersion="6" minRefreshableVersion="3" recordCount="300" xr:uid="{D07EE08F-715C-4C02-923A-3AE4D938BCE1}">
  <cacheSource type="worksheet">
    <worksheetSource ref="A1:N301" sheet="Cleaned Posts" r:id="rId2"/>
  </cacheSource>
  <cacheFields count="14">
    <cacheField name="Post ID" numFmtId="0">
      <sharedItems/>
    </cacheField>
    <cacheField name="Platform" numFmtId="0">
      <sharedItems count="3">
        <s v="Instagram"/>
        <s v="Twitter"/>
        <s v="Youtube"/>
      </sharedItems>
    </cacheField>
    <cacheField name="Date" numFmtId="16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/>
    </cacheField>
    <cacheField name="Likes" numFmtId="165">
      <sharedItems containsSemiMixedTypes="0" containsString="0" containsNumber="1" containsInteger="1" minValue="1010" maxValue="4995"/>
    </cacheField>
    <cacheField name="Shares" numFmtId="165">
      <sharedItems containsSemiMixedTypes="0" containsString="0" containsNumber="1" containsInteger="1" minValue="100" maxValue="499"/>
    </cacheField>
    <cacheField name="Comments" numFmtId="165">
      <sharedItems containsSemiMixedTypes="0" containsString="0" containsNumber="1" containsInteger="1" minValue="51" maxValue="400"/>
    </cacheField>
    <cacheField name="Impressions" numFmtId="165">
      <sharedItems containsSemiMixedTypes="0" containsString="0" containsNumber="1" containsInteger="1" minValue="20368" maxValue="59888"/>
    </cacheField>
    <cacheField name="Reach" numFmtId="165">
      <sharedItems containsSemiMixedTypes="0" containsString="0" containsNumber="1" containsInteger="1" minValue="18091" maxValue="74761"/>
    </cacheField>
    <cacheField name="Clicks" numFmtId="165">
      <sharedItems containsSemiMixedTypes="0" containsString="0" containsNumber="1" containsInteger="1" minValue="80" maxValue="299"/>
    </cacheField>
    <cacheField name="Hashtags Used" numFmtId="0">
      <sharedItems/>
    </cacheField>
    <cacheField name="Campaign_Name" numFmtId="0">
      <sharedItems/>
    </cacheField>
    <cacheField name="Toatal engagement" numFmtId="165">
      <sharedItems containsSemiMixedTypes="0" containsString="0" containsNumber="1" containsInteger="1" minValue="1341" maxValue="57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4kam" refreshedDate="46070.659042939813" createdVersion="6" refreshedVersion="6" minRefreshableVersion="3" recordCount="200" xr:uid="{6209E7ED-0CFC-4725-BA4C-54D840FE0ABB}">
  <cacheSource type="worksheet">
    <worksheetSource ref="A1:G201" sheet="Cleaned Engagement Summary"/>
  </cacheSource>
  <cacheFields count="8">
    <cacheField name="Week_Start_Date" numFmtId="16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</cacheField>
    <cacheField name="Platform" numFmtId="0">
      <sharedItems/>
    </cacheField>
    <cacheField name="New_Followers" numFmtId="165">
      <sharedItems containsSemiMixedTypes="0" containsString="0" containsNumber="1" containsInteger="1" minValue="503" maxValue="1490"/>
    </cacheField>
    <cacheField name="Unfollows" numFmtId="165">
      <sharedItems containsSemiMixedTypes="0" containsString="0" containsNumber="1" containsInteger="1" minValue="50" maxValue="296"/>
    </cacheField>
    <cacheField name="Total_Followers" numFmtId="165">
      <sharedItems containsSemiMixedTypes="0" containsString="0" containsNumber="1" containsInteger="1" minValue="61445" maxValue="397607"/>
    </cacheField>
    <cacheField name="Engagement_Rate" numFmtId="165">
      <sharedItems containsSemiMixedTypes="0" containsString="0" containsNumber="1" minValue="3.08" maxValue="9.99"/>
    </cacheField>
    <cacheField name="Ad_Spend" numFmtId="165">
      <sharedItems containsSemiMixedTypes="0" containsString="0" containsNumber="1" containsInteger="1" minValue="5281" maxValue="27829"/>
    </cacheField>
    <cacheField name="Net Follower Gain" numFmtId="0" formula="New_Followers-Unfollow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x v="0"/>
    <x v="0"/>
    <x v="0"/>
    <n v="21181"/>
    <n v="45292"/>
    <n v="133"/>
    <s v="#SoundtrackOfLife,#NowPlaying"/>
    <s v="ChillVibes"/>
  </r>
  <r>
    <s v="SP002"/>
    <x v="0"/>
    <d v="2025-02-01T00:00:00"/>
    <x v="0"/>
    <s v="Explore the latest podcasts now."/>
    <x v="1"/>
    <x v="1"/>
    <x v="1"/>
    <n v="29129"/>
    <n v="73287"/>
    <n v="273"/>
    <s v="#DiscoverWeekly"/>
    <s v="IndieWave"/>
  </r>
  <r>
    <s v="SP003"/>
    <x v="1"/>
    <d v="2024-12-03T00:00:00"/>
    <x v="1"/>
    <s v="New music just dropped. Hit play!"/>
    <x v="2"/>
    <x v="2"/>
    <x v="2"/>
    <n v="47533"/>
    <n v="29220"/>
    <n v="121"/>
    <s v="#MusicForEveryone,#NowPlaying"/>
    <s v="ChillVibes"/>
  </r>
  <r>
    <s v="SP004"/>
    <x v="0"/>
    <d v="2024-12-03T00:00:00"/>
    <x v="0"/>
    <s v="Wrapped is here! Relive your top tracks ðŸŽ§"/>
    <x v="3"/>
    <x v="3"/>
    <x v="3"/>
    <n v="29604"/>
    <n v="21809"/>
    <n v="272"/>
    <s v="#SoundtrackOfLife,#NowPlaying"/>
    <s v="ChillVibes"/>
  </r>
  <r>
    <s v="SP005"/>
    <x v="2"/>
    <d v="2024-04-06T00:00:00"/>
    <x v="0"/>
    <s v="Music that moves youâ€”only on Spotify."/>
    <x v="4"/>
    <x v="4"/>
    <x v="4"/>
    <n v="24401"/>
    <n v="61182"/>
    <n v="200"/>
    <s v="#DiscoverWeekly,#SpotifyWrapped"/>
    <s v="IndieWave"/>
  </r>
  <r>
    <s v="SP006"/>
    <x v="2"/>
    <d v="2024-06-13T00:00:00"/>
    <x v="0"/>
    <s v="Whatâ€™s your vibe today? #SpotifyHits"/>
    <x v="5"/>
    <x v="5"/>
    <x v="5"/>
    <n v="58748"/>
    <n v="44646"/>
    <n v="149"/>
    <s v="#DiscoverWeekly,#SpotifyWrapped"/>
    <s v="IndieWave"/>
  </r>
  <r>
    <s v="SP007"/>
    <x v="1"/>
    <d v="2024-12-19T00:00:00"/>
    <x v="1"/>
    <s v="Get into the groove with our new drop!"/>
    <x v="6"/>
    <x v="6"/>
    <x v="6"/>
    <n v="20756"/>
    <n v="63599"/>
    <n v="212"/>
    <s v="#SoundtrackOfLife,#NowPlaying"/>
    <s v="ChillVibes"/>
  </r>
  <r>
    <s v="SP008"/>
    <x v="1"/>
    <d v="2024-05-09T00:00:00"/>
    <x v="1"/>
    <s v="Wrapped is here! Relive your top tracks ðŸŽ§"/>
    <x v="7"/>
    <x v="7"/>
    <x v="7"/>
    <n v="21148"/>
    <n v="19712"/>
    <n v="120"/>
    <s v="#DiscoverWeekly,#MusicForEveryone"/>
    <s v="ChillVibes"/>
  </r>
  <r>
    <s v="SP009"/>
    <x v="1"/>
    <d v="2025-06-15T00:00:00"/>
    <x v="0"/>
    <s v="Top trending tracks updated daily!"/>
    <x v="8"/>
    <x v="8"/>
    <x v="8"/>
    <n v="59016"/>
    <n v="21742"/>
    <n v="171"/>
    <s v="#NowPlaying"/>
    <s v="ChillVibes"/>
  </r>
  <r>
    <s v="SP010"/>
    <x v="1"/>
    <d v="2024-12-04T00:00:00"/>
    <x v="0"/>
    <s v="Wrapped is here! Relive your top tracks ðŸŽ§"/>
    <x v="9"/>
    <x v="9"/>
    <x v="9"/>
    <n v="21566"/>
    <n v="66829"/>
    <n v="284"/>
    <s v="#NowPlaying"/>
    <s v="ChillVibes"/>
  </r>
  <r>
    <s v="SP011"/>
    <x v="1"/>
    <d v="2024-03-06T00:00:00"/>
    <x v="0"/>
    <s v="Discover fresh beats on Spotify!"/>
    <x v="10"/>
    <x v="10"/>
    <x v="10"/>
    <n v="31316"/>
    <n v="27897"/>
    <n v="88"/>
    <s v="#SoundtrackOfLife"/>
    <s v="IndieWave"/>
  </r>
  <r>
    <s v="SP012"/>
    <x v="0"/>
    <d v="2024-05-14T00:00:00"/>
    <x v="0"/>
    <s v="Discover fresh beats on Spotify!"/>
    <x v="11"/>
    <x v="11"/>
    <x v="11"/>
    <n v="38419"/>
    <n v="38556"/>
    <n v="86"/>
    <s v="#SoundtrackOfLife,#NowPlaying"/>
    <s v="ChillVibes"/>
  </r>
  <r>
    <s v="SP013"/>
    <x v="1"/>
    <d v="2025-06-18T00:00:00"/>
    <x v="1"/>
    <s v="Discover fresh beats on Spotify!"/>
    <x v="12"/>
    <x v="12"/>
    <x v="12"/>
    <n v="58162"/>
    <n v="28720"/>
    <n v="213"/>
    <s v="#MusicForEveryone,#NowPlaying"/>
    <s v="ChillVibes"/>
  </r>
  <r>
    <s v="SP014"/>
    <x v="1"/>
    <d v="2024-10-08T00:00:00"/>
    <x v="0"/>
    <s v="From pop to podcasts, itâ€™s all here."/>
    <x v="13"/>
    <x v="6"/>
    <x v="13"/>
    <n v="36702"/>
    <n v="46122"/>
    <n v="264"/>
    <s v="#NowPlaying"/>
    <s v="ChillVibes"/>
  </r>
  <r>
    <s v="SP015"/>
    <x v="1"/>
    <d v="2024-05-06T00:00:00"/>
    <x v="0"/>
    <s v="Your weekend playlist is waiting."/>
    <x v="14"/>
    <x v="13"/>
    <x v="14"/>
    <n v="37492"/>
    <n v="27285"/>
    <n v="179"/>
    <s v="#NowPlaying"/>
    <s v="ChillVibes"/>
  </r>
  <r>
    <s v="SP016"/>
    <x v="1"/>
    <d v="2024-12-29T00:00:00"/>
    <x v="1"/>
    <s v="New music just dropped. Hit play!"/>
    <x v="15"/>
    <x v="14"/>
    <x v="15"/>
    <n v="48182"/>
    <n v="42875"/>
    <n v="172"/>
    <s v="#MusicForEveryone,#NowPlaying"/>
    <s v="ChillVibes"/>
  </r>
  <r>
    <s v="SP017"/>
    <x v="1"/>
    <d v="2024-06-10T00:00:00"/>
    <x v="0"/>
    <s v="Whatâ€™s your vibe today? #SpotifyHits"/>
    <x v="16"/>
    <x v="15"/>
    <x v="5"/>
    <n v="41364"/>
    <n v="44389"/>
    <n v="83"/>
    <s v="#NowPlaying"/>
    <s v="ChillVibes"/>
  </r>
  <r>
    <s v="SP018"/>
    <x v="0"/>
    <d v="2024-02-03T00:00:00"/>
    <x v="1"/>
    <s v="Music that moves youâ€”only on Spotify."/>
    <x v="17"/>
    <x v="16"/>
    <x v="16"/>
    <n v="32278"/>
    <n v="53382"/>
    <n v="235"/>
    <s v="#NowPlaying"/>
    <s v="Wrapped2024"/>
  </r>
  <r>
    <s v="SP019"/>
    <x v="2"/>
    <d v="2024-06-15T00:00:00"/>
    <x v="2"/>
    <s v="Get into the groove with our new drop!"/>
    <x v="18"/>
    <x v="17"/>
    <x v="17"/>
    <n v="31826"/>
    <n v="47729"/>
    <n v="95"/>
    <s v="#DiscoverWeekly,#SoundtrackOfLife"/>
    <s v="SummerBeats"/>
  </r>
  <r>
    <s v="SP020"/>
    <x v="0"/>
    <d v="2024-07-05T00:00:00"/>
    <x v="0"/>
    <s v="Your weekend playlist is waiting."/>
    <x v="19"/>
    <x v="18"/>
    <x v="18"/>
    <n v="29138"/>
    <n v="27678"/>
    <n v="90"/>
    <s v="#DiscoverWeekly"/>
    <s v="IndieWave"/>
  </r>
  <r>
    <s v="SP021"/>
    <x v="0"/>
    <d v="2024-11-07T00:00:00"/>
    <x v="1"/>
    <s v="Wrapped is here! Relive your top tracks ðŸŽ§"/>
    <x v="20"/>
    <x v="19"/>
    <x v="19"/>
    <n v="55668"/>
    <n v="37945"/>
    <n v="230"/>
    <s v="#NowPlaying"/>
    <s v="Wrapped2024"/>
  </r>
  <r>
    <s v="SP022"/>
    <x v="0"/>
    <d v="2025-06-15T00:00:00"/>
    <x v="0"/>
    <s v="Whatâ€™s your vibe today? #SpotifyHits"/>
    <x v="21"/>
    <x v="20"/>
    <x v="20"/>
    <n v="28621"/>
    <n v="34270"/>
    <n v="84"/>
    <s v="#SoundtrackOfLife,#NowPlaying"/>
    <s v="ChillVibes"/>
  </r>
  <r>
    <s v="SP023"/>
    <x v="2"/>
    <d v="2024-06-09T00:00:00"/>
    <x v="2"/>
    <s v="From pop to podcasts, itâ€™s all here."/>
    <x v="22"/>
    <x v="21"/>
    <x v="21"/>
    <n v="42000"/>
    <n v="39967"/>
    <n v="103"/>
    <s v="#DiscoverWeekly,#SoundtrackOfLife"/>
    <s v="SummerBeats"/>
  </r>
  <r>
    <s v="SP024"/>
    <x v="1"/>
    <d v="2024-10-18T00:00:00"/>
    <x v="0"/>
    <s v="New music just dropped. Hit play!"/>
    <x v="23"/>
    <x v="22"/>
    <x v="22"/>
    <n v="28712"/>
    <n v="61620"/>
    <n v="174"/>
    <s v="#SoundtrackOfLife"/>
    <s v="IndieWave"/>
  </r>
  <r>
    <s v="SP025"/>
    <x v="2"/>
    <d v="2024-10-10T00:00:00"/>
    <x v="2"/>
    <s v="From pop to podcasts, itâ€™s all here."/>
    <x v="24"/>
    <x v="23"/>
    <x v="23"/>
    <n v="54605"/>
    <n v="60169"/>
    <n v="232"/>
    <s v="#DiscoverWeekly,#SoundtrackOfLife"/>
    <s v="SummerBeats"/>
  </r>
  <r>
    <s v="SP026"/>
    <x v="1"/>
    <d v="2025-05-14T00:00:00"/>
    <x v="1"/>
    <s v="From pop to podcasts, itâ€™s all here."/>
    <x v="25"/>
    <x v="24"/>
    <x v="24"/>
    <n v="55302"/>
    <n v="18801"/>
    <n v="147"/>
    <s v="#DiscoverWeekly,#MusicForEveryone"/>
    <s v="ChillVibes"/>
  </r>
  <r>
    <s v="SP027"/>
    <x v="0"/>
    <d v="2024-11-29T00:00:00"/>
    <x v="0"/>
    <s v="Whatâ€™s your vibe today? #SpotifyHits"/>
    <x v="26"/>
    <x v="25"/>
    <x v="25"/>
    <n v="31004"/>
    <n v="53488"/>
    <n v="268"/>
    <s v="#SoundtrackOfLife,#NowPlaying"/>
    <s v="ChillVibes"/>
  </r>
  <r>
    <s v="SP028"/>
    <x v="2"/>
    <d v="2024-03-05T00:00:00"/>
    <x v="2"/>
    <s v="Explore the latest podcasts now."/>
    <x v="27"/>
    <x v="26"/>
    <x v="26"/>
    <n v="49612"/>
    <n v="53929"/>
    <n v="206"/>
    <s v="#DiscoverWeekly,#SoundtrackOfLife"/>
    <s v="SummerBeats"/>
  </r>
  <r>
    <s v="SP029"/>
    <x v="1"/>
    <d v="2025-03-18T00:00:00"/>
    <x v="1"/>
    <s v="Explore the latest podcasts now."/>
    <x v="28"/>
    <x v="27"/>
    <x v="27"/>
    <n v="57431"/>
    <n v="36933"/>
    <n v="202"/>
    <s v="#MusicForEveryone,#NowPlaying"/>
    <s v="ChillVibes"/>
  </r>
  <r>
    <s v="SP030"/>
    <x v="1"/>
    <d v="2025-04-26T00:00:00"/>
    <x v="0"/>
    <s v="Discover fresh beats on Spotify!"/>
    <x v="29"/>
    <x v="28"/>
    <x v="28"/>
    <n v="26665"/>
    <n v="71699"/>
    <n v="197"/>
    <s v="#NowPlaying"/>
    <s v="ChillVibes"/>
  </r>
  <r>
    <s v="SP031"/>
    <x v="0"/>
    <d v="2025-01-01T00:00:00"/>
    <x v="0"/>
    <s v="New music just dropped. Hit play!"/>
    <x v="30"/>
    <x v="29"/>
    <x v="29"/>
    <n v="56284"/>
    <n v="29440"/>
    <n v="279"/>
    <s v="#SoundtrackOfLife,#NowPlaying"/>
    <s v="ChillVibes"/>
  </r>
  <r>
    <s v="SP032"/>
    <x v="1"/>
    <d v="2024-05-07T00:00:00"/>
    <x v="1"/>
    <s v="Explore the latest podcasts now."/>
    <x v="31"/>
    <x v="30"/>
    <x v="30"/>
    <n v="43365"/>
    <n v="48408"/>
    <n v="138"/>
    <s v="#SoundtrackOfLife,#NowPlaying"/>
    <s v="ChillVibes"/>
  </r>
  <r>
    <s v="SP033"/>
    <x v="1"/>
    <d v="2024-10-09T00:00:00"/>
    <x v="1"/>
    <s v="Discover fresh beats on Spotify!"/>
    <x v="32"/>
    <x v="31"/>
    <x v="31"/>
    <n v="32181"/>
    <n v="31084"/>
    <n v="289"/>
    <s v="#DiscoverWeekly,#MusicForEveryone"/>
    <s v="ChillVibes"/>
  </r>
  <r>
    <s v="SP034"/>
    <x v="0"/>
    <d v="2025-01-09T00:00:00"/>
    <x v="0"/>
    <s v="New music just dropped. Hit play!"/>
    <x v="33"/>
    <x v="32"/>
    <x v="18"/>
    <n v="38127"/>
    <n v="63790"/>
    <n v="287"/>
    <s v="#SoundtrackOfLife,#NowPlaying"/>
    <s v="ChillVibes"/>
  </r>
  <r>
    <s v="SP035"/>
    <x v="1"/>
    <d v="2025-05-08T00:00:00"/>
    <x v="1"/>
    <s v="Your weekend playlist is waiting."/>
    <x v="34"/>
    <x v="33"/>
    <x v="32"/>
    <n v="40095"/>
    <n v="36913"/>
    <n v="265"/>
    <s v="#MusicForEveryone,#NowPlaying"/>
    <s v="ChillVibes"/>
  </r>
  <r>
    <s v="SP036"/>
    <x v="0"/>
    <d v="2024-05-04T00:00:00"/>
    <x v="0"/>
    <s v="Wrapped is here! Relive your top tracks ðŸŽ§"/>
    <x v="35"/>
    <x v="34"/>
    <x v="33"/>
    <n v="43066"/>
    <n v="59174"/>
    <n v="80"/>
    <s v="#DiscoverWeekly"/>
    <s v="IndieWave"/>
  </r>
  <r>
    <s v="SP037"/>
    <x v="1"/>
    <d v="2025-05-27T00:00:00"/>
    <x v="1"/>
    <s v="Explore the latest podcasts now."/>
    <x v="36"/>
    <x v="35"/>
    <x v="34"/>
    <n v="45300"/>
    <n v="31795"/>
    <n v="80"/>
    <s v="#MusicForEveryone,#NowPlaying"/>
    <s v="ChillVibes"/>
  </r>
  <r>
    <s v="SP038"/>
    <x v="0"/>
    <d v="2024-09-10T00:00:00"/>
    <x v="1"/>
    <s v="New music just dropped. Hit play!"/>
    <x v="37"/>
    <x v="36"/>
    <x v="35"/>
    <n v="44629"/>
    <n v="40699"/>
    <n v="195"/>
    <s v="#NowPlaying"/>
    <s v="Wrapped2024"/>
  </r>
  <r>
    <s v="SP039"/>
    <x v="0"/>
    <d v="2024-11-25T00:00:00"/>
    <x v="0"/>
    <s v="From pop to podcasts, itâ€™s all here."/>
    <x v="38"/>
    <x v="37"/>
    <x v="36"/>
    <n v="51386"/>
    <n v="51706"/>
    <n v="133"/>
    <s v="#DiscoverWeekly"/>
    <s v="IndieWave"/>
  </r>
  <r>
    <s v="SP040"/>
    <x v="1"/>
    <d v="2025-06-10T00:00:00"/>
    <x v="0"/>
    <s v="Explore the latest podcasts now."/>
    <x v="39"/>
    <x v="38"/>
    <x v="37"/>
    <n v="27492"/>
    <n v="35341"/>
    <n v="125"/>
    <s v="#NowPlaying"/>
    <s v="ChillVibes"/>
  </r>
  <r>
    <s v="SP041"/>
    <x v="0"/>
    <d v="2024-04-19T00:00:00"/>
    <x v="0"/>
    <s v="New music just dropped. Hit play!"/>
    <x v="40"/>
    <x v="11"/>
    <x v="38"/>
    <n v="41265"/>
    <n v="37279"/>
    <n v="275"/>
    <s v="#SoundtrackOfLife,#NowPlaying"/>
    <s v="ChillVibes"/>
  </r>
  <r>
    <s v="SP042"/>
    <x v="0"/>
    <d v="2025-01-26T00:00:00"/>
    <x v="1"/>
    <s v="Whatâ€™s your vibe today? #SpotifyHits"/>
    <x v="41"/>
    <x v="39"/>
    <x v="1"/>
    <n v="44853"/>
    <n v="69032"/>
    <n v="211"/>
    <s v="#NowPlaying"/>
    <s v="Wrapped2024"/>
  </r>
  <r>
    <s v="SP043"/>
    <x v="0"/>
    <d v="2025-02-14T00:00:00"/>
    <x v="0"/>
    <s v="Top trending tracks updated daily!"/>
    <x v="42"/>
    <x v="40"/>
    <x v="27"/>
    <n v="48746"/>
    <n v="37312"/>
    <n v="154"/>
    <s v="#SoundtrackOfLife,#NowPlaying"/>
    <s v="ChillVibes"/>
  </r>
  <r>
    <s v="SP044"/>
    <x v="0"/>
    <d v="2024-09-06T00:00:00"/>
    <x v="0"/>
    <s v="New music just dropped. Hit play!"/>
    <x v="43"/>
    <x v="41"/>
    <x v="39"/>
    <n v="51556"/>
    <n v="62599"/>
    <n v="290"/>
    <s v="#DiscoverWeekly"/>
    <s v="IndieWave"/>
  </r>
  <r>
    <s v="SP045"/>
    <x v="2"/>
    <d v="2024-07-14T00:00:00"/>
    <x v="0"/>
    <s v="Your weekend playlist is waiting."/>
    <x v="44"/>
    <x v="42"/>
    <x v="40"/>
    <n v="36148"/>
    <n v="24209"/>
    <n v="201"/>
    <s v="#DiscoverWeekly,#SpotifyWrapped"/>
    <s v="IndieWave"/>
  </r>
  <r>
    <s v="SP046"/>
    <x v="0"/>
    <d v="2024-02-12T00:00:00"/>
    <x v="0"/>
    <s v="Explore the latest podcasts now."/>
    <x v="45"/>
    <x v="43"/>
    <x v="41"/>
    <n v="23993"/>
    <n v="74590"/>
    <n v="92"/>
    <s v="#DiscoverWeekly"/>
    <s v="IndieWave"/>
  </r>
  <r>
    <s v="SP047"/>
    <x v="2"/>
    <d v="2024-03-14T00:00:00"/>
    <x v="2"/>
    <s v="From pop to podcasts, itâ€™s all here."/>
    <x v="46"/>
    <x v="27"/>
    <x v="42"/>
    <n v="39838"/>
    <n v="24536"/>
    <n v="120"/>
    <s v="#DiscoverWeekly,#SoundtrackOfLife"/>
    <s v="SummerBeats"/>
  </r>
  <r>
    <s v="SP048"/>
    <x v="0"/>
    <d v="2025-02-05T00:00:00"/>
    <x v="1"/>
    <s v="Music that moves youâ€”only on Spotify."/>
    <x v="47"/>
    <x v="44"/>
    <x v="43"/>
    <n v="24104"/>
    <n v="57803"/>
    <n v="213"/>
    <s v="#NowPlaying"/>
    <s v="Wrapped2024"/>
  </r>
  <r>
    <s v="SP049"/>
    <x v="1"/>
    <d v="2024-08-29T00:00:00"/>
    <x v="1"/>
    <s v="Get into the groove with our new drop!"/>
    <x v="48"/>
    <x v="45"/>
    <x v="44"/>
    <n v="43443"/>
    <n v="41005"/>
    <n v="191"/>
    <s v="#DiscoverWeekly,#MusicForEveryone"/>
    <s v="ChillVibes"/>
  </r>
  <r>
    <s v="SP050"/>
    <x v="1"/>
    <d v="2025-04-22T00:00:00"/>
    <x v="0"/>
    <s v="Discover fresh beats on Spotify!"/>
    <x v="49"/>
    <x v="46"/>
    <x v="45"/>
    <n v="24890"/>
    <n v="54361"/>
    <n v="148"/>
    <s v="#NowPlaying"/>
    <s v="ChillVibes"/>
  </r>
  <r>
    <s v="SP051"/>
    <x v="2"/>
    <d v="2024-05-13T00:00:00"/>
    <x v="2"/>
    <s v="Explore the latest podcasts now."/>
    <x v="50"/>
    <x v="47"/>
    <x v="12"/>
    <n v="45884"/>
    <n v="48955"/>
    <n v="215"/>
    <s v="#DiscoverWeekly,#SoundtrackOfLife"/>
    <s v="SummerBeats"/>
  </r>
  <r>
    <s v="SP052"/>
    <x v="1"/>
    <d v="2024-09-04T00:00:00"/>
    <x v="1"/>
    <s v="New music just dropped. Hit play!"/>
    <x v="51"/>
    <x v="48"/>
    <x v="46"/>
    <n v="21645"/>
    <n v="61334"/>
    <n v="261"/>
    <s v="#DiscoverWeekly,#MusicForEveryone"/>
    <s v="ChillVibes"/>
  </r>
  <r>
    <s v="SP053"/>
    <x v="1"/>
    <d v="2024-08-12T00:00:00"/>
    <x v="1"/>
    <s v="Whatâ€™s your vibe today? #SpotifyHits"/>
    <x v="52"/>
    <x v="49"/>
    <x v="47"/>
    <n v="57660"/>
    <n v="68606"/>
    <n v="87"/>
    <s v="#MusicForEveryone,#NowPlaying"/>
    <s v="ChillVibes"/>
  </r>
  <r>
    <s v="SP054"/>
    <x v="0"/>
    <d v="2025-03-06T00:00:00"/>
    <x v="0"/>
    <s v="Get into the groove with our new drop!"/>
    <x v="53"/>
    <x v="50"/>
    <x v="48"/>
    <n v="58075"/>
    <n v="59574"/>
    <n v="239"/>
    <s v="#DiscoverWeekly"/>
    <s v="IndieWave"/>
  </r>
  <r>
    <s v="SP055"/>
    <x v="1"/>
    <d v="2024-05-08T00:00:00"/>
    <x v="0"/>
    <s v="Explore the latest podcasts now."/>
    <x v="54"/>
    <x v="40"/>
    <x v="49"/>
    <n v="52115"/>
    <n v="19166"/>
    <n v="190"/>
    <s v="#NowPlaying"/>
    <s v="ChillVibes"/>
  </r>
  <r>
    <s v="SP056"/>
    <x v="0"/>
    <d v="2025-02-19T00:00:00"/>
    <x v="1"/>
    <s v="From pop to podcasts, itâ€™s all here."/>
    <x v="55"/>
    <x v="48"/>
    <x v="50"/>
    <n v="23428"/>
    <n v="46775"/>
    <n v="259"/>
    <s v="#NowPlaying"/>
    <s v="Wrapped2024"/>
  </r>
  <r>
    <s v="SP057"/>
    <x v="0"/>
    <d v="2024-01-08T00:00:00"/>
    <x v="0"/>
    <s v="Top trending tracks updated daily!"/>
    <x v="56"/>
    <x v="51"/>
    <x v="44"/>
    <n v="31233"/>
    <n v="58106"/>
    <n v="291"/>
    <s v="#DiscoverWeekly"/>
    <s v="IndieWave"/>
  </r>
  <r>
    <s v="SP058"/>
    <x v="2"/>
    <d v="2024-07-17T00:00:00"/>
    <x v="0"/>
    <s v="Top trending tracks updated daily!"/>
    <x v="57"/>
    <x v="52"/>
    <x v="51"/>
    <n v="39192"/>
    <n v="24744"/>
    <n v="177"/>
    <s v="#DiscoverWeekly,#SpotifyWrapped"/>
    <s v="IndieWave"/>
  </r>
  <r>
    <s v="SP059"/>
    <x v="2"/>
    <d v="2024-08-10T00:00:00"/>
    <x v="0"/>
    <s v="From pop to podcasts, itâ€™s all here."/>
    <x v="58"/>
    <x v="53"/>
    <x v="52"/>
    <n v="53581"/>
    <n v="74048"/>
    <n v="220"/>
    <s v="#DiscoverWeekly,#SpotifyWrapped"/>
    <s v="IndieWave"/>
  </r>
  <r>
    <s v="SP060"/>
    <x v="2"/>
    <d v="2024-04-16T00:00:00"/>
    <x v="0"/>
    <s v="Discover fresh beats on Spotify!"/>
    <x v="6"/>
    <x v="54"/>
    <x v="53"/>
    <n v="45503"/>
    <n v="46814"/>
    <n v="116"/>
    <s v="#DiscoverWeekly,#SpotifyWrapped"/>
    <s v="IndieWave"/>
  </r>
  <r>
    <s v="SP061"/>
    <x v="2"/>
    <d v="2024-01-01T00:00:00"/>
    <x v="2"/>
    <s v="Explore the latest podcasts now."/>
    <x v="59"/>
    <x v="55"/>
    <x v="54"/>
    <n v="44558"/>
    <n v="30854"/>
    <n v="171"/>
    <s v="#DiscoverWeekly,#SoundtrackOfLife"/>
    <s v="SummerBeats"/>
  </r>
  <r>
    <s v="SP062"/>
    <x v="1"/>
    <d v="2024-11-03T00:00:00"/>
    <x v="1"/>
    <s v="Wrapped is here! Relive your top tracks ðŸŽ§"/>
    <x v="60"/>
    <x v="56"/>
    <x v="55"/>
    <n v="54036"/>
    <n v="69015"/>
    <n v="182"/>
    <s v="#MusicForEveryone,#NowPlaying"/>
    <s v="ChillVibes"/>
  </r>
  <r>
    <s v="SP063"/>
    <x v="1"/>
    <d v="2024-07-07T00:00:00"/>
    <x v="0"/>
    <s v="New music just dropped. Hit play!"/>
    <x v="61"/>
    <x v="57"/>
    <x v="56"/>
    <n v="37302"/>
    <n v="68953"/>
    <n v="237"/>
    <s v="#SoundtrackOfLife"/>
    <s v="IndieWave"/>
  </r>
  <r>
    <s v="SP064"/>
    <x v="1"/>
    <d v="2025-01-22T00:00:00"/>
    <x v="1"/>
    <s v="New music just dropped. Hit play!"/>
    <x v="62"/>
    <x v="16"/>
    <x v="57"/>
    <n v="51035"/>
    <n v="58207"/>
    <n v="205"/>
    <s v="#MusicForEveryone,#NowPlaying"/>
    <s v="ChillVibes"/>
  </r>
  <r>
    <s v="SP065"/>
    <x v="2"/>
    <d v="2024-05-26T00:00:00"/>
    <x v="0"/>
    <s v="From pop to podcasts, itâ€™s all here."/>
    <x v="63"/>
    <x v="58"/>
    <x v="58"/>
    <n v="53805"/>
    <n v="30239"/>
    <n v="109"/>
    <s v="#DiscoverWeekly,#SpotifyWrapped"/>
    <s v="IndieWave"/>
  </r>
  <r>
    <s v="SP066"/>
    <x v="0"/>
    <d v="2025-04-16T00:00:00"/>
    <x v="0"/>
    <s v="Wrapped is here! Relive your top tracks ðŸŽ§"/>
    <x v="64"/>
    <x v="59"/>
    <x v="59"/>
    <n v="58792"/>
    <n v="47711"/>
    <n v="227"/>
    <s v="#SoundtrackOfLife,#NowPlaying"/>
    <s v="ChillVibes"/>
  </r>
  <r>
    <s v="SP067"/>
    <x v="2"/>
    <d v="2024-04-02T00:00:00"/>
    <x v="2"/>
    <s v="Your weekend playlist is waiting."/>
    <x v="65"/>
    <x v="60"/>
    <x v="60"/>
    <n v="30619"/>
    <n v="23328"/>
    <n v="267"/>
    <s v="#DiscoverWeekly,#SoundtrackOfLife"/>
    <s v="SummerBeats"/>
  </r>
  <r>
    <s v="SP068"/>
    <x v="1"/>
    <d v="2024-03-28T00:00:00"/>
    <x v="0"/>
    <s v="Music that moves youâ€”only on Spotify."/>
    <x v="66"/>
    <x v="46"/>
    <x v="61"/>
    <n v="20580"/>
    <n v="30324"/>
    <n v="221"/>
    <s v="#SoundtrackOfLife"/>
    <s v="IndieWave"/>
  </r>
  <r>
    <s v="SP069"/>
    <x v="1"/>
    <d v="2024-12-17T00:00:00"/>
    <x v="1"/>
    <s v="Music that moves youâ€”only on Spotify."/>
    <x v="67"/>
    <x v="37"/>
    <x v="62"/>
    <n v="44692"/>
    <n v="53343"/>
    <n v="227"/>
    <s v="#DiscoverWeekly,#MusicForEveryone"/>
    <s v="ChillVibes"/>
  </r>
  <r>
    <s v="SP070"/>
    <x v="1"/>
    <d v="2025-01-05T00:00:00"/>
    <x v="0"/>
    <s v="Wrapped is here! Relive your top tracks ðŸŽ§"/>
    <x v="68"/>
    <x v="61"/>
    <x v="63"/>
    <n v="51964"/>
    <n v="68795"/>
    <n v="107"/>
    <s v="#NowPlaying"/>
    <s v="ChillVibes"/>
  </r>
  <r>
    <s v="SP071"/>
    <x v="1"/>
    <d v="2024-01-11T00:00:00"/>
    <x v="0"/>
    <s v="Whatâ€™s your vibe today? #SpotifyHits"/>
    <x v="69"/>
    <x v="62"/>
    <x v="64"/>
    <n v="28914"/>
    <n v="18310"/>
    <n v="135"/>
    <s v="#SoundtrackOfLife"/>
    <s v="IndieWave"/>
  </r>
  <r>
    <s v="SP072"/>
    <x v="0"/>
    <d v="2024-10-11T00:00:00"/>
    <x v="0"/>
    <s v="From pop to podcasts, itâ€™s all here."/>
    <x v="70"/>
    <x v="63"/>
    <x v="65"/>
    <n v="20368"/>
    <n v="42152"/>
    <n v="193"/>
    <s v="#DiscoverWeekly"/>
    <s v="IndieWave"/>
  </r>
  <r>
    <s v="SP073"/>
    <x v="2"/>
    <d v="2025-05-06T00:00:00"/>
    <x v="2"/>
    <s v="Discover fresh beats on Spotify!"/>
    <x v="71"/>
    <x v="64"/>
    <x v="66"/>
    <n v="36528"/>
    <n v="38599"/>
    <n v="270"/>
    <s v="#DiscoverWeekly,#SoundtrackOfLife"/>
    <s v="SummerBeats"/>
  </r>
  <r>
    <s v="SP074"/>
    <x v="1"/>
    <d v="2024-05-19T00:00:00"/>
    <x v="1"/>
    <s v="Get into the groove with our new drop!"/>
    <x v="72"/>
    <x v="65"/>
    <x v="67"/>
    <n v="53342"/>
    <n v="25095"/>
    <n v="88"/>
    <s v="#DiscoverWeekly,#MusicForEveryone"/>
    <s v="ChillVibes"/>
  </r>
  <r>
    <s v="SP075"/>
    <x v="1"/>
    <d v="2024-01-22T00:00:00"/>
    <x v="1"/>
    <s v="From pop to podcasts, itâ€™s all here."/>
    <x v="73"/>
    <x v="48"/>
    <x v="68"/>
    <n v="41947"/>
    <n v="48578"/>
    <n v="101"/>
    <s v="#SoundtrackOfLife,#NowPlaying"/>
    <s v="ChillVibes"/>
  </r>
  <r>
    <s v="SP076"/>
    <x v="0"/>
    <d v="2024-07-14T00:00:00"/>
    <x v="0"/>
    <s v="Wrapped is here! Relive your top tracks ðŸŽ§"/>
    <x v="74"/>
    <x v="66"/>
    <x v="69"/>
    <n v="38665"/>
    <n v="73593"/>
    <n v="207"/>
    <s v="#DiscoverWeekly"/>
    <s v="IndieWave"/>
  </r>
  <r>
    <s v="SP077"/>
    <x v="1"/>
    <d v="2025-05-28T00:00:00"/>
    <x v="0"/>
    <s v="From pop to podcasts, itâ€™s all here."/>
    <x v="75"/>
    <x v="67"/>
    <x v="70"/>
    <n v="30589"/>
    <n v="41383"/>
    <n v="88"/>
    <s v="#NowPlaying"/>
    <s v="ChillVibes"/>
  </r>
  <r>
    <s v="SP078"/>
    <x v="1"/>
    <d v="2025-01-21T00:00:00"/>
    <x v="1"/>
    <s v="Discover fresh beats on Spotify!"/>
    <x v="76"/>
    <x v="68"/>
    <x v="52"/>
    <n v="22580"/>
    <n v="22214"/>
    <n v="109"/>
    <s v="#MusicForEveryone,#NowPlaying"/>
    <s v="ChillVibes"/>
  </r>
  <r>
    <s v="SP079"/>
    <x v="2"/>
    <d v="2024-01-13T00:00:00"/>
    <x v="2"/>
    <s v="New music just dropped. Hit play!"/>
    <x v="77"/>
    <x v="69"/>
    <x v="71"/>
    <n v="35535"/>
    <n v="50777"/>
    <n v="128"/>
    <s v="#DiscoverWeekly,#SoundtrackOfLife"/>
    <s v="SummerBeats"/>
  </r>
  <r>
    <s v="SP080"/>
    <x v="0"/>
    <d v="2025-06-17T00:00:00"/>
    <x v="0"/>
    <s v="Music that moves youâ€”only on Spotify."/>
    <x v="78"/>
    <x v="70"/>
    <x v="72"/>
    <n v="37400"/>
    <n v="65014"/>
    <n v="157"/>
    <s v="#SoundtrackOfLife,#NowPlaying"/>
    <s v="ChillVibes"/>
  </r>
  <r>
    <s v="SP081"/>
    <x v="1"/>
    <d v="2025-03-07T00:00:00"/>
    <x v="0"/>
    <s v="Get into the groove with our new drop!"/>
    <x v="79"/>
    <x v="71"/>
    <x v="73"/>
    <n v="56623"/>
    <n v="41343"/>
    <n v="184"/>
    <s v="#SoundtrackOfLife"/>
    <s v="IndieWave"/>
  </r>
  <r>
    <s v="SP082"/>
    <x v="0"/>
    <d v="2024-08-26T00:00:00"/>
    <x v="0"/>
    <s v="Your weekend playlist is waiting."/>
    <x v="80"/>
    <x v="53"/>
    <x v="10"/>
    <n v="43650"/>
    <n v="50079"/>
    <n v="182"/>
    <s v="#DiscoverWeekly"/>
    <s v="IndieWave"/>
  </r>
  <r>
    <s v="SP083"/>
    <x v="1"/>
    <d v="2025-01-03T00:00:00"/>
    <x v="1"/>
    <s v="Get into the groove with our new drop!"/>
    <x v="81"/>
    <x v="72"/>
    <x v="74"/>
    <n v="34578"/>
    <n v="51480"/>
    <n v="180"/>
    <s v="#SoundtrackOfLife,#NowPlaying"/>
    <s v="ChillVibes"/>
  </r>
  <r>
    <s v="SP084"/>
    <x v="1"/>
    <d v="2024-08-03T00:00:00"/>
    <x v="0"/>
    <s v="Your weekend playlist is waiting."/>
    <x v="82"/>
    <x v="73"/>
    <x v="75"/>
    <n v="29785"/>
    <n v="57768"/>
    <n v="122"/>
    <s v="#NowPlaying"/>
    <s v="ChillVibes"/>
  </r>
  <r>
    <s v="SP085"/>
    <x v="0"/>
    <d v="2024-08-18T00:00:00"/>
    <x v="0"/>
    <s v="Explore the latest podcasts now."/>
    <x v="83"/>
    <x v="74"/>
    <x v="76"/>
    <n v="57685"/>
    <n v="67536"/>
    <n v="264"/>
    <s v="#SoundtrackOfLife,#NowPlaying"/>
    <s v="ChillVibes"/>
  </r>
  <r>
    <s v="SP086"/>
    <x v="1"/>
    <d v="2025-05-14T00:00:00"/>
    <x v="1"/>
    <s v="Wrapped is here! Relive your top tracks ðŸŽ§"/>
    <x v="84"/>
    <x v="75"/>
    <x v="77"/>
    <n v="36140"/>
    <n v="39395"/>
    <n v="169"/>
    <s v="#SoundtrackOfLife,#NowPlaying"/>
    <s v="ChillVibes"/>
  </r>
  <r>
    <s v="SP087"/>
    <x v="1"/>
    <d v="2024-04-23T00:00:00"/>
    <x v="1"/>
    <s v="Discover fresh beats on Spotify!"/>
    <x v="56"/>
    <x v="64"/>
    <x v="78"/>
    <n v="53435"/>
    <n v="30334"/>
    <n v="160"/>
    <s v="#SoundtrackOfLife,#NowPlaying"/>
    <s v="ChillVibes"/>
  </r>
  <r>
    <s v="SP088"/>
    <x v="1"/>
    <d v="2025-02-17T00:00:00"/>
    <x v="1"/>
    <s v="Whatâ€™s your vibe today? #SpotifyHits"/>
    <x v="85"/>
    <x v="76"/>
    <x v="79"/>
    <n v="30752"/>
    <n v="33870"/>
    <n v="298"/>
    <s v="#SoundtrackOfLife,#NowPlaying"/>
    <s v="ChillVibes"/>
  </r>
  <r>
    <s v="SP089"/>
    <x v="0"/>
    <d v="2024-12-04T00:00:00"/>
    <x v="0"/>
    <s v="Wrapped is here! Relive your top tracks ðŸŽ§"/>
    <x v="86"/>
    <x v="77"/>
    <x v="72"/>
    <n v="32368"/>
    <n v="49028"/>
    <n v="120"/>
    <s v="#SoundtrackOfLife,#NowPlaying"/>
    <s v="ChillVibes"/>
  </r>
  <r>
    <s v="SP090"/>
    <x v="1"/>
    <d v="2024-07-22T00:00:00"/>
    <x v="1"/>
    <s v="Wrapped is here! Relive your top tracks ðŸŽ§"/>
    <x v="87"/>
    <x v="3"/>
    <x v="80"/>
    <n v="22117"/>
    <n v="26205"/>
    <n v="160"/>
    <s v="#MusicForEveryone,#NowPlaying"/>
    <s v="ChillVibes"/>
  </r>
  <r>
    <s v="SP091"/>
    <x v="1"/>
    <d v="2025-04-27T00:00:00"/>
    <x v="0"/>
    <s v="Explore the latest podcasts now."/>
    <x v="88"/>
    <x v="78"/>
    <x v="16"/>
    <n v="20659"/>
    <n v="45926"/>
    <n v="111"/>
    <s v="#SoundtrackOfLife"/>
    <s v="IndieWave"/>
  </r>
  <r>
    <s v="SP092"/>
    <x v="2"/>
    <d v="2024-03-25T00:00:00"/>
    <x v="2"/>
    <s v="Explore the latest podcasts now."/>
    <x v="89"/>
    <x v="79"/>
    <x v="4"/>
    <n v="30321"/>
    <n v="57121"/>
    <n v="82"/>
    <s v="#DiscoverWeekly,#SoundtrackOfLife"/>
    <s v="SummerBeats"/>
  </r>
  <r>
    <s v="SP093"/>
    <x v="0"/>
    <d v="2024-02-29T00:00:00"/>
    <x v="0"/>
    <s v="From pop to podcasts, itâ€™s all here."/>
    <x v="90"/>
    <x v="3"/>
    <x v="81"/>
    <n v="25641"/>
    <n v="34601"/>
    <n v="169"/>
    <s v="#DiscoverWeekly"/>
    <s v="IndieWave"/>
  </r>
  <r>
    <s v="SP094"/>
    <x v="1"/>
    <d v="2024-11-13T00:00:00"/>
    <x v="1"/>
    <s v="Top trending tracks updated daily!"/>
    <x v="91"/>
    <x v="80"/>
    <x v="82"/>
    <n v="36686"/>
    <n v="54683"/>
    <n v="98"/>
    <s v="#SoundtrackOfLife,#NowPlaying"/>
    <s v="ChillVibes"/>
  </r>
  <r>
    <s v="SP095"/>
    <x v="0"/>
    <d v="2024-03-22T00:00:00"/>
    <x v="1"/>
    <s v="Discover fresh beats on Spotify!"/>
    <x v="92"/>
    <x v="81"/>
    <x v="83"/>
    <n v="21202"/>
    <n v="18091"/>
    <n v="241"/>
    <s v="#NowPlaying"/>
    <s v="Wrapped2024"/>
  </r>
  <r>
    <s v="SP096"/>
    <x v="1"/>
    <d v="2024-03-16T00:00:00"/>
    <x v="1"/>
    <s v="Wrapped is here! Relive your top tracks ðŸŽ§"/>
    <x v="93"/>
    <x v="82"/>
    <x v="84"/>
    <n v="24223"/>
    <n v="54626"/>
    <n v="114"/>
    <s v="#SoundtrackOfLife,#NowPlaying"/>
    <s v="ChillVibes"/>
  </r>
  <r>
    <s v="SP097"/>
    <x v="0"/>
    <d v="2024-01-26T00:00:00"/>
    <x v="0"/>
    <s v="Whatâ€™s your vibe today? #SpotifyHits"/>
    <x v="94"/>
    <x v="83"/>
    <x v="85"/>
    <n v="41763"/>
    <n v="29729"/>
    <n v="191"/>
    <s v="#DiscoverWeekly"/>
    <s v="IndieWave"/>
  </r>
  <r>
    <s v="SP098"/>
    <x v="1"/>
    <d v="2024-03-15T00:00:00"/>
    <x v="1"/>
    <s v="Get into the groove with our new drop!"/>
    <x v="95"/>
    <x v="84"/>
    <x v="86"/>
    <n v="59552"/>
    <n v="23885"/>
    <n v="157"/>
    <s v="#DiscoverWeekly,#MusicForEveryone"/>
    <s v="ChillVibes"/>
  </r>
  <r>
    <s v="SP099"/>
    <x v="1"/>
    <d v="2024-10-15T00:00:00"/>
    <x v="0"/>
    <s v="Wrapped is here! Relive your top tracks ðŸŽ§"/>
    <x v="96"/>
    <x v="47"/>
    <x v="60"/>
    <n v="40681"/>
    <n v="63111"/>
    <n v="258"/>
    <s v="#NowPlaying"/>
    <s v="ChillVibes"/>
  </r>
  <r>
    <s v="SP100"/>
    <x v="0"/>
    <d v="2024-07-21T00:00:00"/>
    <x v="0"/>
    <s v="Discover fresh beats on Spotify!"/>
    <x v="97"/>
    <x v="85"/>
    <x v="87"/>
    <n v="36090"/>
    <n v="37073"/>
    <n v="181"/>
    <s v="#DiscoverWeekly"/>
    <s v="IndieWave"/>
  </r>
  <r>
    <s v="SP101"/>
    <x v="1"/>
    <d v="2024-10-12T00:00:00"/>
    <x v="0"/>
    <s v="Get into the groove with our new drop!"/>
    <x v="98"/>
    <x v="86"/>
    <x v="88"/>
    <n v="45012"/>
    <n v="38508"/>
    <n v="218"/>
    <s v="#NowPlaying"/>
    <s v="ChillVibes"/>
  </r>
  <r>
    <s v="SP102"/>
    <x v="1"/>
    <d v="2024-10-26T00:00:00"/>
    <x v="0"/>
    <s v="Discover fresh beats on Spotify!"/>
    <x v="99"/>
    <x v="87"/>
    <x v="89"/>
    <n v="23776"/>
    <n v="46386"/>
    <n v="282"/>
    <s v="#NowPlaying"/>
    <s v="ChillVibes"/>
  </r>
  <r>
    <s v="SP103"/>
    <x v="0"/>
    <d v="2024-02-14T00:00:00"/>
    <x v="0"/>
    <s v="Music that moves youâ€”only on Spotify."/>
    <x v="100"/>
    <x v="29"/>
    <x v="90"/>
    <n v="31870"/>
    <n v="55742"/>
    <n v="263"/>
    <s v="#SoundtrackOfLife,#NowPlaying"/>
    <s v="ChillVibes"/>
  </r>
  <r>
    <s v="SP104"/>
    <x v="1"/>
    <d v="2024-05-01T00:00:00"/>
    <x v="1"/>
    <s v="Whatâ€™s your vibe today? #SpotifyHits"/>
    <x v="101"/>
    <x v="88"/>
    <x v="64"/>
    <n v="36266"/>
    <n v="32877"/>
    <n v="132"/>
    <s v="#DiscoverWeekly,#MusicForEveryone"/>
    <s v="ChillVibes"/>
  </r>
  <r>
    <s v="SP105"/>
    <x v="1"/>
    <d v="2024-09-18T00:00:00"/>
    <x v="0"/>
    <s v="Discover fresh beats on Spotify!"/>
    <x v="102"/>
    <x v="89"/>
    <x v="91"/>
    <n v="52090"/>
    <n v="28924"/>
    <n v="133"/>
    <s v="#NowPlaying"/>
    <s v="ChillVibes"/>
  </r>
  <r>
    <s v="SP106"/>
    <x v="1"/>
    <d v="2025-01-20T00:00:00"/>
    <x v="1"/>
    <s v="New music just dropped. Hit play!"/>
    <x v="103"/>
    <x v="90"/>
    <x v="92"/>
    <n v="21334"/>
    <n v="46292"/>
    <n v="91"/>
    <s v="#SoundtrackOfLife,#NowPlaying"/>
    <s v="ChillVibes"/>
  </r>
  <r>
    <s v="SP107"/>
    <x v="1"/>
    <d v="2025-01-13T00:00:00"/>
    <x v="0"/>
    <s v="Music that moves youâ€”only on Spotify."/>
    <x v="104"/>
    <x v="91"/>
    <x v="40"/>
    <n v="52853"/>
    <n v="57084"/>
    <n v="102"/>
    <s v="#SoundtrackOfLife"/>
    <s v="IndieWave"/>
  </r>
  <r>
    <s v="SP108"/>
    <x v="2"/>
    <d v="2024-09-07T00:00:00"/>
    <x v="2"/>
    <s v="Music that moves youâ€”only on Spotify."/>
    <x v="5"/>
    <x v="92"/>
    <x v="93"/>
    <n v="41991"/>
    <n v="48554"/>
    <n v="118"/>
    <s v="#DiscoverWeekly,#SoundtrackOfLife"/>
    <s v="SummerBeats"/>
  </r>
  <r>
    <s v="SP109"/>
    <x v="0"/>
    <d v="2024-11-21T00:00:00"/>
    <x v="0"/>
    <s v="Music that moves youâ€”only on Spotify."/>
    <x v="105"/>
    <x v="53"/>
    <x v="94"/>
    <n v="35221"/>
    <n v="28797"/>
    <n v="164"/>
    <s v="#SoundtrackOfLife,#NowPlaying"/>
    <s v="ChillVibes"/>
  </r>
  <r>
    <s v="SP110"/>
    <x v="0"/>
    <d v="2024-06-26T00:00:00"/>
    <x v="0"/>
    <s v="New music just dropped. Hit play!"/>
    <x v="106"/>
    <x v="93"/>
    <x v="95"/>
    <n v="25397"/>
    <n v="51485"/>
    <n v="131"/>
    <s v="#DiscoverWeekly"/>
    <s v="IndieWave"/>
  </r>
  <r>
    <s v="SP111"/>
    <x v="2"/>
    <d v="2024-07-20T00:00:00"/>
    <x v="2"/>
    <s v="Music that moves youâ€”only on Spotify."/>
    <x v="107"/>
    <x v="94"/>
    <x v="96"/>
    <n v="33644"/>
    <n v="43547"/>
    <n v="194"/>
    <s v="#DiscoverWeekly,#SoundtrackOfLife"/>
    <s v="SummerBeats"/>
  </r>
  <r>
    <s v="SP112"/>
    <x v="0"/>
    <d v="2025-02-16T00:00:00"/>
    <x v="0"/>
    <s v="Your weekend playlist is waiting."/>
    <x v="108"/>
    <x v="95"/>
    <x v="97"/>
    <n v="36174"/>
    <n v="34517"/>
    <n v="170"/>
    <s v="#SoundtrackOfLife,#NowPlaying"/>
    <s v="ChillVibes"/>
  </r>
  <r>
    <s v="SP113"/>
    <x v="0"/>
    <d v="2024-09-09T00:00:00"/>
    <x v="0"/>
    <s v="New music just dropped. Hit play!"/>
    <x v="109"/>
    <x v="96"/>
    <x v="22"/>
    <n v="54342"/>
    <n v="18796"/>
    <n v="282"/>
    <s v="#SoundtrackOfLife,#NowPlaying"/>
    <s v="ChillVibes"/>
  </r>
  <r>
    <s v="SP114"/>
    <x v="1"/>
    <d v="2024-07-16T00:00:00"/>
    <x v="0"/>
    <s v="Top trending tracks updated daily!"/>
    <x v="110"/>
    <x v="97"/>
    <x v="98"/>
    <n v="46176"/>
    <n v="25488"/>
    <n v="141"/>
    <s v="#NowPlaying"/>
    <s v="ChillVibes"/>
  </r>
  <r>
    <s v="SP115"/>
    <x v="0"/>
    <d v="2025-04-15T00:00:00"/>
    <x v="0"/>
    <s v="Explore the latest podcasts now."/>
    <x v="111"/>
    <x v="98"/>
    <x v="47"/>
    <n v="57451"/>
    <n v="73793"/>
    <n v="251"/>
    <s v="#DiscoverWeekly"/>
    <s v="IndieWave"/>
  </r>
  <r>
    <s v="SP116"/>
    <x v="0"/>
    <d v="2025-05-04T00:00:00"/>
    <x v="1"/>
    <s v="New music just dropped. Hit play!"/>
    <x v="112"/>
    <x v="53"/>
    <x v="99"/>
    <n v="37148"/>
    <n v="44875"/>
    <n v="245"/>
    <s v="#NowPlaying"/>
    <s v="Wrapped2024"/>
  </r>
  <r>
    <s v="SP117"/>
    <x v="0"/>
    <d v="2024-02-18T00:00:00"/>
    <x v="1"/>
    <s v="From pop to podcasts, itâ€™s all here."/>
    <x v="113"/>
    <x v="99"/>
    <x v="100"/>
    <n v="58981"/>
    <n v="36118"/>
    <n v="211"/>
    <s v="#NowPlaying"/>
    <s v="Wrapped2024"/>
  </r>
  <r>
    <s v="SP118"/>
    <x v="1"/>
    <d v="2024-05-16T00:00:00"/>
    <x v="1"/>
    <s v="Music that moves youâ€”only on Spotify."/>
    <x v="114"/>
    <x v="100"/>
    <x v="101"/>
    <n v="54524"/>
    <n v="34790"/>
    <n v="195"/>
    <s v="#DiscoverWeekly,#MusicForEveryone"/>
    <s v="ChillVibes"/>
  </r>
  <r>
    <s v="SP119"/>
    <x v="1"/>
    <d v="2025-05-29T00:00:00"/>
    <x v="1"/>
    <s v="Music that moves youâ€”only on Spotify."/>
    <x v="115"/>
    <x v="101"/>
    <x v="61"/>
    <n v="44338"/>
    <n v="52165"/>
    <n v="176"/>
    <s v="#MusicForEveryone,#NowPlaying"/>
    <s v="ChillVibes"/>
  </r>
  <r>
    <s v="SP120"/>
    <x v="0"/>
    <d v="2025-01-17T00:00:00"/>
    <x v="0"/>
    <s v="Top trending tracks updated daily!"/>
    <x v="116"/>
    <x v="102"/>
    <x v="59"/>
    <n v="53759"/>
    <n v="46834"/>
    <n v="277"/>
    <s v="#DiscoverWeekly"/>
    <s v="IndieWave"/>
  </r>
  <r>
    <s v="SP121"/>
    <x v="0"/>
    <d v="2025-04-30T00:00:00"/>
    <x v="1"/>
    <s v="New music just dropped. Hit play!"/>
    <x v="117"/>
    <x v="103"/>
    <x v="102"/>
    <n v="48989"/>
    <n v="39768"/>
    <n v="200"/>
    <s v="#NowPlaying"/>
    <s v="Wrapped2024"/>
  </r>
  <r>
    <s v="SP122"/>
    <x v="1"/>
    <d v="2024-02-24T00:00:00"/>
    <x v="1"/>
    <s v="Music that moves youâ€”only on Spotify."/>
    <x v="118"/>
    <x v="104"/>
    <x v="70"/>
    <n v="51468"/>
    <n v="24279"/>
    <n v="230"/>
    <s v="#DiscoverWeekly,#MusicForEveryone"/>
    <s v="ChillVibes"/>
  </r>
  <r>
    <s v="SP123"/>
    <x v="2"/>
    <d v="2024-05-12T00:00:00"/>
    <x v="0"/>
    <s v="From pop to podcasts, itâ€™s all here."/>
    <x v="119"/>
    <x v="105"/>
    <x v="15"/>
    <n v="59083"/>
    <n v="49762"/>
    <n v="236"/>
    <s v="#DiscoverWeekly,#SpotifyWrapped"/>
    <s v="IndieWave"/>
  </r>
  <r>
    <s v="SP124"/>
    <x v="1"/>
    <d v="2024-05-09T00:00:00"/>
    <x v="1"/>
    <s v="New music just dropped. Hit play!"/>
    <x v="120"/>
    <x v="19"/>
    <x v="103"/>
    <n v="46328"/>
    <n v="44293"/>
    <n v="299"/>
    <s v="#SoundtrackOfLife,#NowPlaying"/>
    <s v="ChillVibes"/>
  </r>
  <r>
    <s v="SP125"/>
    <x v="1"/>
    <d v="2024-11-06T00:00:00"/>
    <x v="0"/>
    <s v="From pop to podcasts, itâ€™s all here."/>
    <x v="121"/>
    <x v="106"/>
    <x v="96"/>
    <n v="33347"/>
    <n v="22558"/>
    <n v="173"/>
    <s v="#NowPlaying"/>
    <s v="ChillVibes"/>
  </r>
  <r>
    <s v="SP126"/>
    <x v="1"/>
    <d v="2024-01-04T00:00:00"/>
    <x v="1"/>
    <s v="Whatâ€™s your vibe today? #SpotifyHits"/>
    <x v="122"/>
    <x v="107"/>
    <x v="104"/>
    <n v="56072"/>
    <n v="21061"/>
    <n v="113"/>
    <s v="#MusicForEveryone,#NowPlaying"/>
    <s v="ChillVibes"/>
  </r>
  <r>
    <s v="SP127"/>
    <x v="1"/>
    <d v="2024-01-28T00:00:00"/>
    <x v="0"/>
    <s v="Music that moves youâ€”only on Spotify."/>
    <x v="123"/>
    <x v="89"/>
    <x v="0"/>
    <n v="53485"/>
    <n v="59729"/>
    <n v="145"/>
    <s v="#SoundtrackOfLife"/>
    <s v="IndieWave"/>
  </r>
  <r>
    <s v="SP128"/>
    <x v="0"/>
    <d v="2024-02-22T00:00:00"/>
    <x v="0"/>
    <s v="New music just dropped. Hit play!"/>
    <x v="124"/>
    <x v="108"/>
    <x v="105"/>
    <n v="24615"/>
    <n v="51330"/>
    <n v="176"/>
    <s v="#SoundtrackOfLife,#NowPlaying"/>
    <s v="ChillVibes"/>
  </r>
  <r>
    <s v="SP129"/>
    <x v="1"/>
    <d v="2025-07-01T00:00:00"/>
    <x v="1"/>
    <s v="Explore the latest podcasts now."/>
    <x v="125"/>
    <x v="109"/>
    <x v="106"/>
    <n v="48879"/>
    <n v="37691"/>
    <n v="224"/>
    <s v="#DiscoverWeekly,#MusicForEveryone"/>
    <s v="ChillVibes"/>
  </r>
  <r>
    <s v="SP130"/>
    <x v="2"/>
    <d v="2024-01-10T00:00:00"/>
    <x v="0"/>
    <s v="Explore the latest podcasts now."/>
    <x v="126"/>
    <x v="110"/>
    <x v="20"/>
    <n v="59888"/>
    <n v="51449"/>
    <n v="205"/>
    <s v="#DiscoverWeekly,#SpotifyWrapped"/>
    <s v="IndieWave"/>
  </r>
  <r>
    <s v="SP131"/>
    <x v="1"/>
    <d v="2025-03-20T00:00:00"/>
    <x v="0"/>
    <s v="Your weekend playlist is waiting."/>
    <x v="127"/>
    <x v="111"/>
    <x v="107"/>
    <n v="42075"/>
    <n v="66659"/>
    <n v="205"/>
    <s v="#SoundtrackOfLife"/>
    <s v="IndieWave"/>
  </r>
  <r>
    <s v="SP132"/>
    <x v="1"/>
    <d v="2024-09-28T00:00:00"/>
    <x v="0"/>
    <s v="Whatâ€™s your vibe today? #SpotifyHits"/>
    <x v="128"/>
    <x v="112"/>
    <x v="108"/>
    <n v="49964"/>
    <n v="20685"/>
    <n v="148"/>
    <s v="#NowPlaying"/>
    <s v="ChillVibes"/>
  </r>
  <r>
    <s v="SP133"/>
    <x v="2"/>
    <d v="2024-01-27T00:00:00"/>
    <x v="0"/>
    <s v="Your weekend playlist is waiting."/>
    <x v="129"/>
    <x v="113"/>
    <x v="87"/>
    <n v="51696"/>
    <n v="44846"/>
    <n v="139"/>
    <s v="#DiscoverWeekly,#SpotifyWrapped"/>
    <s v="IndieWave"/>
  </r>
  <r>
    <s v="SP134"/>
    <x v="1"/>
    <d v="2025-05-15T00:00:00"/>
    <x v="0"/>
    <s v="New music just dropped. Hit play!"/>
    <x v="130"/>
    <x v="84"/>
    <x v="109"/>
    <n v="30256"/>
    <n v="47066"/>
    <n v="196"/>
    <s v="#NowPlaying"/>
    <s v="ChillVibes"/>
  </r>
  <r>
    <s v="SP135"/>
    <x v="1"/>
    <d v="2024-10-04T00:00:00"/>
    <x v="1"/>
    <s v="Explore the latest podcasts now."/>
    <x v="131"/>
    <x v="114"/>
    <x v="1"/>
    <n v="37621"/>
    <n v="71794"/>
    <n v="127"/>
    <s v="#MusicForEveryone,#NowPlaying"/>
    <s v="ChillVibes"/>
  </r>
  <r>
    <s v="SP136"/>
    <x v="1"/>
    <d v="2024-11-19T00:00:00"/>
    <x v="0"/>
    <s v="Top trending tracks updated daily!"/>
    <x v="132"/>
    <x v="115"/>
    <x v="5"/>
    <n v="22827"/>
    <n v="37034"/>
    <n v="199"/>
    <s v="#NowPlaying"/>
    <s v="ChillVibes"/>
  </r>
  <r>
    <s v="SP137"/>
    <x v="1"/>
    <d v="2024-04-05T00:00:00"/>
    <x v="1"/>
    <s v="New music just dropped. Hit play!"/>
    <x v="133"/>
    <x v="116"/>
    <x v="110"/>
    <n v="32793"/>
    <n v="43412"/>
    <n v="296"/>
    <s v="#SoundtrackOfLife,#NowPlaying"/>
    <s v="ChillVibes"/>
  </r>
  <r>
    <s v="SP138"/>
    <x v="1"/>
    <d v="2024-11-28T00:00:00"/>
    <x v="1"/>
    <s v="New music just dropped. Hit play!"/>
    <x v="134"/>
    <x v="117"/>
    <x v="111"/>
    <n v="48437"/>
    <n v="72704"/>
    <n v="236"/>
    <s v="#DiscoverWeekly,#MusicForEveryone"/>
    <s v="ChillVibes"/>
  </r>
  <r>
    <s v="SP139"/>
    <x v="1"/>
    <d v="2025-03-09T00:00:00"/>
    <x v="0"/>
    <s v="Your weekend playlist is waiting."/>
    <x v="135"/>
    <x v="99"/>
    <x v="112"/>
    <n v="27762"/>
    <n v="70203"/>
    <n v="289"/>
    <s v="#NowPlaying"/>
    <s v="ChillVibes"/>
  </r>
  <r>
    <s v="SP140"/>
    <x v="1"/>
    <d v="2024-08-27T00:00:00"/>
    <x v="1"/>
    <s v="New music just dropped. Hit play!"/>
    <x v="136"/>
    <x v="118"/>
    <x v="43"/>
    <n v="29428"/>
    <n v="70206"/>
    <n v="236"/>
    <s v="#MusicForEveryone,#NowPlaying"/>
    <s v="ChillVibes"/>
  </r>
  <r>
    <s v="SP141"/>
    <x v="2"/>
    <d v="2024-10-01T00:00:00"/>
    <x v="2"/>
    <s v="Explore the latest podcasts now."/>
    <x v="137"/>
    <x v="119"/>
    <x v="87"/>
    <n v="58007"/>
    <n v="24792"/>
    <n v="273"/>
    <s v="#DiscoverWeekly,#SoundtrackOfLife"/>
    <s v="SummerBeats"/>
  </r>
  <r>
    <s v="SP142"/>
    <x v="0"/>
    <d v="2024-12-21T00:00:00"/>
    <x v="1"/>
    <s v="New music just dropped. Hit play!"/>
    <x v="65"/>
    <x v="120"/>
    <x v="16"/>
    <n v="43679"/>
    <n v="48760"/>
    <n v="92"/>
    <s v="#NowPlaying"/>
    <s v="Wrapped2024"/>
  </r>
  <r>
    <s v="SP143"/>
    <x v="0"/>
    <d v="2024-06-17T00:00:00"/>
    <x v="0"/>
    <s v="Discover fresh beats on Spotify!"/>
    <x v="138"/>
    <x v="121"/>
    <x v="113"/>
    <n v="53004"/>
    <n v="25678"/>
    <n v="105"/>
    <s v="#DiscoverWeekly"/>
    <s v="IndieWave"/>
  </r>
  <r>
    <s v="SP144"/>
    <x v="0"/>
    <d v="2025-02-14T00:00:00"/>
    <x v="0"/>
    <s v="Discover fresh beats on Spotify!"/>
    <x v="139"/>
    <x v="122"/>
    <x v="114"/>
    <n v="49577"/>
    <n v="28002"/>
    <n v="82"/>
    <s v="#SoundtrackOfLife,#NowPlaying"/>
    <s v="ChillVibes"/>
  </r>
  <r>
    <s v="SP145"/>
    <x v="1"/>
    <d v="2025-05-28T00:00:00"/>
    <x v="1"/>
    <s v="Top trending tracks updated daily!"/>
    <x v="140"/>
    <x v="97"/>
    <x v="71"/>
    <n v="40792"/>
    <n v="23878"/>
    <n v="277"/>
    <s v="#MusicForEveryone,#NowPlaying"/>
    <s v="ChillVibes"/>
  </r>
  <r>
    <s v="SP146"/>
    <x v="0"/>
    <d v="2025-05-22T00:00:00"/>
    <x v="0"/>
    <s v="Discover fresh beats on Spotify!"/>
    <x v="141"/>
    <x v="123"/>
    <x v="115"/>
    <n v="40869"/>
    <n v="64474"/>
    <n v="245"/>
    <s v="#DiscoverWeekly"/>
    <s v="IndieWave"/>
  </r>
  <r>
    <s v="SP147"/>
    <x v="1"/>
    <d v="2024-01-21T00:00:00"/>
    <x v="1"/>
    <s v="Discover fresh beats on Spotify!"/>
    <x v="142"/>
    <x v="124"/>
    <x v="116"/>
    <n v="39187"/>
    <n v="22133"/>
    <n v="208"/>
    <s v="#MusicForEveryone,#NowPlaying"/>
    <s v="ChillVibes"/>
  </r>
  <r>
    <s v="SP148"/>
    <x v="1"/>
    <d v="2025-02-08T00:00:00"/>
    <x v="1"/>
    <s v="Your weekend playlist is waiting."/>
    <x v="143"/>
    <x v="119"/>
    <x v="117"/>
    <n v="48017"/>
    <n v="55534"/>
    <n v="270"/>
    <s v="#DiscoverWeekly,#MusicForEveryone"/>
    <s v="ChillVibes"/>
  </r>
  <r>
    <s v="SP149"/>
    <x v="1"/>
    <d v="2025-04-13T00:00:00"/>
    <x v="0"/>
    <s v="From pop to podcasts, itâ€™s all here."/>
    <x v="144"/>
    <x v="125"/>
    <x v="118"/>
    <n v="56994"/>
    <n v="32621"/>
    <n v="286"/>
    <s v="#SoundtrackOfLife"/>
    <s v="IndieWave"/>
  </r>
  <r>
    <s v="SP150"/>
    <x v="1"/>
    <d v="2024-05-30T00:00:00"/>
    <x v="1"/>
    <s v="Your weekend playlist is waiting."/>
    <x v="145"/>
    <x v="126"/>
    <x v="119"/>
    <n v="30349"/>
    <n v="32925"/>
    <n v="88"/>
    <s v="#MusicForEveryone,#NowPlaying"/>
    <s v="ChillVibes"/>
  </r>
  <r>
    <s v="SP151"/>
    <x v="0"/>
    <d v="2024-08-12T00:00:00"/>
    <x v="1"/>
    <s v="Discover fresh beats on Spotify!"/>
    <x v="146"/>
    <x v="127"/>
    <x v="120"/>
    <n v="52508"/>
    <n v="58329"/>
    <n v="219"/>
    <s v="#NowPlaying"/>
    <s v="Wrapped2024"/>
  </r>
  <r>
    <s v="SP152"/>
    <x v="0"/>
    <d v="2024-09-27T00:00:00"/>
    <x v="0"/>
    <s v="Discover fresh beats on Spotify!"/>
    <x v="147"/>
    <x v="128"/>
    <x v="121"/>
    <n v="37100"/>
    <n v="62629"/>
    <n v="272"/>
    <s v="#DiscoverWeekly"/>
    <s v="IndieWave"/>
  </r>
  <r>
    <s v="SP153"/>
    <x v="1"/>
    <d v="2025-06-11T00:00:00"/>
    <x v="1"/>
    <s v="Explore the latest podcasts now."/>
    <x v="148"/>
    <x v="129"/>
    <x v="122"/>
    <n v="52395"/>
    <n v="72934"/>
    <n v="87"/>
    <s v="#DiscoverWeekly,#MusicForEveryone"/>
    <s v="ChillVibes"/>
  </r>
  <r>
    <s v="SP154"/>
    <x v="0"/>
    <d v="2024-11-19T00:00:00"/>
    <x v="0"/>
    <s v="Whatâ€™s your vibe today? #SpotifyHits"/>
    <x v="149"/>
    <x v="90"/>
    <x v="123"/>
    <n v="51875"/>
    <n v="24732"/>
    <n v="92"/>
    <s v="#DiscoverWeekly"/>
    <s v="IndieWave"/>
  </r>
  <r>
    <s v="SP155"/>
    <x v="0"/>
    <d v="2024-04-25T00:00:00"/>
    <x v="0"/>
    <s v="Music that moves youâ€”only on Spotify."/>
    <x v="150"/>
    <x v="93"/>
    <x v="124"/>
    <n v="41085"/>
    <n v="26393"/>
    <n v="236"/>
    <s v="#SoundtrackOfLife,#NowPlaying"/>
    <s v="ChillVibes"/>
  </r>
  <r>
    <s v="SP156"/>
    <x v="2"/>
    <d v="2024-09-03T00:00:00"/>
    <x v="2"/>
    <s v="Whatâ€™s your vibe today? #SpotifyHits"/>
    <x v="151"/>
    <x v="68"/>
    <x v="38"/>
    <n v="53048"/>
    <n v="44090"/>
    <n v="230"/>
    <s v="#DiscoverWeekly,#SoundtrackOfLife"/>
    <s v="SummerBeats"/>
  </r>
  <r>
    <s v="SP157"/>
    <x v="2"/>
    <d v="2025-03-02T00:00:00"/>
    <x v="0"/>
    <s v="From pop to podcasts, itâ€™s all here."/>
    <x v="152"/>
    <x v="130"/>
    <x v="37"/>
    <n v="24610"/>
    <n v="21342"/>
    <n v="158"/>
    <s v="#DiscoverWeekly,#SpotifyWrapped"/>
    <s v="IndieWave"/>
  </r>
  <r>
    <s v="SP158"/>
    <x v="1"/>
    <d v="2025-03-21T00:00:00"/>
    <x v="1"/>
    <s v="New music just dropped. Hit play!"/>
    <x v="153"/>
    <x v="76"/>
    <x v="125"/>
    <n v="33698"/>
    <n v="29259"/>
    <n v="216"/>
    <s v="#DiscoverWeekly,#MusicForEveryone"/>
    <s v="ChillVibes"/>
  </r>
  <r>
    <s v="SP159"/>
    <x v="0"/>
    <d v="2024-04-12T00:00:00"/>
    <x v="1"/>
    <s v="Get into the groove with our new drop!"/>
    <x v="154"/>
    <x v="131"/>
    <x v="126"/>
    <n v="25405"/>
    <n v="69941"/>
    <n v="219"/>
    <s v="#NowPlaying"/>
    <s v="Wrapped2024"/>
  </r>
  <r>
    <s v="SP160"/>
    <x v="2"/>
    <d v="2024-02-08T00:00:00"/>
    <x v="2"/>
    <s v="Top trending tracks updated daily!"/>
    <x v="155"/>
    <x v="132"/>
    <x v="71"/>
    <n v="46225"/>
    <n v="74305"/>
    <n v="293"/>
    <s v="#DiscoverWeekly,#SoundtrackOfLife"/>
    <s v="SummerBeats"/>
  </r>
  <r>
    <s v="SP161"/>
    <x v="0"/>
    <d v="2025-05-26T00:00:00"/>
    <x v="0"/>
    <s v="Discover fresh beats on Spotify!"/>
    <x v="156"/>
    <x v="133"/>
    <x v="127"/>
    <n v="22824"/>
    <n v="58103"/>
    <n v="275"/>
    <s v="#DiscoverWeekly"/>
    <s v="IndieWave"/>
  </r>
  <r>
    <s v="SP162"/>
    <x v="0"/>
    <d v="2024-11-14T00:00:00"/>
    <x v="0"/>
    <s v="Music that moves youâ€”only on Spotify."/>
    <x v="55"/>
    <x v="123"/>
    <x v="128"/>
    <n v="25386"/>
    <n v="20873"/>
    <n v="100"/>
    <s v="#SoundtrackOfLife,#NowPlaying"/>
    <s v="ChillVibes"/>
  </r>
  <r>
    <s v="SP163"/>
    <x v="2"/>
    <d v="2024-08-09T00:00:00"/>
    <x v="2"/>
    <s v="From pop to podcasts, itâ€™s all here."/>
    <x v="157"/>
    <x v="134"/>
    <x v="129"/>
    <n v="34146"/>
    <n v="44633"/>
    <n v="256"/>
    <s v="#DiscoverWeekly,#SoundtrackOfLife"/>
    <s v="SummerBeats"/>
  </r>
  <r>
    <s v="SP164"/>
    <x v="0"/>
    <d v="2025-06-27T00:00:00"/>
    <x v="1"/>
    <s v="Whatâ€™s your vibe today? #SpotifyHits"/>
    <x v="158"/>
    <x v="33"/>
    <x v="16"/>
    <n v="51712"/>
    <n v="57922"/>
    <n v="168"/>
    <s v="#NowPlaying"/>
    <s v="Wrapped2024"/>
  </r>
  <r>
    <s v="SP165"/>
    <x v="0"/>
    <d v="2024-05-08T00:00:00"/>
    <x v="1"/>
    <s v="Music that moves youâ€”only on Spotify."/>
    <x v="0"/>
    <x v="135"/>
    <x v="120"/>
    <n v="27355"/>
    <n v="50562"/>
    <n v="258"/>
    <s v="#NowPlaying"/>
    <s v="Wrapped2024"/>
  </r>
  <r>
    <s v="SP166"/>
    <x v="0"/>
    <d v="2024-04-05T00:00:00"/>
    <x v="0"/>
    <s v="New music just dropped. Hit play!"/>
    <x v="159"/>
    <x v="131"/>
    <x v="130"/>
    <n v="53239"/>
    <n v="34168"/>
    <n v="288"/>
    <s v="#DiscoverWeekly"/>
    <s v="IndieWave"/>
  </r>
  <r>
    <s v="SP167"/>
    <x v="2"/>
    <d v="2025-01-27T00:00:00"/>
    <x v="0"/>
    <s v="Wrapped is here! Relive your top tracks ðŸŽ§"/>
    <x v="160"/>
    <x v="19"/>
    <x v="131"/>
    <n v="29828"/>
    <n v="73144"/>
    <n v="298"/>
    <s v="#DiscoverWeekly,#SpotifyWrapped"/>
    <s v="IndieWave"/>
  </r>
  <r>
    <s v="SP168"/>
    <x v="0"/>
    <d v="2024-04-03T00:00:00"/>
    <x v="0"/>
    <s v="Top trending tracks updated daily!"/>
    <x v="161"/>
    <x v="136"/>
    <x v="19"/>
    <n v="33757"/>
    <n v="68511"/>
    <n v="121"/>
    <s v="#SoundtrackOfLife,#NowPlaying"/>
    <s v="ChillVibes"/>
  </r>
  <r>
    <s v="SP169"/>
    <x v="2"/>
    <d v="2025-01-03T00:00:00"/>
    <x v="0"/>
    <s v="New music just dropped. Hit play!"/>
    <x v="162"/>
    <x v="81"/>
    <x v="132"/>
    <n v="52172"/>
    <n v="59386"/>
    <n v="175"/>
    <s v="#DiscoverWeekly,#SpotifyWrapped"/>
    <s v="IndieWave"/>
  </r>
  <r>
    <s v="SP170"/>
    <x v="1"/>
    <d v="2024-11-23T00:00:00"/>
    <x v="0"/>
    <s v="New music just dropped. Hit play!"/>
    <x v="163"/>
    <x v="44"/>
    <x v="133"/>
    <n v="32347"/>
    <n v="68956"/>
    <n v="259"/>
    <s v="#SoundtrackOfLife"/>
    <s v="IndieWave"/>
  </r>
  <r>
    <s v="SP171"/>
    <x v="0"/>
    <d v="2024-09-01T00:00:00"/>
    <x v="1"/>
    <s v="Wrapped is here! Relive your top tracks ðŸŽ§"/>
    <x v="164"/>
    <x v="137"/>
    <x v="134"/>
    <n v="26114"/>
    <n v="57549"/>
    <n v="135"/>
    <s v="#NowPlaying"/>
    <s v="Wrapped2024"/>
  </r>
  <r>
    <s v="SP172"/>
    <x v="2"/>
    <d v="2024-04-18T00:00:00"/>
    <x v="0"/>
    <s v="Explore the latest podcasts now."/>
    <x v="165"/>
    <x v="87"/>
    <x v="91"/>
    <n v="26795"/>
    <n v="28924"/>
    <n v="278"/>
    <s v="#DiscoverWeekly,#SpotifyWrapped"/>
    <s v="IndieWave"/>
  </r>
  <r>
    <s v="SP173"/>
    <x v="0"/>
    <d v="2024-06-04T00:00:00"/>
    <x v="0"/>
    <s v="Get into the groove with our new drop!"/>
    <x v="166"/>
    <x v="138"/>
    <x v="109"/>
    <n v="43147"/>
    <n v="63136"/>
    <n v="230"/>
    <s v="#DiscoverWeekly"/>
    <s v="IndieWave"/>
  </r>
  <r>
    <s v="SP174"/>
    <x v="2"/>
    <d v="2025-04-02T00:00:00"/>
    <x v="0"/>
    <s v="Wrapped is here! Relive your top tracks ðŸŽ§"/>
    <x v="167"/>
    <x v="48"/>
    <x v="135"/>
    <n v="52952"/>
    <n v="58504"/>
    <n v="269"/>
    <s v="#DiscoverWeekly,#SpotifyWrapped"/>
    <s v="IndieWave"/>
  </r>
  <r>
    <s v="SP175"/>
    <x v="1"/>
    <d v="2025-04-01T00:00:00"/>
    <x v="1"/>
    <s v="Music that moves youâ€”only on Spotify."/>
    <x v="168"/>
    <x v="17"/>
    <x v="4"/>
    <n v="54808"/>
    <n v="29818"/>
    <n v="98"/>
    <s v="#DiscoverWeekly,#MusicForEveryone"/>
    <s v="ChillVibes"/>
  </r>
  <r>
    <s v="SP176"/>
    <x v="0"/>
    <d v="2024-07-02T00:00:00"/>
    <x v="0"/>
    <s v="Top trending tracks updated daily!"/>
    <x v="169"/>
    <x v="44"/>
    <x v="136"/>
    <n v="46493"/>
    <n v="26906"/>
    <n v="150"/>
    <s v="#SoundtrackOfLife,#NowPlaying"/>
    <s v="ChillVibes"/>
  </r>
  <r>
    <s v="SP177"/>
    <x v="1"/>
    <d v="2024-11-10T00:00:00"/>
    <x v="0"/>
    <s v="Explore the latest podcasts now."/>
    <x v="170"/>
    <x v="98"/>
    <x v="116"/>
    <n v="32470"/>
    <n v="31861"/>
    <n v="178"/>
    <s v="#SoundtrackOfLife"/>
    <s v="IndieWave"/>
  </r>
  <r>
    <s v="SP178"/>
    <x v="0"/>
    <d v="2024-12-14T00:00:00"/>
    <x v="1"/>
    <s v="From pop to podcasts, itâ€™s all here."/>
    <x v="171"/>
    <x v="139"/>
    <x v="137"/>
    <n v="59838"/>
    <n v="36337"/>
    <n v="161"/>
    <s v="#NowPlaying"/>
    <s v="Wrapped2024"/>
  </r>
  <r>
    <s v="SP179"/>
    <x v="1"/>
    <d v="2024-11-19T00:00:00"/>
    <x v="0"/>
    <s v="Explore the latest podcasts now."/>
    <x v="172"/>
    <x v="11"/>
    <x v="69"/>
    <n v="39745"/>
    <n v="69226"/>
    <n v="208"/>
    <s v="#SoundtrackOfLife"/>
    <s v="IndieWave"/>
  </r>
  <r>
    <s v="SP180"/>
    <x v="1"/>
    <d v="2025-04-30T00:00:00"/>
    <x v="1"/>
    <s v="Wrapped is here! Relive your top tracks ðŸŽ§"/>
    <x v="173"/>
    <x v="140"/>
    <x v="138"/>
    <n v="58329"/>
    <n v="33196"/>
    <n v="85"/>
    <s v="#MusicForEveryone,#NowPlaying"/>
    <s v="ChillVibes"/>
  </r>
  <r>
    <s v="SP181"/>
    <x v="1"/>
    <d v="2024-03-19T00:00:00"/>
    <x v="0"/>
    <s v="From pop to podcasts, itâ€™s all here."/>
    <x v="174"/>
    <x v="141"/>
    <x v="139"/>
    <n v="59606"/>
    <n v="24765"/>
    <n v="281"/>
    <s v="#SoundtrackOfLife"/>
    <s v="IndieWave"/>
  </r>
  <r>
    <s v="SP182"/>
    <x v="0"/>
    <d v="2024-03-19T00:00:00"/>
    <x v="0"/>
    <s v="From pop to podcasts, itâ€™s all here."/>
    <x v="102"/>
    <x v="142"/>
    <x v="140"/>
    <n v="47235"/>
    <n v="57922"/>
    <n v="112"/>
    <s v="#SoundtrackOfLife,#NowPlaying"/>
    <s v="ChillVibes"/>
  </r>
  <r>
    <s v="SP183"/>
    <x v="1"/>
    <d v="2024-07-23T00:00:00"/>
    <x v="0"/>
    <s v="Top trending tracks updated daily!"/>
    <x v="175"/>
    <x v="120"/>
    <x v="141"/>
    <n v="22020"/>
    <n v="58353"/>
    <n v="286"/>
    <s v="#SoundtrackOfLife"/>
    <s v="IndieWave"/>
  </r>
  <r>
    <s v="SP184"/>
    <x v="1"/>
    <d v="2024-07-13T00:00:00"/>
    <x v="1"/>
    <s v="Get into the groove with our new drop!"/>
    <x v="176"/>
    <x v="143"/>
    <x v="142"/>
    <n v="47599"/>
    <n v="35543"/>
    <n v="287"/>
    <s v="#MusicForEveryone,#NowPlaying"/>
    <s v="ChillVibes"/>
  </r>
  <r>
    <s v="SP185"/>
    <x v="2"/>
    <d v="2025-04-22T00:00:00"/>
    <x v="2"/>
    <s v="New music just dropped. Hit play!"/>
    <x v="177"/>
    <x v="144"/>
    <x v="143"/>
    <n v="37980"/>
    <n v="33058"/>
    <n v="219"/>
    <s v="#DiscoverWeekly,#SoundtrackOfLife"/>
    <s v="SummerBeats"/>
  </r>
  <r>
    <s v="SP186"/>
    <x v="1"/>
    <d v="2024-06-16T00:00:00"/>
    <x v="1"/>
    <s v="Explore the latest podcasts now."/>
    <x v="178"/>
    <x v="145"/>
    <x v="63"/>
    <n v="22571"/>
    <n v="29453"/>
    <n v="197"/>
    <s v="#MusicForEveryone,#NowPlaying"/>
    <s v="ChillVibes"/>
  </r>
  <r>
    <s v="SP187"/>
    <x v="2"/>
    <d v="2025-05-18T00:00:00"/>
    <x v="2"/>
    <s v="Wrapped is here! Relive your top tracks ðŸŽ§"/>
    <x v="179"/>
    <x v="12"/>
    <x v="144"/>
    <n v="37762"/>
    <n v="55162"/>
    <n v="204"/>
    <s v="#DiscoverWeekly,#SoundtrackOfLife"/>
    <s v="SummerBeats"/>
  </r>
  <r>
    <s v="SP188"/>
    <x v="0"/>
    <d v="2025-06-06T00:00:00"/>
    <x v="0"/>
    <s v="Wrapped is here! Relive your top tracks ðŸŽ§"/>
    <x v="180"/>
    <x v="146"/>
    <x v="25"/>
    <n v="45122"/>
    <n v="65431"/>
    <n v="168"/>
    <s v="#DiscoverWeekly"/>
    <s v="IndieWave"/>
  </r>
  <r>
    <s v="SP189"/>
    <x v="2"/>
    <d v="2025-02-20T00:00:00"/>
    <x v="2"/>
    <s v="Get into the groove with our new drop!"/>
    <x v="181"/>
    <x v="113"/>
    <x v="145"/>
    <n v="49199"/>
    <n v="40314"/>
    <n v="216"/>
    <s v="#DiscoverWeekly,#SoundtrackOfLife"/>
    <s v="SummerBeats"/>
  </r>
  <r>
    <s v="SP190"/>
    <x v="0"/>
    <d v="2025-01-16T00:00:00"/>
    <x v="0"/>
    <s v="Music that moves youâ€”only on Spotify."/>
    <x v="182"/>
    <x v="147"/>
    <x v="146"/>
    <n v="32201"/>
    <n v="49583"/>
    <n v="241"/>
    <s v="#SoundtrackOfLife,#NowPlaying"/>
    <s v="ChillVibes"/>
  </r>
  <r>
    <s v="SP191"/>
    <x v="2"/>
    <d v="2024-02-24T00:00:00"/>
    <x v="2"/>
    <s v="Discover fresh beats on Spotify!"/>
    <x v="183"/>
    <x v="30"/>
    <x v="147"/>
    <n v="45080"/>
    <n v="37214"/>
    <n v="240"/>
    <s v="#DiscoverWeekly,#SoundtrackOfLife"/>
    <s v="SummerBeats"/>
  </r>
  <r>
    <s v="SP192"/>
    <x v="1"/>
    <d v="2024-09-16T00:00:00"/>
    <x v="1"/>
    <s v="Whatâ€™s your vibe today? #SpotifyHits"/>
    <x v="184"/>
    <x v="148"/>
    <x v="113"/>
    <n v="56165"/>
    <n v="52431"/>
    <n v="173"/>
    <s v="#DiscoverWeekly,#MusicForEveryone"/>
    <s v="ChillVibes"/>
  </r>
  <r>
    <s v="SP193"/>
    <x v="2"/>
    <d v="2024-06-04T00:00:00"/>
    <x v="2"/>
    <s v="Wrapped is here! Relive your top tracks ðŸŽ§"/>
    <x v="185"/>
    <x v="83"/>
    <x v="139"/>
    <n v="26532"/>
    <n v="47305"/>
    <n v="232"/>
    <s v="#DiscoverWeekly,#SoundtrackOfLife"/>
    <s v="SummerBeats"/>
  </r>
  <r>
    <s v="SP194"/>
    <x v="1"/>
    <d v="2024-05-10T00:00:00"/>
    <x v="1"/>
    <s v="Explore the latest podcasts now."/>
    <x v="186"/>
    <x v="149"/>
    <x v="148"/>
    <n v="58366"/>
    <n v="69512"/>
    <n v="269"/>
    <s v="#MusicForEveryone,#NowPlaying"/>
    <s v="ChillVibes"/>
  </r>
  <r>
    <s v="SP195"/>
    <x v="2"/>
    <d v="2024-01-14T00:00:00"/>
    <x v="0"/>
    <s v="New music just dropped. Hit play!"/>
    <x v="187"/>
    <x v="150"/>
    <x v="148"/>
    <n v="40256"/>
    <n v="52605"/>
    <n v="213"/>
    <s v="#DiscoverWeekly,#SpotifyWrapped"/>
    <s v="IndieWave"/>
  </r>
  <r>
    <s v="SP196"/>
    <x v="0"/>
    <d v="2025-01-12T00:00:00"/>
    <x v="0"/>
    <s v="From pop to podcasts, itâ€™s all here."/>
    <x v="188"/>
    <x v="151"/>
    <x v="149"/>
    <n v="48810"/>
    <n v="48084"/>
    <n v="272"/>
    <s v="#SoundtrackOfLife,#NowPlaying"/>
    <s v="ChillVibes"/>
  </r>
  <r>
    <s v="SP197"/>
    <x v="2"/>
    <d v="2024-12-08T00:00:00"/>
    <x v="0"/>
    <s v="Top trending tracks updated daily!"/>
    <x v="189"/>
    <x v="152"/>
    <x v="81"/>
    <n v="59517"/>
    <n v="46102"/>
    <n v="239"/>
    <s v="#DiscoverWeekly,#SpotifyWrapped"/>
    <s v="IndieWave"/>
  </r>
  <r>
    <s v="SP198"/>
    <x v="1"/>
    <d v="2025-02-01T00:00:00"/>
    <x v="1"/>
    <s v="Top trending tracks updated daily!"/>
    <x v="190"/>
    <x v="89"/>
    <x v="150"/>
    <n v="43786"/>
    <n v="72428"/>
    <n v="222"/>
    <s v="#SoundtrackOfLife,#NowPlaying"/>
    <s v="ChillVibes"/>
  </r>
  <r>
    <s v="SP199"/>
    <x v="1"/>
    <d v="2024-07-11T00:00:00"/>
    <x v="1"/>
    <s v="Get into the groove with our new drop!"/>
    <x v="82"/>
    <x v="153"/>
    <x v="88"/>
    <n v="32991"/>
    <n v="70120"/>
    <n v="276"/>
    <s v="#SoundtrackOfLife,#NowPlaying"/>
    <s v="ChillVibes"/>
  </r>
  <r>
    <s v="SP200"/>
    <x v="1"/>
    <d v="2024-03-18T00:00:00"/>
    <x v="0"/>
    <s v="New music just dropped. Hit play!"/>
    <x v="191"/>
    <x v="112"/>
    <x v="15"/>
    <n v="56290"/>
    <n v="57391"/>
    <n v="196"/>
    <s v="#NowPlaying"/>
    <s v="ChillVibes"/>
  </r>
  <r>
    <s v="SP201"/>
    <x v="1"/>
    <d v="2024-09-12T00:00:00"/>
    <x v="1"/>
    <s v="Wrapped is here! Relive your top tracks ðŸŽ§"/>
    <x v="192"/>
    <x v="8"/>
    <x v="76"/>
    <n v="35459"/>
    <n v="69988"/>
    <n v="114"/>
    <s v="#MusicForEveryone,#NowPlaying"/>
    <s v="ChillVibes"/>
  </r>
  <r>
    <s v="SP202"/>
    <x v="1"/>
    <d v="2024-01-11T00:00:00"/>
    <x v="1"/>
    <s v="Wrapped is here! Relive your top tracks ðŸŽ§"/>
    <x v="193"/>
    <x v="154"/>
    <x v="151"/>
    <n v="24916"/>
    <n v="30582"/>
    <n v="157"/>
    <s v="#SoundtrackOfLife,#NowPlaying"/>
    <s v="ChillVibes"/>
  </r>
  <r>
    <s v="SP203"/>
    <x v="0"/>
    <d v="2024-10-06T00:00:00"/>
    <x v="0"/>
    <s v="Top trending tracks updated daily!"/>
    <x v="194"/>
    <x v="155"/>
    <x v="23"/>
    <n v="30971"/>
    <n v="25347"/>
    <n v="111"/>
    <s v="#DiscoverWeekly"/>
    <s v="IndieWave"/>
  </r>
  <r>
    <s v="SP204"/>
    <x v="1"/>
    <d v="2024-12-30T00:00:00"/>
    <x v="0"/>
    <s v="Get into the groove with our new drop!"/>
    <x v="195"/>
    <x v="95"/>
    <x v="152"/>
    <n v="47293"/>
    <n v="27184"/>
    <n v="232"/>
    <s v="#NowPlaying"/>
    <s v="ChillVibes"/>
  </r>
  <r>
    <s v="SP205"/>
    <x v="1"/>
    <d v="2025-04-16T00:00:00"/>
    <x v="0"/>
    <s v="Wrapped is here! Relive your top tracks ðŸŽ§"/>
    <x v="196"/>
    <x v="156"/>
    <x v="153"/>
    <n v="54592"/>
    <n v="67886"/>
    <n v="117"/>
    <s v="#SoundtrackOfLife"/>
    <s v="IndieWave"/>
  </r>
  <r>
    <s v="SP206"/>
    <x v="1"/>
    <d v="2024-08-21T00:00:00"/>
    <x v="1"/>
    <s v="Explore the latest podcasts now."/>
    <x v="197"/>
    <x v="107"/>
    <x v="154"/>
    <n v="57569"/>
    <n v="40193"/>
    <n v="222"/>
    <s v="#DiscoverWeekly,#MusicForEveryone"/>
    <s v="ChillVibes"/>
  </r>
  <r>
    <s v="SP207"/>
    <x v="1"/>
    <d v="2024-04-05T00:00:00"/>
    <x v="1"/>
    <s v="Wrapped is here! Relive your top tracks ðŸŽ§"/>
    <x v="198"/>
    <x v="157"/>
    <x v="54"/>
    <n v="51519"/>
    <n v="28256"/>
    <n v="155"/>
    <s v="#SoundtrackOfLife,#NowPlaying"/>
    <s v="ChillVibes"/>
  </r>
  <r>
    <s v="SP208"/>
    <x v="1"/>
    <d v="2025-04-07T00:00:00"/>
    <x v="0"/>
    <s v="From pop to podcasts, itâ€™s all here."/>
    <x v="199"/>
    <x v="35"/>
    <x v="155"/>
    <n v="54223"/>
    <n v="72595"/>
    <n v="239"/>
    <s v="#SoundtrackOfLife"/>
    <s v="IndieWave"/>
  </r>
  <r>
    <s v="SP209"/>
    <x v="1"/>
    <d v="2024-07-19T00:00:00"/>
    <x v="1"/>
    <s v="Whatâ€™s your vibe today? #SpotifyHits"/>
    <x v="200"/>
    <x v="102"/>
    <x v="156"/>
    <n v="44013"/>
    <n v="44679"/>
    <n v="118"/>
    <s v="#DiscoverWeekly,#MusicForEveryone"/>
    <s v="ChillVibes"/>
  </r>
  <r>
    <s v="SP210"/>
    <x v="1"/>
    <d v="2025-05-03T00:00:00"/>
    <x v="1"/>
    <s v="Top trending tracks updated daily!"/>
    <x v="201"/>
    <x v="158"/>
    <x v="157"/>
    <n v="47229"/>
    <n v="72573"/>
    <n v="275"/>
    <s v="#SoundtrackOfLife,#NowPlaying"/>
    <s v="ChillVibes"/>
  </r>
  <r>
    <s v="SP211"/>
    <x v="1"/>
    <d v="2024-04-14T00:00:00"/>
    <x v="1"/>
    <s v="Discover fresh beats on Spotify!"/>
    <x v="202"/>
    <x v="159"/>
    <x v="2"/>
    <n v="48350"/>
    <n v="61033"/>
    <n v="232"/>
    <s v="#DiscoverWeekly,#MusicForEveryone"/>
    <s v="ChillVibes"/>
  </r>
  <r>
    <s v="SP212"/>
    <x v="1"/>
    <d v="2025-06-19T00:00:00"/>
    <x v="1"/>
    <s v="Whatâ€™s your vibe today? #SpotifyHits"/>
    <x v="203"/>
    <x v="160"/>
    <x v="158"/>
    <n v="54541"/>
    <n v="63700"/>
    <n v="296"/>
    <s v="#DiscoverWeekly,#MusicForEveryone"/>
    <s v="ChillVibes"/>
  </r>
  <r>
    <s v="SP213"/>
    <x v="0"/>
    <d v="2025-06-24T00:00:00"/>
    <x v="1"/>
    <s v="Get into the groove with our new drop!"/>
    <x v="204"/>
    <x v="161"/>
    <x v="50"/>
    <n v="31674"/>
    <n v="53225"/>
    <n v="147"/>
    <s v="#NowPlaying"/>
    <s v="Wrapped2024"/>
  </r>
  <r>
    <s v="SP214"/>
    <x v="1"/>
    <d v="2024-10-09T00:00:00"/>
    <x v="0"/>
    <s v="Wrapped is here! Relive your top tracks ðŸŽ§"/>
    <x v="205"/>
    <x v="162"/>
    <x v="159"/>
    <n v="23090"/>
    <n v="25872"/>
    <n v="293"/>
    <s v="#SoundtrackOfLife"/>
    <s v="IndieWave"/>
  </r>
  <r>
    <s v="SP215"/>
    <x v="2"/>
    <d v="2025-01-15T00:00:00"/>
    <x v="0"/>
    <s v="Your weekend playlist is waiting."/>
    <x v="206"/>
    <x v="163"/>
    <x v="160"/>
    <n v="37525"/>
    <n v="37216"/>
    <n v="186"/>
    <s v="#DiscoverWeekly,#SpotifyWrapped"/>
    <s v="IndieWave"/>
  </r>
  <r>
    <s v="SP216"/>
    <x v="1"/>
    <d v="2025-01-12T00:00:00"/>
    <x v="0"/>
    <s v="Music that moves youâ€”only on Spotify."/>
    <x v="207"/>
    <x v="164"/>
    <x v="161"/>
    <n v="41313"/>
    <n v="56575"/>
    <n v="174"/>
    <s v="#SoundtrackOfLife"/>
    <s v="IndieWave"/>
  </r>
  <r>
    <s v="SP217"/>
    <x v="0"/>
    <d v="2025-05-31T00:00:00"/>
    <x v="0"/>
    <s v="Whatâ€™s your vibe today? #SpotifyHits"/>
    <x v="208"/>
    <x v="165"/>
    <x v="92"/>
    <n v="26109"/>
    <n v="46667"/>
    <n v="133"/>
    <s v="#SoundtrackOfLife,#NowPlaying"/>
    <s v="ChillVibes"/>
  </r>
  <r>
    <s v="SP218"/>
    <x v="1"/>
    <d v="2024-10-14T00:00:00"/>
    <x v="1"/>
    <s v="Explore the latest podcasts now."/>
    <x v="209"/>
    <x v="166"/>
    <x v="116"/>
    <n v="39575"/>
    <n v="33762"/>
    <n v="265"/>
    <s v="#DiscoverWeekly,#MusicForEveryone"/>
    <s v="ChillVibes"/>
  </r>
  <r>
    <s v="SP219"/>
    <x v="1"/>
    <d v="2024-02-10T00:00:00"/>
    <x v="0"/>
    <s v="From pop to podcasts, itâ€™s all here."/>
    <x v="210"/>
    <x v="167"/>
    <x v="162"/>
    <n v="51611"/>
    <n v="45880"/>
    <n v="176"/>
    <s v="#SoundtrackOfLife"/>
    <s v="IndieWave"/>
  </r>
  <r>
    <s v="SP220"/>
    <x v="2"/>
    <d v="2024-12-10T00:00:00"/>
    <x v="0"/>
    <s v="Whatâ€™s your vibe today? #SpotifyHits"/>
    <x v="211"/>
    <x v="168"/>
    <x v="163"/>
    <n v="38372"/>
    <n v="22102"/>
    <n v="255"/>
    <s v="#DiscoverWeekly,#SpotifyWrapped"/>
    <s v="IndieWave"/>
  </r>
  <r>
    <s v="SP221"/>
    <x v="1"/>
    <d v="2025-05-09T00:00:00"/>
    <x v="1"/>
    <s v="Music that moves youâ€”only on Spotify."/>
    <x v="212"/>
    <x v="169"/>
    <x v="164"/>
    <n v="26247"/>
    <n v="20677"/>
    <n v="282"/>
    <s v="#MusicForEveryone,#NowPlaying"/>
    <s v="ChillVibes"/>
  </r>
  <r>
    <s v="SP222"/>
    <x v="1"/>
    <d v="2025-06-21T00:00:00"/>
    <x v="0"/>
    <s v="Explore the latest podcasts now."/>
    <x v="213"/>
    <x v="170"/>
    <x v="165"/>
    <n v="44768"/>
    <n v="29435"/>
    <n v="178"/>
    <s v="#NowPlaying"/>
    <s v="ChillVibes"/>
  </r>
  <r>
    <s v="SP223"/>
    <x v="1"/>
    <d v="2024-06-19T00:00:00"/>
    <x v="0"/>
    <s v="Whatâ€™s your vibe today? #SpotifyHits"/>
    <x v="214"/>
    <x v="171"/>
    <x v="26"/>
    <n v="54232"/>
    <n v="52844"/>
    <n v="271"/>
    <s v="#SoundtrackOfLife"/>
    <s v="IndieWave"/>
  </r>
  <r>
    <s v="SP224"/>
    <x v="1"/>
    <d v="2024-12-10T00:00:00"/>
    <x v="0"/>
    <s v="From pop to podcasts, itâ€™s all here."/>
    <x v="215"/>
    <x v="172"/>
    <x v="131"/>
    <n v="45260"/>
    <n v="57513"/>
    <n v="103"/>
    <s v="#NowPlaying"/>
    <s v="ChillVibes"/>
  </r>
  <r>
    <s v="SP225"/>
    <x v="2"/>
    <d v="2024-02-01T00:00:00"/>
    <x v="0"/>
    <s v="Wrapped is here! Relive your top tracks ðŸŽ§"/>
    <x v="216"/>
    <x v="173"/>
    <x v="106"/>
    <n v="40634"/>
    <n v="54511"/>
    <n v="197"/>
    <s v="#DiscoverWeekly,#SpotifyWrapped"/>
    <s v="IndieWave"/>
  </r>
  <r>
    <s v="SP226"/>
    <x v="1"/>
    <d v="2024-01-17T00:00:00"/>
    <x v="1"/>
    <s v="New music just dropped. Hit play!"/>
    <x v="217"/>
    <x v="174"/>
    <x v="48"/>
    <n v="54938"/>
    <n v="27190"/>
    <n v="265"/>
    <s v="#MusicForEveryone,#NowPlaying"/>
    <s v="ChillVibes"/>
  </r>
  <r>
    <s v="SP227"/>
    <x v="2"/>
    <d v="2025-03-22T00:00:00"/>
    <x v="0"/>
    <s v="Music that moves youâ€”only on Spotify."/>
    <x v="218"/>
    <x v="146"/>
    <x v="166"/>
    <n v="36955"/>
    <n v="23949"/>
    <n v="294"/>
    <s v="#DiscoverWeekly,#SpotifyWrapped"/>
    <s v="IndieWave"/>
  </r>
  <r>
    <s v="SP228"/>
    <x v="2"/>
    <d v="2024-05-30T00:00:00"/>
    <x v="2"/>
    <s v="Whatâ€™s your vibe today? #SpotifyHits"/>
    <x v="219"/>
    <x v="175"/>
    <x v="167"/>
    <n v="57194"/>
    <n v="24258"/>
    <n v="101"/>
    <s v="#DiscoverWeekly,#SoundtrackOfLife"/>
    <s v="SummerBeats"/>
  </r>
  <r>
    <s v="SP229"/>
    <x v="2"/>
    <d v="2024-02-24T00:00:00"/>
    <x v="0"/>
    <s v="Music that moves youâ€”only on Spotify."/>
    <x v="220"/>
    <x v="176"/>
    <x v="168"/>
    <n v="56876"/>
    <n v="28452"/>
    <n v="257"/>
    <s v="#DiscoverWeekly,#SpotifyWrapped"/>
    <s v="IndieWave"/>
  </r>
  <r>
    <s v="SP230"/>
    <x v="2"/>
    <d v="2025-05-14T00:00:00"/>
    <x v="0"/>
    <s v="Discover fresh beats on Spotify!"/>
    <x v="221"/>
    <x v="90"/>
    <x v="169"/>
    <n v="47496"/>
    <n v="40832"/>
    <n v="246"/>
    <s v="#DiscoverWeekly,#SpotifyWrapped"/>
    <s v="IndieWave"/>
  </r>
  <r>
    <s v="SP231"/>
    <x v="0"/>
    <d v="2024-03-28T00:00:00"/>
    <x v="0"/>
    <s v="Whatâ€™s your vibe today? #SpotifyHits"/>
    <x v="222"/>
    <x v="150"/>
    <x v="7"/>
    <n v="29847"/>
    <n v="48016"/>
    <n v="213"/>
    <s v="#SoundtrackOfLife,#NowPlaying"/>
    <s v="ChillVibes"/>
  </r>
  <r>
    <s v="SP232"/>
    <x v="2"/>
    <d v="2025-03-07T00:00:00"/>
    <x v="0"/>
    <s v="Top trending tracks updated daily!"/>
    <x v="223"/>
    <x v="177"/>
    <x v="10"/>
    <n v="44606"/>
    <n v="42604"/>
    <n v="290"/>
    <s v="#DiscoverWeekly,#SpotifyWrapped"/>
    <s v="IndieWave"/>
  </r>
  <r>
    <s v="SP233"/>
    <x v="1"/>
    <d v="2024-10-20T00:00:00"/>
    <x v="0"/>
    <s v="From pop to podcasts, itâ€™s all here."/>
    <x v="224"/>
    <x v="36"/>
    <x v="91"/>
    <n v="39038"/>
    <n v="28095"/>
    <n v="277"/>
    <s v="#NowPlaying"/>
    <s v="ChillVibes"/>
  </r>
  <r>
    <s v="SP234"/>
    <x v="1"/>
    <d v="2024-02-02T00:00:00"/>
    <x v="0"/>
    <s v="From pop to podcasts, itâ€™s all here."/>
    <x v="225"/>
    <x v="178"/>
    <x v="62"/>
    <n v="25127"/>
    <n v="22277"/>
    <n v="263"/>
    <s v="#NowPlaying"/>
    <s v="ChillVibes"/>
  </r>
  <r>
    <s v="SP235"/>
    <x v="2"/>
    <d v="2024-09-07T00:00:00"/>
    <x v="0"/>
    <s v="Your weekend playlist is waiting."/>
    <x v="226"/>
    <x v="18"/>
    <x v="150"/>
    <n v="41791"/>
    <n v="57090"/>
    <n v="172"/>
    <s v="#DiscoverWeekly,#SpotifyWrapped"/>
    <s v="IndieWave"/>
  </r>
  <r>
    <s v="SP236"/>
    <x v="0"/>
    <d v="2024-12-20T00:00:00"/>
    <x v="0"/>
    <s v="Discover fresh beats on Spotify!"/>
    <x v="227"/>
    <x v="179"/>
    <x v="170"/>
    <n v="36245"/>
    <n v="48606"/>
    <n v="145"/>
    <s v="#DiscoverWeekly"/>
    <s v="IndieWave"/>
  </r>
  <r>
    <s v="SP237"/>
    <x v="2"/>
    <d v="2024-01-14T00:00:00"/>
    <x v="0"/>
    <s v="Whatâ€™s your vibe today? #SpotifyHits"/>
    <x v="228"/>
    <x v="180"/>
    <x v="171"/>
    <n v="39198"/>
    <n v="25050"/>
    <n v="297"/>
    <s v="#DiscoverWeekly,#SpotifyWrapped"/>
    <s v="IndieWave"/>
  </r>
  <r>
    <s v="SP238"/>
    <x v="0"/>
    <d v="2025-06-15T00:00:00"/>
    <x v="0"/>
    <s v="Explore the latest podcasts now."/>
    <x v="229"/>
    <x v="76"/>
    <x v="172"/>
    <n v="59272"/>
    <n v="37833"/>
    <n v="214"/>
    <s v="#SoundtrackOfLife,#NowPlaying"/>
    <s v="ChillVibes"/>
  </r>
  <r>
    <s v="SP239"/>
    <x v="1"/>
    <d v="2024-12-13T00:00:00"/>
    <x v="1"/>
    <s v="New music just dropped. Hit play!"/>
    <x v="230"/>
    <x v="181"/>
    <x v="118"/>
    <n v="32900"/>
    <n v="31691"/>
    <n v="160"/>
    <s v="#MusicForEveryone,#NowPlaying"/>
    <s v="ChillVibes"/>
  </r>
  <r>
    <s v="SP240"/>
    <x v="2"/>
    <d v="2024-08-29T00:00:00"/>
    <x v="0"/>
    <s v="Wrapped is here! Relive your top tracks ðŸŽ§"/>
    <x v="231"/>
    <x v="155"/>
    <x v="42"/>
    <n v="52346"/>
    <n v="30518"/>
    <n v="277"/>
    <s v="#DiscoverWeekly,#SpotifyWrapped"/>
    <s v="IndieWave"/>
  </r>
  <r>
    <s v="SP241"/>
    <x v="1"/>
    <d v="2024-09-15T00:00:00"/>
    <x v="0"/>
    <s v="Get into the groove with our new drop!"/>
    <x v="232"/>
    <x v="182"/>
    <x v="141"/>
    <n v="53323"/>
    <n v="49938"/>
    <n v="104"/>
    <s v="#NowPlaying"/>
    <s v="ChillVibes"/>
  </r>
  <r>
    <s v="SP242"/>
    <x v="1"/>
    <d v="2025-04-12T00:00:00"/>
    <x v="1"/>
    <s v="From pop to podcasts, itâ€™s all here."/>
    <x v="233"/>
    <x v="183"/>
    <x v="173"/>
    <n v="35780"/>
    <n v="44349"/>
    <n v="133"/>
    <s v="#DiscoverWeekly,#MusicForEveryone"/>
    <s v="ChillVibes"/>
  </r>
  <r>
    <s v="SP243"/>
    <x v="1"/>
    <d v="2024-12-10T00:00:00"/>
    <x v="1"/>
    <s v="Wrapped is here! Relive your top tracks ðŸŽ§"/>
    <x v="234"/>
    <x v="184"/>
    <x v="174"/>
    <n v="27904"/>
    <n v="69771"/>
    <n v="255"/>
    <s v="#DiscoverWeekly,#MusicForEveryone"/>
    <s v="ChillVibes"/>
  </r>
  <r>
    <s v="SP244"/>
    <x v="2"/>
    <d v="2025-06-08T00:00:00"/>
    <x v="0"/>
    <s v="Music that moves youâ€”only on Spotify."/>
    <x v="235"/>
    <x v="185"/>
    <x v="123"/>
    <n v="57468"/>
    <n v="53397"/>
    <n v="159"/>
    <s v="#DiscoverWeekly,#SpotifyWrapped"/>
    <s v="IndieWave"/>
  </r>
  <r>
    <s v="SP245"/>
    <x v="1"/>
    <d v="2025-01-09T00:00:00"/>
    <x v="1"/>
    <s v="Your weekend playlist is waiting."/>
    <x v="236"/>
    <x v="177"/>
    <x v="129"/>
    <n v="46434"/>
    <n v="53396"/>
    <n v="104"/>
    <s v="#MusicForEveryone,#NowPlaying"/>
    <s v="ChillVibes"/>
  </r>
  <r>
    <s v="SP246"/>
    <x v="1"/>
    <d v="2024-07-08T00:00:00"/>
    <x v="1"/>
    <s v="Top trending tracks updated daily!"/>
    <x v="237"/>
    <x v="186"/>
    <x v="28"/>
    <n v="20677"/>
    <n v="68290"/>
    <n v="130"/>
    <s v="#SoundtrackOfLife,#NowPlaying"/>
    <s v="ChillVibes"/>
  </r>
  <r>
    <s v="SP247"/>
    <x v="1"/>
    <d v="2024-09-16T00:00:00"/>
    <x v="1"/>
    <s v="Your weekend playlist is waiting."/>
    <x v="238"/>
    <x v="187"/>
    <x v="82"/>
    <n v="56773"/>
    <n v="72110"/>
    <n v="163"/>
    <s v="#DiscoverWeekly,#MusicForEveryone"/>
    <s v="ChillVibes"/>
  </r>
  <r>
    <s v="SP248"/>
    <x v="2"/>
    <d v="2024-06-14T00:00:00"/>
    <x v="2"/>
    <s v="Wrapped is here! Relive your top tracks ðŸŽ§"/>
    <x v="239"/>
    <x v="188"/>
    <x v="155"/>
    <n v="27911"/>
    <n v="19000"/>
    <n v="225"/>
    <s v="#DiscoverWeekly,#SoundtrackOfLife"/>
    <s v="SummerBeats"/>
  </r>
  <r>
    <s v="SP249"/>
    <x v="0"/>
    <d v="2024-03-06T00:00:00"/>
    <x v="0"/>
    <s v="Whatâ€™s your vibe today? #SpotifyHits"/>
    <x v="240"/>
    <x v="189"/>
    <x v="175"/>
    <n v="26570"/>
    <n v="19367"/>
    <n v="96"/>
    <s v="#DiscoverWeekly"/>
    <s v="IndieWave"/>
  </r>
  <r>
    <s v="SP250"/>
    <x v="1"/>
    <d v="2025-05-15T00:00:00"/>
    <x v="0"/>
    <s v="Your weekend playlist is waiting."/>
    <x v="241"/>
    <x v="1"/>
    <x v="176"/>
    <n v="29793"/>
    <n v="37543"/>
    <n v="145"/>
    <s v="#NowPlaying"/>
    <s v="ChillVibes"/>
  </r>
  <r>
    <s v="SP251"/>
    <x v="1"/>
    <d v="2024-07-07T00:00:00"/>
    <x v="0"/>
    <s v="Whatâ€™s your vibe today? #SpotifyHits"/>
    <x v="242"/>
    <x v="190"/>
    <x v="123"/>
    <n v="57819"/>
    <n v="19798"/>
    <n v="262"/>
    <s v="#SoundtrackOfLife"/>
    <s v="IndieWave"/>
  </r>
  <r>
    <s v="SP252"/>
    <x v="2"/>
    <d v="2024-10-26T00:00:00"/>
    <x v="0"/>
    <s v="New music just dropped. Hit play!"/>
    <x v="243"/>
    <x v="191"/>
    <x v="52"/>
    <n v="45917"/>
    <n v="73503"/>
    <n v="248"/>
    <s v="#DiscoverWeekly,#SpotifyWrapped"/>
    <s v="IndieWave"/>
  </r>
  <r>
    <s v="SP253"/>
    <x v="2"/>
    <d v="2024-08-08T00:00:00"/>
    <x v="0"/>
    <s v="From pop to podcasts, itâ€™s all here."/>
    <x v="244"/>
    <x v="192"/>
    <x v="177"/>
    <n v="49500"/>
    <n v="23343"/>
    <n v="160"/>
    <s v="#DiscoverWeekly,#SpotifyWrapped"/>
    <s v="IndieWave"/>
  </r>
  <r>
    <s v="SP254"/>
    <x v="1"/>
    <d v="2025-02-03T00:00:00"/>
    <x v="0"/>
    <s v="Whatâ€™s your vibe today? #SpotifyHits"/>
    <x v="245"/>
    <x v="193"/>
    <x v="15"/>
    <n v="34431"/>
    <n v="32560"/>
    <n v="262"/>
    <s v="#NowPlaying"/>
    <s v="ChillVibes"/>
  </r>
  <r>
    <s v="SP255"/>
    <x v="1"/>
    <d v="2024-04-03T00:00:00"/>
    <x v="1"/>
    <s v="Top trending tracks updated daily!"/>
    <x v="246"/>
    <x v="194"/>
    <x v="148"/>
    <n v="49319"/>
    <n v="28056"/>
    <n v="90"/>
    <s v="#DiscoverWeekly,#MusicForEveryone"/>
    <s v="ChillVibes"/>
  </r>
  <r>
    <s v="SP256"/>
    <x v="1"/>
    <d v="2024-07-08T00:00:00"/>
    <x v="1"/>
    <s v="Wrapped is here! Relive your top tracks ðŸŽ§"/>
    <x v="247"/>
    <x v="195"/>
    <x v="178"/>
    <n v="52645"/>
    <n v="66262"/>
    <n v="146"/>
    <s v="#MusicForEveryone,#NowPlaying"/>
    <s v="ChillVibes"/>
  </r>
  <r>
    <s v="SP257"/>
    <x v="1"/>
    <d v="2024-06-08T00:00:00"/>
    <x v="1"/>
    <s v="Top trending tracks updated daily!"/>
    <x v="248"/>
    <x v="54"/>
    <x v="179"/>
    <n v="44680"/>
    <n v="52719"/>
    <n v="272"/>
    <s v="#DiscoverWeekly,#MusicForEveryone"/>
    <s v="ChillVibes"/>
  </r>
  <r>
    <s v="SP258"/>
    <x v="2"/>
    <d v="2025-03-20T00:00:00"/>
    <x v="2"/>
    <s v="From pop to podcasts, itâ€™s all here."/>
    <x v="249"/>
    <x v="196"/>
    <x v="30"/>
    <n v="52980"/>
    <n v="57180"/>
    <n v="286"/>
    <s v="#DiscoverWeekly,#SoundtrackOfLife"/>
    <s v="SummerBeats"/>
  </r>
  <r>
    <s v="SP259"/>
    <x v="1"/>
    <d v="2025-01-19T00:00:00"/>
    <x v="1"/>
    <s v="Music that moves youâ€”only on Spotify."/>
    <x v="250"/>
    <x v="197"/>
    <x v="180"/>
    <n v="32140"/>
    <n v="70560"/>
    <n v="138"/>
    <s v="#SoundtrackOfLife,#NowPlaying"/>
    <s v="ChillVibes"/>
  </r>
  <r>
    <s v="SP260"/>
    <x v="1"/>
    <d v="2025-01-05T00:00:00"/>
    <x v="1"/>
    <s v="Explore the latest podcasts now."/>
    <x v="251"/>
    <x v="134"/>
    <x v="181"/>
    <n v="43369"/>
    <n v="49035"/>
    <n v="128"/>
    <s v="#MusicForEveryone,#NowPlaying"/>
    <s v="ChillVibes"/>
  </r>
  <r>
    <s v="SP261"/>
    <x v="1"/>
    <d v="2024-11-16T00:00:00"/>
    <x v="0"/>
    <s v="From pop to podcasts, itâ€™s all here."/>
    <x v="252"/>
    <x v="189"/>
    <x v="18"/>
    <n v="51740"/>
    <n v="28214"/>
    <n v="190"/>
    <s v="#SoundtrackOfLife"/>
    <s v="IndieWave"/>
  </r>
  <r>
    <s v="SP262"/>
    <x v="1"/>
    <d v="2024-11-30T00:00:00"/>
    <x v="1"/>
    <s v="Explore the latest podcasts now."/>
    <x v="253"/>
    <x v="198"/>
    <x v="83"/>
    <n v="44386"/>
    <n v="28415"/>
    <n v="174"/>
    <s v="#MusicForEveryone,#NowPlaying"/>
    <s v="ChillVibes"/>
  </r>
  <r>
    <s v="SP263"/>
    <x v="2"/>
    <d v="2024-03-27T00:00:00"/>
    <x v="0"/>
    <s v="Music that moves youâ€”only on Spotify."/>
    <x v="254"/>
    <x v="69"/>
    <x v="182"/>
    <n v="51603"/>
    <n v="40033"/>
    <n v="173"/>
    <s v="#DiscoverWeekly,#SpotifyWrapped"/>
    <s v="IndieWave"/>
  </r>
  <r>
    <s v="SP264"/>
    <x v="2"/>
    <d v="2025-05-31T00:00:00"/>
    <x v="2"/>
    <s v="Get into the groove with our new drop!"/>
    <x v="255"/>
    <x v="123"/>
    <x v="139"/>
    <n v="46719"/>
    <n v="20482"/>
    <n v="185"/>
    <s v="#DiscoverWeekly,#SoundtrackOfLife"/>
    <s v="SummerBeats"/>
  </r>
  <r>
    <s v="SP265"/>
    <x v="1"/>
    <d v="2025-06-17T00:00:00"/>
    <x v="1"/>
    <s v="Explore the latest podcasts now."/>
    <x v="256"/>
    <x v="154"/>
    <x v="122"/>
    <n v="50081"/>
    <n v="27507"/>
    <n v="221"/>
    <s v="#DiscoverWeekly,#MusicForEveryone"/>
    <s v="ChillVibes"/>
  </r>
  <r>
    <s v="SP266"/>
    <x v="0"/>
    <d v="2024-05-30T00:00:00"/>
    <x v="1"/>
    <s v="Get into the groove with our new drop!"/>
    <x v="257"/>
    <x v="199"/>
    <x v="183"/>
    <n v="25737"/>
    <n v="48545"/>
    <n v="246"/>
    <s v="#NowPlaying"/>
    <s v="Wrapped2024"/>
  </r>
  <r>
    <s v="SP267"/>
    <x v="2"/>
    <d v="2024-11-08T00:00:00"/>
    <x v="0"/>
    <s v="Top trending tracks updated daily!"/>
    <x v="258"/>
    <x v="200"/>
    <x v="66"/>
    <n v="48254"/>
    <n v="46900"/>
    <n v="111"/>
    <s v="#DiscoverWeekly,#SpotifyWrapped"/>
    <s v="IndieWave"/>
  </r>
  <r>
    <s v="SP268"/>
    <x v="2"/>
    <d v="2024-03-17T00:00:00"/>
    <x v="2"/>
    <s v="Explore the latest podcasts now."/>
    <x v="259"/>
    <x v="201"/>
    <x v="45"/>
    <n v="45818"/>
    <n v="62723"/>
    <n v="85"/>
    <s v="#DiscoverWeekly,#SoundtrackOfLife"/>
    <s v="SummerBeats"/>
  </r>
  <r>
    <s v="SP269"/>
    <x v="2"/>
    <d v="2024-06-21T00:00:00"/>
    <x v="2"/>
    <s v="Music that moves youâ€”only on Spotify."/>
    <x v="260"/>
    <x v="202"/>
    <x v="97"/>
    <n v="56979"/>
    <n v="24098"/>
    <n v="205"/>
    <s v="#DiscoverWeekly,#SoundtrackOfLife"/>
    <s v="SummerBeats"/>
  </r>
  <r>
    <s v="SP270"/>
    <x v="1"/>
    <d v="2024-11-13T00:00:00"/>
    <x v="1"/>
    <s v="New music just dropped. Hit play!"/>
    <x v="261"/>
    <x v="20"/>
    <x v="184"/>
    <n v="58923"/>
    <n v="38753"/>
    <n v="265"/>
    <s v="#DiscoverWeekly,#MusicForEveryone"/>
    <s v="ChillVibes"/>
  </r>
  <r>
    <s v="SP271"/>
    <x v="1"/>
    <d v="2025-02-05T00:00:00"/>
    <x v="1"/>
    <s v="Discover fresh beats on Spotify!"/>
    <x v="262"/>
    <x v="203"/>
    <x v="185"/>
    <n v="23815"/>
    <n v="47895"/>
    <n v="210"/>
    <s v="#DiscoverWeekly,#MusicForEveryone"/>
    <s v="ChillVibes"/>
  </r>
  <r>
    <s v="SP272"/>
    <x v="1"/>
    <d v="2024-11-07T00:00:00"/>
    <x v="0"/>
    <s v="Explore the latest podcasts now."/>
    <x v="263"/>
    <x v="204"/>
    <x v="186"/>
    <n v="56921"/>
    <n v="37176"/>
    <n v="126"/>
    <s v="#SoundtrackOfLife"/>
    <s v="IndieWave"/>
  </r>
  <r>
    <s v="SP273"/>
    <x v="1"/>
    <d v="2024-02-12T00:00:00"/>
    <x v="0"/>
    <s v="Explore the latest podcasts now."/>
    <x v="264"/>
    <x v="71"/>
    <x v="151"/>
    <n v="51133"/>
    <n v="44583"/>
    <n v="276"/>
    <s v="#NowPlaying"/>
    <s v="ChillVibes"/>
  </r>
  <r>
    <s v="SP274"/>
    <x v="0"/>
    <d v="2024-10-08T00:00:00"/>
    <x v="0"/>
    <s v="Explore the latest podcasts now."/>
    <x v="265"/>
    <x v="205"/>
    <x v="187"/>
    <n v="49965"/>
    <n v="61555"/>
    <n v="195"/>
    <s v="#DiscoverWeekly"/>
    <s v="IndieWave"/>
  </r>
  <r>
    <s v="SP275"/>
    <x v="0"/>
    <d v="2024-02-19T00:00:00"/>
    <x v="0"/>
    <s v="Wrapped is here! Relive your top tracks ðŸŽ§"/>
    <x v="143"/>
    <x v="206"/>
    <x v="188"/>
    <n v="58530"/>
    <n v="26630"/>
    <n v="234"/>
    <s v="#DiscoverWeekly"/>
    <s v="IndieWave"/>
  </r>
  <r>
    <s v="SP276"/>
    <x v="1"/>
    <d v="2025-03-04T00:00:00"/>
    <x v="0"/>
    <s v="Discover fresh beats on Spotify!"/>
    <x v="266"/>
    <x v="186"/>
    <x v="189"/>
    <n v="47276"/>
    <n v="51324"/>
    <n v="143"/>
    <s v="#NowPlaying"/>
    <s v="ChillVibes"/>
  </r>
  <r>
    <s v="SP277"/>
    <x v="0"/>
    <d v="2025-02-03T00:00:00"/>
    <x v="1"/>
    <s v="New music just dropped. Hit play!"/>
    <x v="267"/>
    <x v="71"/>
    <x v="190"/>
    <n v="23341"/>
    <n v="42411"/>
    <n v="184"/>
    <s v="#NowPlaying"/>
    <s v="Wrapped2024"/>
  </r>
  <r>
    <s v="SP278"/>
    <x v="0"/>
    <d v="2024-12-02T00:00:00"/>
    <x v="0"/>
    <s v="Top trending tracks updated daily!"/>
    <x v="268"/>
    <x v="82"/>
    <x v="191"/>
    <n v="56371"/>
    <n v="65597"/>
    <n v="163"/>
    <s v="#SoundtrackOfLife,#NowPlaying"/>
    <s v="ChillVibes"/>
  </r>
  <r>
    <s v="SP279"/>
    <x v="1"/>
    <d v="2025-01-19T00:00:00"/>
    <x v="1"/>
    <s v="New music just dropped. Hit play!"/>
    <x v="269"/>
    <x v="207"/>
    <x v="107"/>
    <n v="20410"/>
    <n v="53965"/>
    <n v="212"/>
    <s v="#SoundtrackOfLife,#NowPlaying"/>
    <s v="ChillVibes"/>
  </r>
  <r>
    <s v="SP280"/>
    <x v="1"/>
    <d v="2024-09-28T00:00:00"/>
    <x v="1"/>
    <s v="Wrapped is here! Relive your top tracks ðŸŽ§"/>
    <x v="270"/>
    <x v="208"/>
    <x v="109"/>
    <n v="44862"/>
    <n v="33365"/>
    <n v="184"/>
    <s v="#DiscoverWeekly,#MusicForEveryone"/>
    <s v="ChillVibes"/>
  </r>
  <r>
    <s v="SP281"/>
    <x v="0"/>
    <d v="2024-01-07T00:00:00"/>
    <x v="0"/>
    <s v="Top trending tracks updated daily!"/>
    <x v="271"/>
    <x v="209"/>
    <x v="83"/>
    <n v="56701"/>
    <n v="69437"/>
    <n v="291"/>
    <s v="#SoundtrackOfLife,#NowPlaying"/>
    <s v="ChillVibes"/>
  </r>
  <r>
    <s v="SP282"/>
    <x v="1"/>
    <d v="2024-02-21T00:00:00"/>
    <x v="1"/>
    <s v="Get into the groove with our new drop!"/>
    <x v="272"/>
    <x v="210"/>
    <x v="146"/>
    <n v="58468"/>
    <n v="39629"/>
    <n v="163"/>
    <s v="#MusicForEveryone,#NowPlaying"/>
    <s v="ChillVibes"/>
  </r>
  <r>
    <s v="SP283"/>
    <x v="0"/>
    <d v="2024-08-27T00:00:00"/>
    <x v="0"/>
    <s v="Music that moves youâ€”only on Spotify."/>
    <x v="273"/>
    <x v="211"/>
    <x v="120"/>
    <n v="56048"/>
    <n v="70930"/>
    <n v="295"/>
    <s v="#DiscoverWeekly"/>
    <s v="IndieWave"/>
  </r>
  <r>
    <s v="SP284"/>
    <x v="0"/>
    <d v="2024-10-24T00:00:00"/>
    <x v="1"/>
    <s v="Top trending tracks updated daily!"/>
    <x v="274"/>
    <x v="198"/>
    <x v="113"/>
    <n v="27660"/>
    <n v="47776"/>
    <n v="111"/>
    <s v="#NowPlaying"/>
    <s v="Wrapped2024"/>
  </r>
  <r>
    <s v="SP285"/>
    <x v="2"/>
    <d v="2025-01-29T00:00:00"/>
    <x v="0"/>
    <s v="New music just dropped. Hit play!"/>
    <x v="275"/>
    <x v="118"/>
    <x v="192"/>
    <n v="56910"/>
    <n v="70606"/>
    <n v="228"/>
    <s v="#DiscoverWeekly,#SpotifyWrapped"/>
    <s v="IndieWave"/>
  </r>
  <r>
    <s v="SP286"/>
    <x v="0"/>
    <d v="2024-05-01T00:00:00"/>
    <x v="0"/>
    <s v="Get into the groove with our new drop!"/>
    <x v="276"/>
    <x v="57"/>
    <x v="27"/>
    <n v="33861"/>
    <n v="47257"/>
    <n v="198"/>
    <s v="#DiscoverWeekly"/>
    <s v="IndieWave"/>
  </r>
  <r>
    <s v="SP287"/>
    <x v="2"/>
    <d v="2024-06-25T00:00:00"/>
    <x v="0"/>
    <s v="Your weekend playlist is waiting."/>
    <x v="277"/>
    <x v="212"/>
    <x v="193"/>
    <n v="30515"/>
    <n v="57853"/>
    <n v="156"/>
    <s v="#DiscoverWeekly,#SpotifyWrapped"/>
    <s v="IndieWave"/>
  </r>
  <r>
    <s v="SP288"/>
    <x v="1"/>
    <d v="2024-08-09T00:00:00"/>
    <x v="1"/>
    <s v="From pop to podcasts, itâ€™s all here."/>
    <x v="278"/>
    <x v="175"/>
    <x v="187"/>
    <n v="52673"/>
    <n v="48241"/>
    <n v="114"/>
    <s v="#DiscoverWeekly,#MusicForEveryone"/>
    <s v="ChillVibes"/>
  </r>
  <r>
    <s v="SP289"/>
    <x v="0"/>
    <d v="2025-01-21T00:00:00"/>
    <x v="1"/>
    <s v="New music just dropped. Hit play!"/>
    <x v="279"/>
    <x v="203"/>
    <x v="194"/>
    <n v="53269"/>
    <n v="64370"/>
    <n v="269"/>
    <s v="#NowPlaying"/>
    <s v="Wrapped2024"/>
  </r>
  <r>
    <s v="SP290"/>
    <x v="1"/>
    <d v="2024-08-13T00:00:00"/>
    <x v="0"/>
    <s v="Explore the latest podcasts now."/>
    <x v="28"/>
    <x v="213"/>
    <x v="182"/>
    <n v="23927"/>
    <n v="26182"/>
    <n v="155"/>
    <s v="#SoundtrackOfLife"/>
    <s v="IndieWave"/>
  </r>
  <r>
    <s v="SP291"/>
    <x v="0"/>
    <d v="2024-06-29T00:00:00"/>
    <x v="0"/>
    <s v="Your weekend playlist is waiting."/>
    <x v="280"/>
    <x v="214"/>
    <x v="195"/>
    <n v="46544"/>
    <n v="69346"/>
    <n v="178"/>
    <s v="#SoundtrackOfLife,#NowPlaying"/>
    <s v="ChillVibes"/>
  </r>
  <r>
    <s v="SP292"/>
    <x v="1"/>
    <d v="2024-11-03T00:00:00"/>
    <x v="1"/>
    <s v="Explore the latest podcasts now."/>
    <x v="281"/>
    <x v="23"/>
    <x v="136"/>
    <n v="26640"/>
    <n v="24306"/>
    <n v="112"/>
    <s v="#MusicForEveryone,#NowPlaying"/>
    <s v="ChillVibes"/>
  </r>
  <r>
    <s v="SP293"/>
    <x v="2"/>
    <d v="2025-04-18T00:00:00"/>
    <x v="2"/>
    <s v="Your weekend playlist is waiting."/>
    <x v="282"/>
    <x v="184"/>
    <x v="196"/>
    <n v="41312"/>
    <n v="50382"/>
    <n v="106"/>
    <s v="#DiscoverWeekly,#SoundtrackOfLife"/>
    <s v="SummerBeats"/>
  </r>
  <r>
    <s v="SP294"/>
    <x v="0"/>
    <d v="2024-12-27T00:00:00"/>
    <x v="0"/>
    <s v="From pop to podcasts, itâ€™s all here."/>
    <x v="283"/>
    <x v="215"/>
    <x v="102"/>
    <n v="58488"/>
    <n v="24314"/>
    <n v="147"/>
    <s v="#DiscoverWeekly"/>
    <s v="IndieWave"/>
  </r>
  <r>
    <s v="SP295"/>
    <x v="0"/>
    <d v="2025-03-08T00:00:00"/>
    <x v="1"/>
    <s v="Top trending tracks updated daily!"/>
    <x v="284"/>
    <x v="216"/>
    <x v="197"/>
    <n v="25834"/>
    <n v="50906"/>
    <n v="165"/>
    <s v="#NowPlaying"/>
    <s v="Wrapped2024"/>
  </r>
  <r>
    <s v="SP296"/>
    <x v="1"/>
    <d v="2025-03-20T00:00:00"/>
    <x v="1"/>
    <s v="Your weekend playlist is waiting."/>
    <x v="285"/>
    <x v="217"/>
    <x v="198"/>
    <n v="30025"/>
    <n v="21593"/>
    <n v="165"/>
    <s v="#MusicForEveryone,#NowPlaying"/>
    <s v="ChillVibes"/>
  </r>
  <r>
    <s v="SP297"/>
    <x v="1"/>
    <d v="2024-11-16T00:00:00"/>
    <x v="0"/>
    <s v="Explore the latest podcasts now."/>
    <x v="286"/>
    <x v="218"/>
    <x v="179"/>
    <n v="51777"/>
    <n v="23773"/>
    <n v="160"/>
    <s v="#SoundtrackOfLife"/>
    <s v="IndieWave"/>
  </r>
  <r>
    <s v="SP298"/>
    <x v="1"/>
    <d v="2025-06-30T00:00:00"/>
    <x v="0"/>
    <s v="Whatâ€™s your vibe today? #SpotifyHits"/>
    <x v="287"/>
    <x v="164"/>
    <x v="199"/>
    <n v="43970"/>
    <n v="74761"/>
    <n v="83"/>
    <s v="#NowPlaying"/>
    <s v="ChillVibes"/>
  </r>
  <r>
    <s v="SP299"/>
    <x v="1"/>
    <d v="2024-01-12T00:00:00"/>
    <x v="1"/>
    <s v="Wrapped is here! Relive your top tracks ðŸŽ§"/>
    <x v="288"/>
    <x v="68"/>
    <x v="178"/>
    <n v="51651"/>
    <n v="68074"/>
    <n v="240"/>
    <s v="#DiscoverWeekly,#MusicForEveryone"/>
    <s v="ChillVibes"/>
  </r>
  <r>
    <s v="SP300"/>
    <x v="0"/>
    <d v="2024-02-07T00:00:00"/>
    <x v="0"/>
    <s v="Music that moves youâ€”only on Spotify."/>
    <x v="289"/>
    <x v="219"/>
    <x v="82"/>
    <n v="28759"/>
    <n v="18691"/>
    <n v="270"/>
    <s v="#SoundtrackOfLife,#NowPlaying"/>
    <s v="ChillVib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s v="Instagram"/>
    <d v="2025-05-04T00:00:00"/>
    <s v="Text"/>
    <s v="Discover fresh beats on Spotify!"/>
    <n v="2414"/>
    <n v="245"/>
    <n v="137"/>
    <n v="21181"/>
    <n v="45292"/>
    <n v="133"/>
    <x v="0"/>
    <s v="ChillVibes"/>
  </r>
  <r>
    <s v="SP001"/>
    <s v="Instagram"/>
    <d v="2025-05-04T00:00:00"/>
    <s v="Text"/>
    <s v="Discover fresh beats on Spotify!"/>
    <n v="2414"/>
    <n v="245"/>
    <n v="137"/>
    <n v="21181"/>
    <n v="45292"/>
    <n v="133"/>
    <x v="1"/>
    <s v="ChillVibes"/>
  </r>
  <r>
    <s v="SP002"/>
    <s v="Instagram"/>
    <d v="2025-02-01T00:00:00"/>
    <s v="Text"/>
    <s v="Explore the latest podcasts now."/>
    <n v="1934"/>
    <n v="210"/>
    <n v="393"/>
    <n v="29129"/>
    <n v="73287"/>
    <n v="273"/>
    <x v="2"/>
    <s v="IndieWave"/>
  </r>
  <r>
    <s v="SP003"/>
    <s v="Twitter"/>
    <d v="2024-12-03T00:00:00"/>
    <s v="Story"/>
    <s v="New music just dropped. Hit play!"/>
    <n v="3092"/>
    <n v="177"/>
    <n v="81"/>
    <n v="47533"/>
    <n v="29220"/>
    <n v="121"/>
    <x v="3"/>
    <s v="ChillVibes"/>
  </r>
  <r>
    <s v="SP003"/>
    <s v="Twitter"/>
    <d v="2024-12-03T00:00:00"/>
    <s v="Story"/>
    <s v="New music just dropped. Hit play!"/>
    <n v="3092"/>
    <n v="177"/>
    <n v="81"/>
    <n v="47533"/>
    <n v="29220"/>
    <n v="121"/>
    <x v="1"/>
    <s v="ChillVibes"/>
  </r>
  <r>
    <s v="SP004"/>
    <s v="Instagram"/>
    <d v="2024-12-03T00:00:00"/>
    <s v="Text"/>
    <s v="Wrapped is here! Relive your top tracks ðŸŽ§"/>
    <n v="3173"/>
    <n v="229"/>
    <n v="197"/>
    <n v="29604"/>
    <n v="21809"/>
    <n v="272"/>
    <x v="0"/>
    <s v="ChillVibes"/>
  </r>
  <r>
    <s v="SP004"/>
    <s v="Instagram"/>
    <d v="2024-12-03T00:00:00"/>
    <s v="Text"/>
    <s v="Wrapped is here! Relive your top tracks ðŸŽ§"/>
    <n v="3173"/>
    <n v="229"/>
    <n v="197"/>
    <n v="29604"/>
    <n v="21809"/>
    <n v="272"/>
    <x v="1"/>
    <s v="ChillVibes"/>
  </r>
  <r>
    <s v="SP005"/>
    <s v="YouTube"/>
    <d v="2024-04-06T00:00:00"/>
    <s v="Text"/>
    <s v="Music that moves youâ€”only on Spotify."/>
    <n v="2748"/>
    <n v="145"/>
    <n v="315"/>
    <n v="24401"/>
    <n v="61182"/>
    <n v="200"/>
    <x v="2"/>
    <s v="IndieWave"/>
  </r>
  <r>
    <s v="SP005"/>
    <s v="YouTube"/>
    <d v="2024-04-06T00:00:00"/>
    <s v="Text"/>
    <s v="Music that moves youâ€”only on Spotify."/>
    <n v="2748"/>
    <n v="145"/>
    <n v="315"/>
    <n v="24401"/>
    <n v="61182"/>
    <n v="200"/>
    <x v="4"/>
    <s v="IndieWave"/>
  </r>
  <r>
    <s v="SP006"/>
    <s v="YouTube"/>
    <d v="2024-06-13T00:00:00"/>
    <s v="Text"/>
    <s v="Whatâ€™s your vibe today? #SpotifyHits"/>
    <n v="3882"/>
    <n v="239"/>
    <n v="275"/>
    <n v="58748"/>
    <n v="44646"/>
    <n v="149"/>
    <x v="2"/>
    <s v="IndieWave"/>
  </r>
  <r>
    <s v="SP006"/>
    <s v="YouTube"/>
    <d v="2024-06-13T00:00:00"/>
    <s v="Text"/>
    <s v="Whatâ€™s your vibe today? #SpotifyHits"/>
    <n v="3882"/>
    <n v="239"/>
    <n v="275"/>
    <n v="58748"/>
    <n v="44646"/>
    <n v="149"/>
    <x v="4"/>
    <s v="IndieWave"/>
  </r>
  <r>
    <s v="SP007"/>
    <s v="Twitter"/>
    <d v="2024-12-19T00:00:00"/>
    <s v="Story"/>
    <s v="Get into the groove with our new drop!"/>
    <n v="4674"/>
    <n v="409"/>
    <n v="327"/>
    <n v="20756"/>
    <n v="63599"/>
    <n v="212"/>
    <x v="0"/>
    <s v="ChillVibes"/>
  </r>
  <r>
    <s v="SP007"/>
    <s v="Twitter"/>
    <d v="2024-12-19T00:00:00"/>
    <s v="Story"/>
    <s v="Get into the groove with our new drop!"/>
    <n v="4674"/>
    <n v="409"/>
    <n v="327"/>
    <n v="20756"/>
    <n v="63599"/>
    <n v="212"/>
    <x v="1"/>
    <s v="ChillVibes"/>
  </r>
  <r>
    <s v="SP008"/>
    <s v="Twitter"/>
    <d v="2024-05-09T00:00:00"/>
    <s v="Story"/>
    <s v="Wrapped is here! Relive your top tracks ðŸŽ§"/>
    <n v="1428"/>
    <n v="347"/>
    <n v="67"/>
    <n v="21148"/>
    <n v="19712"/>
    <n v="120"/>
    <x v="2"/>
    <s v="ChillVibes"/>
  </r>
  <r>
    <s v="SP008"/>
    <s v="Twitter"/>
    <d v="2024-05-09T00:00:00"/>
    <s v="Story"/>
    <s v="Wrapped is here! Relive your top tracks ðŸŽ§"/>
    <n v="1428"/>
    <n v="347"/>
    <n v="67"/>
    <n v="21148"/>
    <n v="19712"/>
    <n v="120"/>
    <x v="3"/>
    <s v="ChillVibes"/>
  </r>
  <r>
    <s v="SP009"/>
    <s v="Twitter"/>
    <d v="2025-06-15T00:00:00"/>
    <s v="Text"/>
    <s v="Top trending tracks updated daily!"/>
    <n v="4432"/>
    <n v="223"/>
    <n v="299"/>
    <n v="59016"/>
    <n v="21742"/>
    <n v="171"/>
    <x v="1"/>
    <s v="ChillVibes"/>
  </r>
  <r>
    <s v="SP010"/>
    <s v="Twitter"/>
    <d v="2024-12-04T00:00:00"/>
    <s v="Text"/>
    <s v="Wrapped is here! Relive your top tracks ðŸŽ§"/>
    <n v="2357"/>
    <n v="274"/>
    <n v="172"/>
    <n v="21566"/>
    <n v="66829"/>
    <n v="284"/>
    <x v="1"/>
    <s v="ChillVibes"/>
  </r>
  <r>
    <s v="SP011"/>
    <s v="Twitter"/>
    <d v="2024-03-06T00:00:00"/>
    <s v="Text"/>
    <s v="Discover fresh beats on Spotify!"/>
    <n v="1971"/>
    <n v="370"/>
    <n v="306"/>
    <n v="31316"/>
    <n v="27897"/>
    <n v="88"/>
    <x v="0"/>
    <s v="IndieWave"/>
  </r>
  <r>
    <s v="SP012"/>
    <s v="Instagram"/>
    <d v="2024-05-14T00:00:00"/>
    <s v="Text"/>
    <s v="Discover fresh beats on Spotify!"/>
    <n v="1485"/>
    <n v="353"/>
    <n v="244"/>
    <n v="38419"/>
    <n v="38556"/>
    <n v="86"/>
    <x v="0"/>
    <s v="ChillVibes"/>
  </r>
  <r>
    <s v="SP012"/>
    <s v="Instagram"/>
    <d v="2024-05-14T00:00:00"/>
    <s v="Text"/>
    <s v="Discover fresh beats on Spotify!"/>
    <n v="1485"/>
    <n v="353"/>
    <n v="244"/>
    <n v="38419"/>
    <n v="38556"/>
    <n v="86"/>
    <x v="1"/>
    <s v="ChillVibes"/>
  </r>
  <r>
    <s v="SP013"/>
    <s v="Twitter"/>
    <d v="2025-06-18T00:00:00"/>
    <s v="Story"/>
    <s v="Discover fresh beats on Spotify!"/>
    <n v="3956"/>
    <n v="319"/>
    <n v="61"/>
    <n v="58162"/>
    <n v="28720"/>
    <n v="213"/>
    <x v="3"/>
    <s v="ChillVibes"/>
  </r>
  <r>
    <s v="SP013"/>
    <s v="Twitter"/>
    <d v="2025-06-18T00:00:00"/>
    <s v="Story"/>
    <s v="Discover fresh beats on Spotify!"/>
    <n v="3956"/>
    <n v="319"/>
    <n v="61"/>
    <n v="58162"/>
    <n v="28720"/>
    <n v="213"/>
    <x v="1"/>
    <s v="ChillVibes"/>
  </r>
  <r>
    <s v="SP014"/>
    <s v="Twitter"/>
    <d v="2024-10-08T00:00:00"/>
    <s v="Text"/>
    <s v="From pop to podcasts, itâ€™s all here."/>
    <n v="2460"/>
    <n v="409"/>
    <n v="253"/>
    <n v="36702"/>
    <n v="46122"/>
    <n v="264"/>
    <x v="1"/>
    <s v="ChillVibes"/>
  </r>
  <r>
    <s v="SP015"/>
    <s v="Twitter"/>
    <d v="2024-05-06T00:00:00"/>
    <s v="Text"/>
    <s v="Your weekend playlist is waiting."/>
    <n v="3476"/>
    <n v="355"/>
    <n v="396"/>
    <n v="37492"/>
    <n v="27285"/>
    <n v="179"/>
    <x v="1"/>
    <s v="ChillVibes"/>
  </r>
  <r>
    <s v="SP016"/>
    <s v="Twitter"/>
    <d v="2024-12-29T00:00:00"/>
    <s v="Story"/>
    <s v="New music just dropped. Hit play!"/>
    <n v="4049"/>
    <n v="377"/>
    <n v="94"/>
    <n v="48182"/>
    <n v="42875"/>
    <n v="172"/>
    <x v="3"/>
    <s v="ChillVibes"/>
  </r>
  <r>
    <s v="SP016"/>
    <s v="Twitter"/>
    <d v="2024-12-29T00:00:00"/>
    <s v="Story"/>
    <s v="New music just dropped. Hit play!"/>
    <n v="4049"/>
    <n v="377"/>
    <n v="94"/>
    <n v="48182"/>
    <n v="42875"/>
    <n v="172"/>
    <x v="1"/>
    <s v="ChillVibes"/>
  </r>
  <r>
    <s v="SP017"/>
    <s v="Twitter"/>
    <d v="2024-06-10T00:00:00"/>
    <s v="Text"/>
    <s v="Whatâ€™s your vibe today? #SpotifyHits"/>
    <n v="1514"/>
    <n v="164"/>
    <n v="275"/>
    <n v="41364"/>
    <n v="44389"/>
    <n v="83"/>
    <x v="1"/>
    <s v="ChillVibes"/>
  </r>
  <r>
    <s v="SP018"/>
    <s v="Instagram"/>
    <d v="2024-02-03T00:00:00"/>
    <s v="Story"/>
    <s v="Music that moves youâ€”only on Spotify."/>
    <n v="4281"/>
    <n v="101"/>
    <n v="163"/>
    <n v="32278"/>
    <n v="53382"/>
    <n v="235"/>
    <x v="1"/>
    <s v="Wrapped2024"/>
  </r>
  <r>
    <s v="SP019"/>
    <s v="YouTube"/>
    <d v="2024-06-15T00:00:00"/>
    <s v="Reel"/>
    <s v="Get into the groove with our new drop!"/>
    <n v="1751"/>
    <n v="143"/>
    <n v="151"/>
    <n v="31826"/>
    <n v="47729"/>
    <n v="95"/>
    <x v="2"/>
    <s v="SummerBeats"/>
  </r>
  <r>
    <s v="SP019"/>
    <s v="YouTube"/>
    <d v="2024-06-15T00:00:00"/>
    <s v="Reel"/>
    <s v="Get into the groove with our new drop!"/>
    <n v="1751"/>
    <n v="143"/>
    <n v="151"/>
    <n v="31826"/>
    <n v="47729"/>
    <n v="95"/>
    <x v="0"/>
    <s v="SummerBeats"/>
  </r>
  <r>
    <s v="SP020"/>
    <s v="Instagram"/>
    <d v="2024-07-05T00:00:00"/>
    <s v="Text"/>
    <s v="Your weekend playlist is waiting."/>
    <n v="3753"/>
    <n v="411"/>
    <n v="308"/>
    <n v="29138"/>
    <n v="27678"/>
    <n v="90"/>
    <x v="2"/>
    <s v="IndieWave"/>
  </r>
  <r>
    <s v="SP021"/>
    <s v="Instagram"/>
    <d v="2024-11-07T00:00:00"/>
    <s v="Story"/>
    <s v="Wrapped is here! Relive your top tracks ðŸŽ§"/>
    <n v="1678"/>
    <n v="423"/>
    <n v="323"/>
    <n v="55668"/>
    <n v="37945"/>
    <n v="230"/>
    <x v="1"/>
    <s v="Wrapped2024"/>
  </r>
  <r>
    <s v="SP022"/>
    <s v="Instagram"/>
    <d v="2025-06-15T00:00:00"/>
    <s v="Text"/>
    <s v="Whatâ€™s your vibe today? #SpotifyHits"/>
    <n v="4896"/>
    <n v="466"/>
    <n v="233"/>
    <n v="28621"/>
    <n v="34270"/>
    <n v="84"/>
    <x v="0"/>
    <s v="ChillVibes"/>
  </r>
  <r>
    <s v="SP022"/>
    <s v="Instagram"/>
    <d v="2025-06-15T00:00:00"/>
    <s v="Text"/>
    <s v="Whatâ€™s your vibe today? #SpotifyHits"/>
    <n v="4896"/>
    <n v="466"/>
    <n v="233"/>
    <n v="28621"/>
    <n v="34270"/>
    <n v="84"/>
    <x v="1"/>
    <s v="ChillVibes"/>
  </r>
  <r>
    <s v="SP023"/>
    <s v="YouTube"/>
    <d v="2024-06-09T00:00:00"/>
    <s v="Reel"/>
    <s v="From pop to podcasts, itâ€™s all here."/>
    <n v="2786"/>
    <n v="368"/>
    <n v="208"/>
    <n v="42000"/>
    <n v="39967"/>
    <n v="103"/>
    <x v="2"/>
    <s v="SummerBeats"/>
  </r>
  <r>
    <s v="SP023"/>
    <s v="YouTube"/>
    <d v="2024-06-09T00:00:00"/>
    <s v="Reel"/>
    <s v="From pop to podcasts, itâ€™s all here."/>
    <n v="2786"/>
    <n v="368"/>
    <n v="208"/>
    <n v="42000"/>
    <n v="39967"/>
    <n v="103"/>
    <x v="0"/>
    <s v="SummerBeats"/>
  </r>
  <r>
    <s v="SP024"/>
    <s v="Twitter"/>
    <d v="2024-10-18T00:00:00"/>
    <s v="Text"/>
    <s v="New music just dropped. Hit play!"/>
    <n v="2607"/>
    <n v="379"/>
    <n v="180"/>
    <n v="28712"/>
    <n v="61620"/>
    <n v="174"/>
    <x v="0"/>
    <s v="IndieWave"/>
  </r>
  <r>
    <s v="SP025"/>
    <s v="YouTube"/>
    <d v="2024-10-10T00:00:00"/>
    <s v="Reel"/>
    <s v="From pop to podcasts, itâ€™s all here."/>
    <n v="4013"/>
    <n v="320"/>
    <n v="92"/>
    <n v="54605"/>
    <n v="60169"/>
    <n v="232"/>
    <x v="2"/>
    <s v="SummerBeats"/>
  </r>
  <r>
    <s v="SP025"/>
    <s v="YouTube"/>
    <d v="2024-10-10T00:00:00"/>
    <s v="Reel"/>
    <s v="From pop to podcasts, itâ€™s all here."/>
    <n v="4013"/>
    <n v="320"/>
    <n v="92"/>
    <n v="54605"/>
    <n v="60169"/>
    <n v="232"/>
    <x v="0"/>
    <s v="SummerBeats"/>
  </r>
  <r>
    <s v="SP026"/>
    <s v="Twitter"/>
    <d v="2025-05-14T00:00:00"/>
    <s v="Story"/>
    <s v="From pop to podcasts, itâ€™s all here."/>
    <n v="2707"/>
    <n v="103"/>
    <n v="51"/>
    <n v="55302"/>
    <n v="18801"/>
    <n v="147"/>
    <x v="2"/>
    <s v="ChillVibes"/>
  </r>
  <r>
    <s v="SP026"/>
    <s v="Twitter"/>
    <d v="2025-05-14T00:00:00"/>
    <s v="Story"/>
    <s v="From pop to podcasts, itâ€™s all here."/>
    <n v="2707"/>
    <n v="103"/>
    <n v="51"/>
    <n v="55302"/>
    <n v="18801"/>
    <n v="147"/>
    <x v="3"/>
    <s v="ChillVibes"/>
  </r>
  <r>
    <s v="SP027"/>
    <s v="Instagram"/>
    <d v="2024-11-29T00:00:00"/>
    <s v="Text"/>
    <s v="Whatâ€™s your vibe today? #SpotifyHits"/>
    <n v="2824"/>
    <n v="425"/>
    <n v="274"/>
    <n v="31004"/>
    <n v="53488"/>
    <n v="268"/>
    <x v="0"/>
    <s v="ChillVibes"/>
  </r>
  <r>
    <s v="SP027"/>
    <s v="Instagram"/>
    <d v="2024-11-29T00:00:00"/>
    <s v="Text"/>
    <s v="Whatâ€™s your vibe today? #SpotifyHits"/>
    <n v="2824"/>
    <n v="425"/>
    <n v="274"/>
    <n v="31004"/>
    <n v="53488"/>
    <n v="268"/>
    <x v="1"/>
    <s v="ChillVibes"/>
  </r>
  <r>
    <s v="SP028"/>
    <s v="YouTube"/>
    <d v="2024-03-05T00:00:00"/>
    <s v="Reel"/>
    <s v="Explore the latest podcasts now."/>
    <n v="3558"/>
    <n v="314"/>
    <n v="199"/>
    <n v="49612"/>
    <n v="53929"/>
    <n v="206"/>
    <x v="2"/>
    <s v="SummerBeats"/>
  </r>
  <r>
    <s v="SP028"/>
    <s v="YouTube"/>
    <d v="2024-03-05T00:00:00"/>
    <s v="Reel"/>
    <s v="Explore the latest podcasts now."/>
    <n v="3558"/>
    <n v="314"/>
    <n v="199"/>
    <n v="49612"/>
    <n v="53929"/>
    <n v="206"/>
    <x v="0"/>
    <s v="SummerBeats"/>
  </r>
  <r>
    <s v="SP029"/>
    <s v="Twitter"/>
    <d v="2025-03-18T00:00:00"/>
    <s v="Story"/>
    <s v="Explore the latest podcasts now."/>
    <n v="3418"/>
    <n v="188"/>
    <n v="387"/>
    <n v="57431"/>
    <n v="36933"/>
    <n v="202"/>
    <x v="3"/>
    <s v="ChillVibes"/>
  </r>
  <r>
    <s v="SP029"/>
    <s v="Twitter"/>
    <d v="2025-03-18T00:00:00"/>
    <s v="Story"/>
    <s v="Explore the latest podcasts now."/>
    <n v="3418"/>
    <n v="188"/>
    <n v="387"/>
    <n v="57431"/>
    <n v="36933"/>
    <n v="202"/>
    <x v="1"/>
    <s v="ChillVibes"/>
  </r>
  <r>
    <s v="SP030"/>
    <s v="Twitter"/>
    <d v="2025-04-26T00:00:00"/>
    <s v="Text"/>
    <s v="Discover fresh beats on Spotify!"/>
    <n v="2411"/>
    <n v="194"/>
    <n v="168"/>
    <n v="26665"/>
    <n v="71699"/>
    <n v="197"/>
    <x v="1"/>
    <s v="ChillVibes"/>
  </r>
  <r>
    <s v="SP031"/>
    <s v="Instagram"/>
    <d v="2025-01-01T00:00:00"/>
    <s v="Text"/>
    <s v="New music just dropped. Hit play!"/>
    <n v="4036"/>
    <n v="112"/>
    <n v="382"/>
    <n v="56284"/>
    <n v="29440"/>
    <n v="279"/>
    <x v="0"/>
    <s v="ChillVibes"/>
  </r>
  <r>
    <s v="SP031"/>
    <s v="Instagram"/>
    <d v="2025-01-01T00:00:00"/>
    <s v="Text"/>
    <s v="New music just dropped. Hit play!"/>
    <n v="4036"/>
    <n v="112"/>
    <n v="382"/>
    <n v="56284"/>
    <n v="29440"/>
    <n v="279"/>
    <x v="1"/>
    <s v="ChillVibes"/>
  </r>
  <r>
    <s v="SP032"/>
    <s v="Twitter"/>
    <d v="2024-05-07T00:00:00"/>
    <s v="Story"/>
    <s v="Explore the latest podcasts now."/>
    <n v="2776"/>
    <n v="307"/>
    <n v="178"/>
    <n v="43365"/>
    <n v="48408"/>
    <n v="138"/>
    <x v="0"/>
    <s v="ChillVibes"/>
  </r>
  <r>
    <s v="SP032"/>
    <s v="Twitter"/>
    <d v="2024-05-07T00:00:00"/>
    <s v="Story"/>
    <s v="Explore the latest podcasts now."/>
    <n v="2776"/>
    <n v="307"/>
    <n v="178"/>
    <n v="43365"/>
    <n v="48408"/>
    <n v="138"/>
    <x v="1"/>
    <s v="ChillVibes"/>
  </r>
  <r>
    <s v="SP033"/>
    <s v="Twitter"/>
    <d v="2024-10-09T00:00:00"/>
    <s v="Story"/>
    <s v="Discover fresh beats on Spotify!"/>
    <n v="4929"/>
    <n v="182"/>
    <n v="95"/>
    <n v="32181"/>
    <n v="31084"/>
    <n v="289"/>
    <x v="2"/>
    <s v="ChillVibes"/>
  </r>
  <r>
    <s v="SP033"/>
    <s v="Twitter"/>
    <d v="2024-10-09T00:00:00"/>
    <s v="Story"/>
    <s v="Discover fresh beats on Spotify!"/>
    <n v="4929"/>
    <n v="182"/>
    <n v="95"/>
    <n v="32181"/>
    <n v="31084"/>
    <n v="289"/>
    <x v="3"/>
    <s v="ChillVibes"/>
  </r>
  <r>
    <s v="SP034"/>
    <s v="Instagram"/>
    <d v="2025-01-09T00:00:00"/>
    <s v="Text"/>
    <s v="New music just dropped. Hit play!"/>
    <n v="1015"/>
    <n v="366"/>
    <n v="308"/>
    <n v="38127"/>
    <n v="63790"/>
    <n v="287"/>
    <x v="0"/>
    <s v="ChillVibes"/>
  </r>
  <r>
    <s v="SP034"/>
    <s v="Instagram"/>
    <d v="2025-01-09T00:00:00"/>
    <s v="Text"/>
    <s v="New music just dropped. Hit play!"/>
    <n v="1015"/>
    <n v="366"/>
    <n v="308"/>
    <n v="38127"/>
    <n v="63790"/>
    <n v="287"/>
    <x v="1"/>
    <s v="ChillVibes"/>
  </r>
  <r>
    <s v="SP035"/>
    <s v="Twitter"/>
    <d v="2025-05-08T00:00:00"/>
    <s v="Story"/>
    <s v="Your weekend playlist is waiting."/>
    <n v="3316"/>
    <n v="332"/>
    <n v="268"/>
    <n v="40095"/>
    <n v="36913"/>
    <n v="265"/>
    <x v="3"/>
    <s v="ChillVibes"/>
  </r>
  <r>
    <s v="SP035"/>
    <s v="Twitter"/>
    <d v="2025-05-08T00:00:00"/>
    <s v="Story"/>
    <s v="Your weekend playlist is waiting."/>
    <n v="3316"/>
    <n v="332"/>
    <n v="268"/>
    <n v="40095"/>
    <n v="36913"/>
    <n v="265"/>
    <x v="1"/>
    <s v="ChillVibes"/>
  </r>
  <r>
    <s v="SP036"/>
    <s v="Instagram"/>
    <d v="2024-05-04T00:00:00"/>
    <s v="Text"/>
    <s v="Wrapped is here! Relive your top tracks ðŸŽ§"/>
    <n v="2274"/>
    <n v="243"/>
    <n v="222"/>
    <n v="43066"/>
    <n v="59174"/>
    <n v="80"/>
    <x v="2"/>
    <s v="IndieWave"/>
  </r>
  <r>
    <s v="SP037"/>
    <s v="Twitter"/>
    <d v="2025-05-27T00:00:00"/>
    <s v="Story"/>
    <s v="Explore the latest podcasts now."/>
    <n v="4095"/>
    <n v="385"/>
    <n v="400"/>
    <n v="45300"/>
    <n v="31795"/>
    <n v="80"/>
    <x v="3"/>
    <s v="ChillVibes"/>
  </r>
  <r>
    <s v="SP037"/>
    <s v="Twitter"/>
    <d v="2025-05-27T00:00:00"/>
    <s v="Story"/>
    <s v="Explore the latest podcasts now."/>
    <n v="4095"/>
    <n v="385"/>
    <n v="400"/>
    <n v="45300"/>
    <n v="31795"/>
    <n v="80"/>
    <x v="1"/>
    <s v="ChillVibes"/>
  </r>
  <r>
    <s v="SP038"/>
    <s v="Instagram"/>
    <d v="2024-09-10T00:00:00"/>
    <s v="Story"/>
    <s v="New music just dropped. Hit play!"/>
    <n v="1230"/>
    <n v="309"/>
    <n v="207"/>
    <n v="44629"/>
    <n v="40699"/>
    <n v="195"/>
    <x v="1"/>
    <s v="Wrapped2024"/>
  </r>
  <r>
    <s v="SP039"/>
    <s v="Instagram"/>
    <d v="2024-11-25T00:00:00"/>
    <s v="Text"/>
    <s v="From pop to podcasts, itâ€™s all here."/>
    <n v="1341"/>
    <n v="472"/>
    <n v="238"/>
    <n v="51386"/>
    <n v="51706"/>
    <n v="133"/>
    <x v="2"/>
    <s v="IndieWave"/>
  </r>
  <r>
    <s v="SP040"/>
    <s v="Twitter"/>
    <d v="2025-06-10T00:00:00"/>
    <s v="Text"/>
    <s v="Explore the latest podcasts now."/>
    <n v="3615"/>
    <n v="192"/>
    <n v="162"/>
    <n v="27492"/>
    <n v="35341"/>
    <n v="125"/>
    <x v="1"/>
    <s v="ChillVibes"/>
  </r>
  <r>
    <s v="SP041"/>
    <s v="Instagram"/>
    <d v="2024-04-19T00:00:00"/>
    <s v="Text"/>
    <s v="New music just dropped. Hit play!"/>
    <n v="4001"/>
    <n v="353"/>
    <n v="129"/>
    <n v="41265"/>
    <n v="37279"/>
    <n v="275"/>
    <x v="0"/>
    <s v="ChillVibes"/>
  </r>
  <r>
    <s v="SP041"/>
    <s v="Instagram"/>
    <d v="2024-04-19T00:00:00"/>
    <s v="Text"/>
    <s v="New music just dropped. Hit play!"/>
    <n v="4001"/>
    <n v="353"/>
    <n v="129"/>
    <n v="41265"/>
    <n v="37279"/>
    <n v="275"/>
    <x v="1"/>
    <s v="ChillVibes"/>
  </r>
  <r>
    <s v="SP042"/>
    <s v="Instagram"/>
    <d v="2025-01-26T00:00:00"/>
    <s v="Story"/>
    <s v="Whatâ€™s your vibe today? #SpotifyHits"/>
    <n v="3451"/>
    <n v="363"/>
    <n v="393"/>
    <n v="44853"/>
    <n v="69032"/>
    <n v="211"/>
    <x v="1"/>
    <s v="Wrapped2024"/>
  </r>
  <r>
    <s v="SP043"/>
    <s v="Instagram"/>
    <d v="2025-02-14T00:00:00"/>
    <s v="Text"/>
    <s v="Top trending tracks updated daily!"/>
    <n v="4891"/>
    <n v="450"/>
    <n v="387"/>
    <n v="48746"/>
    <n v="37312"/>
    <n v="154"/>
    <x v="0"/>
    <s v="ChillVibes"/>
  </r>
  <r>
    <s v="SP043"/>
    <s v="Instagram"/>
    <d v="2025-02-14T00:00:00"/>
    <s v="Text"/>
    <s v="Top trending tracks updated daily!"/>
    <n v="4891"/>
    <n v="450"/>
    <n v="387"/>
    <n v="48746"/>
    <n v="37312"/>
    <n v="154"/>
    <x v="1"/>
    <s v="ChillVibes"/>
  </r>
  <r>
    <s v="SP044"/>
    <s v="Instagram"/>
    <d v="2024-09-06T00:00:00"/>
    <s v="Text"/>
    <s v="New music just dropped. Hit play!"/>
    <n v="1452"/>
    <n v="281"/>
    <n v="326"/>
    <n v="51556"/>
    <n v="62599"/>
    <n v="290"/>
    <x v="2"/>
    <s v="IndieWave"/>
  </r>
  <r>
    <s v="SP045"/>
    <s v="YouTube"/>
    <d v="2024-07-14T00:00:00"/>
    <s v="Text"/>
    <s v="Your weekend playlist is waiting."/>
    <n v="3806"/>
    <n v="114"/>
    <n v="278"/>
    <n v="36148"/>
    <n v="24209"/>
    <n v="201"/>
    <x v="2"/>
    <s v="IndieWave"/>
  </r>
  <r>
    <s v="SP045"/>
    <s v="YouTube"/>
    <d v="2024-07-14T00:00:00"/>
    <s v="Text"/>
    <s v="Your weekend playlist is waiting."/>
    <n v="3806"/>
    <n v="114"/>
    <n v="278"/>
    <n v="36148"/>
    <n v="24209"/>
    <n v="201"/>
    <x v="4"/>
    <s v="IndieWave"/>
  </r>
  <r>
    <s v="SP046"/>
    <s v="Instagram"/>
    <d v="2024-02-12T00:00:00"/>
    <s v="Text"/>
    <s v="Explore the latest podcasts now."/>
    <n v="2923"/>
    <n v="330"/>
    <n v="250"/>
    <n v="23993"/>
    <n v="74590"/>
    <n v="92"/>
    <x v="2"/>
    <s v="IndieWave"/>
  </r>
  <r>
    <s v="SP047"/>
    <s v="YouTube"/>
    <d v="2024-03-14T00:00:00"/>
    <s v="Reel"/>
    <s v="From pop to podcasts, itâ€™s all here."/>
    <n v="3361"/>
    <n v="188"/>
    <n v="358"/>
    <n v="39838"/>
    <n v="24536"/>
    <n v="120"/>
    <x v="2"/>
    <s v="SummerBeats"/>
  </r>
  <r>
    <s v="SP047"/>
    <s v="YouTube"/>
    <d v="2024-03-14T00:00:00"/>
    <s v="Reel"/>
    <s v="From pop to podcasts, itâ€™s all here."/>
    <n v="3361"/>
    <n v="188"/>
    <n v="358"/>
    <n v="39838"/>
    <n v="24536"/>
    <n v="120"/>
    <x v="0"/>
    <s v="SummerBeats"/>
  </r>
  <r>
    <s v="SP048"/>
    <s v="Instagram"/>
    <d v="2025-02-05T00:00:00"/>
    <s v="Story"/>
    <s v="Music that moves youâ€”only on Spotify."/>
    <n v="3074"/>
    <n v="371"/>
    <n v="348"/>
    <n v="24104"/>
    <n v="57803"/>
    <n v="213"/>
    <x v="1"/>
    <s v="Wrapped2024"/>
  </r>
  <r>
    <s v="SP049"/>
    <s v="Twitter"/>
    <d v="2024-08-29T00:00:00"/>
    <s v="Story"/>
    <s v="Get into the groove with our new drop!"/>
    <n v="4276"/>
    <n v="227"/>
    <n v="223"/>
    <n v="43443"/>
    <n v="41005"/>
    <n v="191"/>
    <x v="2"/>
    <s v="ChillVibes"/>
  </r>
  <r>
    <s v="SP049"/>
    <s v="Twitter"/>
    <d v="2024-08-29T00:00:00"/>
    <s v="Story"/>
    <s v="Get into the groove with our new drop!"/>
    <n v="4276"/>
    <n v="227"/>
    <n v="223"/>
    <n v="43443"/>
    <n v="41005"/>
    <n v="191"/>
    <x v="3"/>
    <s v="ChillVibes"/>
  </r>
  <r>
    <s v="SP050"/>
    <s v="Twitter"/>
    <d v="2025-04-22T00:00:00"/>
    <s v="Text"/>
    <s v="Discover fresh beats on Spotify!"/>
    <n v="4401"/>
    <n v="421"/>
    <n v="216"/>
    <n v="24890"/>
    <n v="54361"/>
    <n v="148"/>
    <x v="1"/>
    <s v="ChillVibes"/>
  </r>
  <r>
    <s v="SP051"/>
    <s v="YouTube"/>
    <d v="2024-05-13T00:00:00"/>
    <s v="Reel"/>
    <s v="Explore the latest podcasts now."/>
    <n v="4161"/>
    <n v="481"/>
    <n v="61"/>
    <n v="45884"/>
    <n v="48955"/>
    <n v="215"/>
    <x v="2"/>
    <s v="SummerBeats"/>
  </r>
  <r>
    <s v="SP051"/>
    <s v="YouTube"/>
    <d v="2024-05-13T00:00:00"/>
    <s v="Reel"/>
    <s v="Explore the latest podcasts now."/>
    <n v="4161"/>
    <n v="481"/>
    <n v="61"/>
    <n v="45884"/>
    <n v="48955"/>
    <n v="215"/>
    <x v="0"/>
    <s v="SummerBeats"/>
  </r>
  <r>
    <s v="SP052"/>
    <s v="Twitter"/>
    <d v="2024-09-04T00:00:00"/>
    <s v="Story"/>
    <s v="New music just dropped. Hit play!"/>
    <n v="2613"/>
    <n v="455"/>
    <n v="228"/>
    <n v="21645"/>
    <n v="61334"/>
    <n v="261"/>
    <x v="2"/>
    <s v="ChillVibes"/>
  </r>
  <r>
    <s v="SP052"/>
    <s v="Twitter"/>
    <d v="2024-09-04T00:00:00"/>
    <s v="Story"/>
    <s v="New music just dropped. Hit play!"/>
    <n v="2613"/>
    <n v="455"/>
    <n v="228"/>
    <n v="21645"/>
    <n v="61334"/>
    <n v="261"/>
    <x v="3"/>
    <s v="ChillVibes"/>
  </r>
  <r>
    <s v="SP053"/>
    <s v="Twitter"/>
    <d v="2024-08-12T00:00:00"/>
    <s v="Story"/>
    <s v="Whatâ€™s your vibe today? #SpotifyHits"/>
    <n v="2842"/>
    <n v="213"/>
    <n v="331"/>
    <n v="57660"/>
    <n v="68606"/>
    <n v="87"/>
    <x v="3"/>
    <s v="ChillVibes"/>
  </r>
  <r>
    <s v="SP053"/>
    <s v="Twitter"/>
    <d v="2024-08-12T00:00:00"/>
    <s v="Story"/>
    <s v="Whatâ€™s your vibe today? #SpotifyHits"/>
    <n v="2842"/>
    <n v="213"/>
    <n v="331"/>
    <n v="57660"/>
    <n v="68606"/>
    <n v="87"/>
    <x v="1"/>
    <s v="ChillVibes"/>
  </r>
  <r>
    <s v="SP054"/>
    <s v="Instagram"/>
    <d v="2025-03-06T00:00:00"/>
    <s v="Text"/>
    <s v="Get into the groove with our new drop!"/>
    <n v="4851"/>
    <n v="460"/>
    <n v="212"/>
    <n v="58075"/>
    <n v="59574"/>
    <n v="239"/>
    <x v="2"/>
    <s v="IndieWave"/>
  </r>
  <r>
    <s v="SP055"/>
    <s v="Twitter"/>
    <d v="2024-05-08T00:00:00"/>
    <s v="Text"/>
    <s v="Explore the latest podcasts now."/>
    <n v="1828"/>
    <n v="450"/>
    <n v="214"/>
    <n v="52115"/>
    <n v="19166"/>
    <n v="190"/>
    <x v="1"/>
    <s v="ChillVibes"/>
  </r>
  <r>
    <s v="SP056"/>
    <s v="Instagram"/>
    <d v="2025-02-19T00:00:00"/>
    <s v="Story"/>
    <s v="From pop to podcasts, itâ€™s all here."/>
    <n v="2422"/>
    <n v="455"/>
    <n v="376"/>
    <n v="23428"/>
    <n v="46775"/>
    <n v="259"/>
    <x v="1"/>
    <s v="Wrapped2024"/>
  </r>
  <r>
    <s v="SP057"/>
    <s v="Instagram"/>
    <d v="2024-01-08T00:00:00"/>
    <s v="Text"/>
    <s v="Top trending tracks updated daily!"/>
    <n v="2683"/>
    <n v="405"/>
    <n v="223"/>
    <n v="31233"/>
    <n v="58106"/>
    <n v="291"/>
    <x v="2"/>
    <s v="IndieWave"/>
  </r>
  <r>
    <s v="SP058"/>
    <s v="YouTube"/>
    <d v="2024-07-17T00:00:00"/>
    <s v="Text"/>
    <s v="Top trending tracks updated daily!"/>
    <n v="3135"/>
    <n v="110"/>
    <n v="215"/>
    <n v="39192"/>
    <n v="24744"/>
    <n v="177"/>
    <x v="2"/>
    <s v="IndieWave"/>
  </r>
  <r>
    <s v="SP058"/>
    <s v="YouTube"/>
    <d v="2024-07-17T00:00:00"/>
    <s v="Text"/>
    <s v="Top trending tracks updated daily!"/>
    <n v="3135"/>
    <n v="110"/>
    <n v="215"/>
    <n v="39192"/>
    <n v="24744"/>
    <n v="177"/>
    <x v="4"/>
    <s v="IndieWave"/>
  </r>
  <r>
    <s v="SP059"/>
    <s v="YouTube"/>
    <d v="2024-08-10T00:00:00"/>
    <s v="Text"/>
    <s v="From pop to podcasts, itâ€™s all here."/>
    <n v="1105"/>
    <n v="181"/>
    <n v="55"/>
    <n v="53581"/>
    <n v="74048"/>
    <n v="220"/>
    <x v="2"/>
    <s v="IndieWave"/>
  </r>
  <r>
    <s v="SP059"/>
    <s v="YouTube"/>
    <d v="2024-08-10T00:00:00"/>
    <s v="Text"/>
    <s v="From pop to podcasts, itâ€™s all here."/>
    <n v="1105"/>
    <n v="181"/>
    <n v="55"/>
    <n v="53581"/>
    <n v="74048"/>
    <n v="220"/>
    <x v="4"/>
    <s v="IndieWave"/>
  </r>
  <r>
    <s v="SP060"/>
    <s v="YouTube"/>
    <d v="2024-04-16T00:00:00"/>
    <s v="Text"/>
    <s v="Discover fresh beats on Spotify!"/>
    <n v="4674"/>
    <n v="326"/>
    <n v="62"/>
    <n v="45503"/>
    <n v="46814"/>
    <n v="116"/>
    <x v="2"/>
    <s v="IndieWave"/>
  </r>
  <r>
    <s v="SP060"/>
    <s v="YouTube"/>
    <d v="2024-04-16T00:00:00"/>
    <s v="Text"/>
    <s v="Discover fresh beats on Spotify!"/>
    <n v="4674"/>
    <n v="326"/>
    <n v="62"/>
    <n v="45503"/>
    <n v="46814"/>
    <n v="116"/>
    <x v="4"/>
    <s v="IndieWave"/>
  </r>
  <r>
    <s v="SP061"/>
    <s v="YouTube"/>
    <d v="2024-01-01T00:00:00"/>
    <s v="Reel"/>
    <s v="Explore the latest podcasts now."/>
    <n v="3437"/>
    <n v="129"/>
    <n v="359"/>
    <n v="44558"/>
    <n v="30854"/>
    <n v="171"/>
    <x v="2"/>
    <s v="SummerBeats"/>
  </r>
  <r>
    <s v="SP061"/>
    <s v="YouTube"/>
    <d v="2024-01-01T00:00:00"/>
    <s v="Reel"/>
    <s v="Explore the latest podcasts now."/>
    <n v="3437"/>
    <n v="129"/>
    <n v="359"/>
    <n v="44558"/>
    <n v="30854"/>
    <n v="171"/>
    <x v="0"/>
    <s v="SummerBeats"/>
  </r>
  <r>
    <s v="SP062"/>
    <s v="Twitter"/>
    <d v="2024-11-03T00:00:00"/>
    <s v="Story"/>
    <s v="Wrapped is here! Relive your top tracks ðŸŽ§"/>
    <n v="1959"/>
    <n v="316"/>
    <n v="82"/>
    <n v="54036"/>
    <n v="69015"/>
    <n v="182"/>
    <x v="3"/>
    <s v="ChillVibes"/>
  </r>
  <r>
    <s v="SP062"/>
    <s v="Twitter"/>
    <d v="2024-11-03T00:00:00"/>
    <s v="Story"/>
    <s v="Wrapped is here! Relive your top tracks ðŸŽ§"/>
    <n v="1959"/>
    <n v="316"/>
    <n v="82"/>
    <n v="54036"/>
    <n v="69015"/>
    <n v="182"/>
    <x v="1"/>
    <s v="ChillVibes"/>
  </r>
  <r>
    <s v="SP063"/>
    <s v="Twitter"/>
    <d v="2024-07-07T00:00:00"/>
    <s v="Text"/>
    <s v="New music just dropped. Hit play!"/>
    <n v="1035"/>
    <n v="137"/>
    <n v="184"/>
    <n v="37302"/>
    <n v="68953"/>
    <n v="237"/>
    <x v="0"/>
    <s v="IndieWave"/>
  </r>
  <r>
    <s v="SP064"/>
    <s v="Twitter"/>
    <d v="2025-01-22T00:00:00"/>
    <s v="Story"/>
    <s v="New music just dropped. Hit play!"/>
    <n v="4478"/>
    <n v="101"/>
    <n v="121"/>
    <n v="51035"/>
    <n v="58207"/>
    <n v="205"/>
    <x v="3"/>
    <s v="ChillVibes"/>
  </r>
  <r>
    <s v="SP064"/>
    <s v="Twitter"/>
    <d v="2025-01-22T00:00:00"/>
    <s v="Story"/>
    <s v="New music just dropped. Hit play!"/>
    <n v="4478"/>
    <n v="101"/>
    <n v="121"/>
    <n v="51035"/>
    <n v="58207"/>
    <n v="205"/>
    <x v="1"/>
    <s v="ChillVibes"/>
  </r>
  <r>
    <s v="SP065"/>
    <s v="YouTube"/>
    <d v="2024-05-26T00:00:00"/>
    <s v="Text"/>
    <s v="From pop to podcasts, itâ€™s all here."/>
    <n v="1488"/>
    <n v="327"/>
    <n v="110"/>
    <n v="53805"/>
    <n v="30239"/>
    <n v="109"/>
    <x v="2"/>
    <s v="IndieWave"/>
  </r>
  <r>
    <s v="SP065"/>
    <s v="YouTube"/>
    <d v="2024-05-26T00:00:00"/>
    <s v="Text"/>
    <s v="From pop to podcasts, itâ€™s all here."/>
    <n v="1488"/>
    <n v="327"/>
    <n v="110"/>
    <n v="53805"/>
    <n v="30239"/>
    <n v="109"/>
    <x v="4"/>
    <s v="IndieWave"/>
  </r>
  <r>
    <s v="SP066"/>
    <s v="Instagram"/>
    <d v="2025-04-16T00:00:00"/>
    <s v="Text"/>
    <s v="Wrapped is here! Relive your top tracks ðŸŽ§"/>
    <n v="4836"/>
    <n v="331"/>
    <n v="140"/>
    <n v="58792"/>
    <n v="47711"/>
    <n v="227"/>
    <x v="0"/>
    <s v="ChillVibes"/>
  </r>
  <r>
    <s v="SP066"/>
    <s v="Instagram"/>
    <d v="2025-04-16T00:00:00"/>
    <s v="Text"/>
    <s v="Wrapped is here! Relive your top tracks ðŸŽ§"/>
    <n v="4836"/>
    <n v="331"/>
    <n v="140"/>
    <n v="58792"/>
    <n v="47711"/>
    <n v="227"/>
    <x v="1"/>
    <s v="ChillVibes"/>
  </r>
  <r>
    <s v="SP067"/>
    <s v="YouTube"/>
    <d v="2024-04-02T00:00:00"/>
    <s v="Reel"/>
    <s v="Your weekend playlist is waiting."/>
    <n v="4563"/>
    <n v="488"/>
    <n v="356"/>
    <n v="30619"/>
    <n v="23328"/>
    <n v="267"/>
    <x v="2"/>
    <s v="SummerBeats"/>
  </r>
  <r>
    <s v="SP067"/>
    <s v="YouTube"/>
    <d v="2024-04-02T00:00:00"/>
    <s v="Reel"/>
    <s v="Your weekend playlist is waiting."/>
    <n v="4563"/>
    <n v="488"/>
    <n v="356"/>
    <n v="30619"/>
    <n v="23328"/>
    <n v="267"/>
    <x v="0"/>
    <s v="SummerBeats"/>
  </r>
  <r>
    <s v="SP068"/>
    <s v="Twitter"/>
    <d v="2024-03-28T00:00:00"/>
    <s v="Text"/>
    <s v="Music that moves youâ€”only on Spotify."/>
    <n v="3276"/>
    <n v="421"/>
    <n v="114"/>
    <n v="20580"/>
    <n v="30324"/>
    <n v="221"/>
    <x v="0"/>
    <s v="IndieWave"/>
  </r>
  <r>
    <s v="SP069"/>
    <s v="Twitter"/>
    <d v="2024-12-17T00:00:00"/>
    <s v="Story"/>
    <s v="Music that moves youâ€”only on Spotify."/>
    <n v="1316"/>
    <n v="472"/>
    <n v="286"/>
    <n v="44692"/>
    <n v="53343"/>
    <n v="227"/>
    <x v="2"/>
    <s v="ChillVibes"/>
  </r>
  <r>
    <s v="SP069"/>
    <s v="Twitter"/>
    <d v="2024-12-17T00:00:00"/>
    <s v="Story"/>
    <s v="Music that moves youâ€”only on Spotify."/>
    <n v="1316"/>
    <n v="472"/>
    <n v="286"/>
    <n v="44692"/>
    <n v="53343"/>
    <n v="227"/>
    <x v="3"/>
    <s v="ChillVibes"/>
  </r>
  <r>
    <s v="SP070"/>
    <s v="Twitter"/>
    <d v="2025-01-05T00:00:00"/>
    <s v="Text"/>
    <s v="Wrapped is here! Relive your top tracks ðŸŽ§"/>
    <n v="4811"/>
    <n v="473"/>
    <n v="254"/>
    <n v="51964"/>
    <n v="68795"/>
    <n v="107"/>
    <x v="1"/>
    <s v="ChillVibes"/>
  </r>
  <r>
    <s v="SP071"/>
    <s v="Twitter"/>
    <d v="2024-01-11T00:00:00"/>
    <s v="Text"/>
    <s v="Whatâ€™s your vibe today? #SpotifyHits"/>
    <n v="4218"/>
    <n v="247"/>
    <n v="183"/>
    <n v="28914"/>
    <n v="18310"/>
    <n v="135"/>
    <x v="0"/>
    <s v="IndieWave"/>
  </r>
  <r>
    <s v="SP072"/>
    <s v="Instagram"/>
    <d v="2024-10-11T00:00:00"/>
    <s v="Text"/>
    <s v="From pop to podcasts, itâ€™s all here."/>
    <n v="1360"/>
    <n v="249"/>
    <n v="52"/>
    <n v="20368"/>
    <n v="42152"/>
    <n v="193"/>
    <x v="2"/>
    <s v="IndieWave"/>
  </r>
  <r>
    <s v="SP073"/>
    <s v="YouTube"/>
    <d v="2025-05-06T00:00:00"/>
    <s v="Reel"/>
    <s v="Discover fresh beats on Spotify!"/>
    <n v="1085"/>
    <n v="496"/>
    <n v="320"/>
    <n v="36528"/>
    <n v="38599"/>
    <n v="270"/>
    <x v="2"/>
    <s v="SummerBeats"/>
  </r>
  <r>
    <s v="SP073"/>
    <s v="YouTube"/>
    <d v="2025-05-06T00:00:00"/>
    <s v="Reel"/>
    <s v="Discover fresh beats on Spotify!"/>
    <n v="1085"/>
    <n v="496"/>
    <n v="320"/>
    <n v="36528"/>
    <n v="38599"/>
    <n v="270"/>
    <x v="0"/>
    <s v="SummerBeats"/>
  </r>
  <r>
    <s v="SP074"/>
    <s v="Twitter"/>
    <d v="2024-05-19T00:00:00"/>
    <s v="Story"/>
    <s v="Get into the groove with our new drop!"/>
    <n v="1763"/>
    <n v="206"/>
    <n v="187"/>
    <n v="53342"/>
    <n v="25095"/>
    <n v="88"/>
    <x v="2"/>
    <s v="ChillVibes"/>
  </r>
  <r>
    <s v="SP074"/>
    <s v="Twitter"/>
    <d v="2024-05-19T00:00:00"/>
    <s v="Story"/>
    <s v="Get into the groove with our new drop!"/>
    <n v="1763"/>
    <n v="206"/>
    <n v="187"/>
    <n v="53342"/>
    <n v="25095"/>
    <n v="88"/>
    <x v="3"/>
    <s v="ChillVibes"/>
  </r>
  <r>
    <s v="SP075"/>
    <s v="Twitter"/>
    <d v="2024-01-22T00:00:00"/>
    <s v="Story"/>
    <s v="From pop to podcasts, itâ€™s all here."/>
    <n v="1554"/>
    <n v="455"/>
    <n v="158"/>
    <n v="41947"/>
    <n v="48578"/>
    <n v="101"/>
    <x v="0"/>
    <s v="ChillVibes"/>
  </r>
  <r>
    <s v="SP075"/>
    <s v="Twitter"/>
    <d v="2024-01-22T00:00:00"/>
    <s v="Story"/>
    <s v="From pop to podcasts, itâ€™s all here."/>
    <n v="1554"/>
    <n v="455"/>
    <n v="158"/>
    <n v="41947"/>
    <n v="48578"/>
    <n v="101"/>
    <x v="1"/>
    <s v="ChillVibes"/>
  </r>
  <r>
    <s v="SP076"/>
    <s v="Instagram"/>
    <d v="2024-07-14T00:00:00"/>
    <s v="Text"/>
    <s v="Wrapped is here! Relive your top tracks ðŸŽ§"/>
    <n v="2464"/>
    <n v="401"/>
    <n v="78"/>
    <n v="38665"/>
    <n v="73593"/>
    <n v="207"/>
    <x v="2"/>
    <s v="IndieWave"/>
  </r>
  <r>
    <s v="SP077"/>
    <s v="Twitter"/>
    <d v="2025-05-28T00:00:00"/>
    <s v="Text"/>
    <s v="From pop to podcasts, itâ€™s all here."/>
    <n v="2418"/>
    <n v="161"/>
    <n v="360"/>
    <n v="30589"/>
    <n v="41383"/>
    <n v="88"/>
    <x v="1"/>
    <s v="ChillVibes"/>
  </r>
  <r>
    <s v="SP078"/>
    <s v="Twitter"/>
    <d v="2025-01-21T00:00:00"/>
    <s v="Story"/>
    <s v="Discover fresh beats on Spotify!"/>
    <n v="2494"/>
    <n v="494"/>
    <n v="55"/>
    <n v="22580"/>
    <n v="22214"/>
    <n v="109"/>
    <x v="3"/>
    <s v="ChillVibes"/>
  </r>
  <r>
    <s v="SP078"/>
    <s v="Twitter"/>
    <d v="2025-01-21T00:00:00"/>
    <s v="Story"/>
    <s v="Discover fresh beats on Spotify!"/>
    <n v="2494"/>
    <n v="494"/>
    <n v="55"/>
    <n v="22580"/>
    <n v="22214"/>
    <n v="109"/>
    <x v="1"/>
    <s v="ChillVibes"/>
  </r>
  <r>
    <s v="SP079"/>
    <s v="YouTube"/>
    <d v="2024-01-13T00:00:00"/>
    <s v="Reel"/>
    <s v="New music just dropped. Hit play!"/>
    <n v="4781"/>
    <n v="191"/>
    <n v="122"/>
    <n v="35535"/>
    <n v="50777"/>
    <n v="128"/>
    <x v="2"/>
    <s v="SummerBeats"/>
  </r>
  <r>
    <s v="SP079"/>
    <s v="YouTube"/>
    <d v="2024-01-13T00:00:00"/>
    <s v="Reel"/>
    <s v="New music just dropped. Hit play!"/>
    <n v="4781"/>
    <n v="191"/>
    <n v="122"/>
    <n v="35535"/>
    <n v="50777"/>
    <n v="128"/>
    <x v="0"/>
    <s v="SummerBeats"/>
  </r>
  <r>
    <s v="SP080"/>
    <s v="Instagram"/>
    <d v="2025-06-17T00:00:00"/>
    <s v="Text"/>
    <s v="Music that moves youâ€”only on Spotify."/>
    <n v="2284"/>
    <n v="187"/>
    <n v="260"/>
    <n v="37400"/>
    <n v="65014"/>
    <n v="157"/>
    <x v="0"/>
    <s v="ChillVibes"/>
  </r>
  <r>
    <s v="SP080"/>
    <s v="Instagram"/>
    <d v="2025-06-17T00:00:00"/>
    <s v="Text"/>
    <s v="Music that moves youâ€”only on Spotify."/>
    <n v="2284"/>
    <n v="187"/>
    <n v="260"/>
    <n v="37400"/>
    <n v="65014"/>
    <n v="157"/>
    <x v="1"/>
    <s v="ChillVibes"/>
  </r>
  <r>
    <s v="SP081"/>
    <s v="Twitter"/>
    <d v="2025-03-07T00:00:00"/>
    <s v="Text"/>
    <s v="Get into the groove with our new drop!"/>
    <n v="4234"/>
    <n v="486"/>
    <n v="276"/>
    <n v="56623"/>
    <n v="41343"/>
    <n v="184"/>
    <x v="0"/>
    <s v="IndieWave"/>
  </r>
  <r>
    <s v="SP082"/>
    <s v="Instagram"/>
    <d v="2024-08-26T00:00:00"/>
    <s v="Text"/>
    <s v="Your weekend playlist is waiting."/>
    <n v="2102"/>
    <n v="181"/>
    <n v="306"/>
    <n v="43650"/>
    <n v="50079"/>
    <n v="182"/>
    <x v="2"/>
    <s v="IndieWave"/>
  </r>
  <r>
    <s v="SP083"/>
    <s v="Twitter"/>
    <d v="2025-01-03T00:00:00"/>
    <s v="Story"/>
    <s v="Get into the groove with our new drop!"/>
    <n v="4845"/>
    <n v="158"/>
    <n v="84"/>
    <n v="34578"/>
    <n v="51480"/>
    <n v="180"/>
    <x v="0"/>
    <s v="ChillVibes"/>
  </r>
  <r>
    <s v="SP083"/>
    <s v="Twitter"/>
    <d v="2025-01-03T00:00:00"/>
    <s v="Story"/>
    <s v="Get into the groove with our new drop!"/>
    <n v="4845"/>
    <n v="158"/>
    <n v="84"/>
    <n v="34578"/>
    <n v="51480"/>
    <n v="180"/>
    <x v="1"/>
    <s v="ChillVibes"/>
  </r>
  <r>
    <s v="SP084"/>
    <s v="Twitter"/>
    <d v="2024-08-03T00:00:00"/>
    <s v="Text"/>
    <s v="Your weekend playlist is waiting."/>
    <n v="4247"/>
    <n v="390"/>
    <n v="213"/>
    <n v="29785"/>
    <n v="57768"/>
    <n v="122"/>
    <x v="1"/>
    <s v="ChillVibes"/>
  </r>
  <r>
    <s v="SP085"/>
    <s v="Instagram"/>
    <d v="2024-08-18T00:00:00"/>
    <s v="Text"/>
    <s v="Explore the latest podcasts now."/>
    <n v="2965"/>
    <n v="328"/>
    <n v="171"/>
    <n v="57685"/>
    <n v="67536"/>
    <n v="264"/>
    <x v="0"/>
    <s v="ChillVibes"/>
  </r>
  <r>
    <s v="SP085"/>
    <s v="Instagram"/>
    <d v="2024-08-18T00:00:00"/>
    <s v="Text"/>
    <s v="Explore the latest podcasts now."/>
    <n v="2965"/>
    <n v="328"/>
    <n v="171"/>
    <n v="57685"/>
    <n v="67536"/>
    <n v="264"/>
    <x v="1"/>
    <s v="ChillVibes"/>
  </r>
  <r>
    <s v="SP086"/>
    <s v="Twitter"/>
    <d v="2025-05-14T00:00:00"/>
    <s v="Story"/>
    <s v="Wrapped is here! Relive your top tracks ðŸŽ§"/>
    <n v="1371"/>
    <n v="139"/>
    <n v="96"/>
    <n v="36140"/>
    <n v="39395"/>
    <n v="169"/>
    <x v="0"/>
    <s v="ChillVibes"/>
  </r>
  <r>
    <s v="SP086"/>
    <s v="Twitter"/>
    <d v="2025-05-14T00:00:00"/>
    <s v="Story"/>
    <s v="Wrapped is here! Relive your top tracks ðŸŽ§"/>
    <n v="1371"/>
    <n v="139"/>
    <n v="96"/>
    <n v="36140"/>
    <n v="39395"/>
    <n v="169"/>
    <x v="1"/>
    <s v="ChillVibes"/>
  </r>
  <r>
    <s v="SP087"/>
    <s v="Twitter"/>
    <d v="2024-04-23T00:00:00"/>
    <s v="Story"/>
    <s v="Discover fresh beats on Spotify!"/>
    <n v="2683"/>
    <n v="496"/>
    <n v="89"/>
    <n v="53435"/>
    <n v="30334"/>
    <n v="160"/>
    <x v="0"/>
    <s v="ChillVibes"/>
  </r>
  <r>
    <s v="SP087"/>
    <s v="Twitter"/>
    <d v="2024-04-23T00:00:00"/>
    <s v="Story"/>
    <s v="Discover fresh beats on Spotify!"/>
    <n v="2683"/>
    <n v="496"/>
    <n v="89"/>
    <n v="53435"/>
    <n v="30334"/>
    <n v="160"/>
    <x v="1"/>
    <s v="ChillVibes"/>
  </r>
  <r>
    <s v="SP088"/>
    <s v="Twitter"/>
    <d v="2025-02-17T00:00:00"/>
    <s v="Story"/>
    <s v="Whatâ€™s your vibe today? #SpotifyHits"/>
    <n v="4796"/>
    <n v="427"/>
    <n v="339"/>
    <n v="30752"/>
    <n v="33870"/>
    <n v="298"/>
    <x v="0"/>
    <s v="ChillVibes"/>
  </r>
  <r>
    <s v="SP088"/>
    <s v="Twitter"/>
    <d v="2025-02-17T00:00:00"/>
    <s v="Story"/>
    <s v="Whatâ€™s your vibe today? #SpotifyHits"/>
    <n v="4796"/>
    <n v="427"/>
    <n v="339"/>
    <n v="30752"/>
    <n v="33870"/>
    <n v="298"/>
    <x v="1"/>
    <s v="ChillVibes"/>
  </r>
  <r>
    <s v="SP089"/>
    <s v="Instagram"/>
    <d v="2024-12-04T00:00:00"/>
    <s v="Text"/>
    <s v="Wrapped is here! Relive your top tracks ðŸŽ§"/>
    <n v="2601"/>
    <n v="336"/>
    <n v="260"/>
    <n v="32368"/>
    <n v="49028"/>
    <n v="120"/>
    <x v="0"/>
    <s v="ChillVibes"/>
  </r>
  <r>
    <s v="SP089"/>
    <s v="Instagram"/>
    <d v="2024-12-04T00:00:00"/>
    <s v="Text"/>
    <s v="Wrapped is here! Relive your top tracks ðŸŽ§"/>
    <n v="2601"/>
    <n v="336"/>
    <n v="260"/>
    <n v="32368"/>
    <n v="49028"/>
    <n v="120"/>
    <x v="1"/>
    <s v="ChillVibes"/>
  </r>
  <r>
    <s v="SP090"/>
    <s v="Twitter"/>
    <d v="2024-07-22T00:00:00"/>
    <s v="Story"/>
    <s v="Wrapped is here! Relive your top tracks ðŸŽ§"/>
    <n v="3336"/>
    <n v="229"/>
    <n v="337"/>
    <n v="22117"/>
    <n v="26205"/>
    <n v="160"/>
    <x v="3"/>
    <s v="ChillVibes"/>
  </r>
  <r>
    <s v="SP090"/>
    <s v="Twitter"/>
    <d v="2024-07-22T00:00:00"/>
    <s v="Story"/>
    <s v="Wrapped is here! Relive your top tracks ðŸŽ§"/>
    <n v="3336"/>
    <n v="229"/>
    <n v="337"/>
    <n v="22117"/>
    <n v="26205"/>
    <n v="160"/>
    <x v="1"/>
    <s v="ChillVibes"/>
  </r>
  <r>
    <s v="SP091"/>
    <s v="Twitter"/>
    <d v="2025-04-27T00:00:00"/>
    <s v="Text"/>
    <s v="Explore the latest podcasts now."/>
    <n v="1165"/>
    <n v="294"/>
    <n v="163"/>
    <n v="20659"/>
    <n v="45926"/>
    <n v="111"/>
    <x v="0"/>
    <s v="IndieWave"/>
  </r>
  <r>
    <s v="SP092"/>
    <s v="YouTube"/>
    <d v="2024-03-25T00:00:00"/>
    <s v="Reel"/>
    <s v="Explore the latest podcasts now."/>
    <n v="1948"/>
    <n v="155"/>
    <n v="315"/>
    <n v="30321"/>
    <n v="57121"/>
    <n v="82"/>
    <x v="2"/>
    <s v="SummerBeats"/>
  </r>
  <r>
    <s v="SP092"/>
    <s v="YouTube"/>
    <d v="2024-03-25T00:00:00"/>
    <s v="Reel"/>
    <s v="Explore the latest podcasts now."/>
    <n v="1948"/>
    <n v="155"/>
    <n v="315"/>
    <n v="30321"/>
    <n v="57121"/>
    <n v="82"/>
    <x v="0"/>
    <s v="SummerBeats"/>
  </r>
  <r>
    <s v="SP093"/>
    <s v="Instagram"/>
    <d v="2024-02-29T00:00:00"/>
    <s v="Text"/>
    <s v="From pop to podcasts, itâ€™s all here."/>
    <n v="1100"/>
    <n v="229"/>
    <n v="312"/>
    <n v="25641"/>
    <n v="34601"/>
    <n v="169"/>
    <x v="2"/>
    <s v="IndieWave"/>
  </r>
  <r>
    <s v="SP094"/>
    <s v="Twitter"/>
    <d v="2024-11-13T00:00:00"/>
    <s v="Story"/>
    <s v="Top trending tracks updated daily!"/>
    <n v="4628"/>
    <n v="257"/>
    <n v="397"/>
    <n v="36686"/>
    <n v="54683"/>
    <n v="98"/>
    <x v="0"/>
    <s v="ChillVibes"/>
  </r>
  <r>
    <s v="SP094"/>
    <s v="Twitter"/>
    <d v="2024-11-13T00:00:00"/>
    <s v="Story"/>
    <s v="Top trending tracks updated daily!"/>
    <n v="4628"/>
    <n v="257"/>
    <n v="397"/>
    <n v="36686"/>
    <n v="54683"/>
    <n v="98"/>
    <x v="1"/>
    <s v="ChillVibes"/>
  </r>
  <r>
    <s v="SP095"/>
    <s v="Instagram"/>
    <d v="2024-03-22T00:00:00"/>
    <s v="Story"/>
    <s v="Discover fresh beats on Spotify!"/>
    <n v="2319"/>
    <n v="484"/>
    <n v="193"/>
    <n v="21202"/>
    <n v="18091"/>
    <n v="241"/>
    <x v="1"/>
    <s v="Wrapped2024"/>
  </r>
  <r>
    <s v="SP096"/>
    <s v="Twitter"/>
    <d v="2024-03-16T00:00:00"/>
    <s v="Story"/>
    <s v="Wrapped is here! Relive your top tracks ðŸŽ§"/>
    <n v="2895"/>
    <n v="292"/>
    <n v="90"/>
    <n v="24223"/>
    <n v="54626"/>
    <n v="114"/>
    <x v="0"/>
    <s v="ChillVibes"/>
  </r>
  <r>
    <s v="SP096"/>
    <s v="Twitter"/>
    <d v="2024-03-16T00:00:00"/>
    <s v="Story"/>
    <s v="Wrapped is here! Relive your top tracks ðŸŽ§"/>
    <n v="2895"/>
    <n v="292"/>
    <n v="90"/>
    <n v="24223"/>
    <n v="54626"/>
    <n v="114"/>
    <x v="1"/>
    <s v="ChillVibes"/>
  </r>
  <r>
    <s v="SP097"/>
    <s v="Instagram"/>
    <d v="2024-01-26T00:00:00"/>
    <s v="Text"/>
    <s v="Whatâ€™s your vibe today? #SpotifyHits"/>
    <n v="3878"/>
    <n v="431"/>
    <n v="97"/>
    <n v="41763"/>
    <n v="29729"/>
    <n v="191"/>
    <x v="2"/>
    <s v="IndieWave"/>
  </r>
  <r>
    <s v="SP098"/>
    <s v="Twitter"/>
    <d v="2024-03-15T00:00:00"/>
    <s v="Story"/>
    <s v="Get into the groove with our new drop!"/>
    <n v="4969"/>
    <n v="433"/>
    <n v="237"/>
    <n v="59552"/>
    <n v="23885"/>
    <n v="157"/>
    <x v="2"/>
    <s v="ChillVibes"/>
  </r>
  <r>
    <s v="SP098"/>
    <s v="Twitter"/>
    <d v="2024-03-15T00:00:00"/>
    <s v="Story"/>
    <s v="Get into the groove with our new drop!"/>
    <n v="4969"/>
    <n v="433"/>
    <n v="237"/>
    <n v="59552"/>
    <n v="23885"/>
    <n v="157"/>
    <x v="3"/>
    <s v="ChillVibes"/>
  </r>
  <r>
    <s v="SP099"/>
    <s v="Twitter"/>
    <d v="2024-10-15T00:00:00"/>
    <s v="Text"/>
    <s v="Wrapped is here! Relive your top tracks ðŸŽ§"/>
    <n v="1984"/>
    <n v="481"/>
    <n v="356"/>
    <n v="40681"/>
    <n v="63111"/>
    <n v="258"/>
    <x v="1"/>
    <s v="ChillVibes"/>
  </r>
  <r>
    <s v="SP100"/>
    <s v="Instagram"/>
    <d v="2024-07-21T00:00:00"/>
    <s v="Text"/>
    <s v="Discover fresh beats on Spotify!"/>
    <n v="3004"/>
    <n v="415"/>
    <n v="218"/>
    <n v="36090"/>
    <n v="37073"/>
    <n v="181"/>
    <x v="2"/>
    <s v="IndieWave"/>
  </r>
  <r>
    <s v="SP101"/>
    <s v="Twitter"/>
    <d v="2024-10-12T00:00:00"/>
    <s v="Text"/>
    <s v="Get into the groove with our new drop!"/>
    <n v="3169"/>
    <n v="386"/>
    <n v="175"/>
    <n v="45012"/>
    <n v="38508"/>
    <n v="218"/>
    <x v="1"/>
    <s v="ChillVibes"/>
  </r>
  <r>
    <s v="SP102"/>
    <s v="Twitter"/>
    <d v="2024-10-26T00:00:00"/>
    <s v="Text"/>
    <s v="Discover fresh beats on Spotify!"/>
    <n v="3036"/>
    <n v="293"/>
    <n v="115"/>
    <n v="23776"/>
    <n v="46386"/>
    <n v="282"/>
    <x v="1"/>
    <s v="ChillVibes"/>
  </r>
  <r>
    <s v="SP103"/>
    <s v="Instagram"/>
    <d v="2024-02-14T00:00:00"/>
    <s v="Text"/>
    <s v="Music that moves youâ€”only on Spotify."/>
    <n v="1830"/>
    <n v="112"/>
    <n v="181"/>
    <n v="31870"/>
    <n v="55742"/>
    <n v="263"/>
    <x v="0"/>
    <s v="ChillVibes"/>
  </r>
  <r>
    <s v="SP103"/>
    <s v="Instagram"/>
    <d v="2024-02-14T00:00:00"/>
    <s v="Text"/>
    <s v="Music that moves youâ€”only on Spotify."/>
    <n v="1830"/>
    <n v="112"/>
    <n v="181"/>
    <n v="31870"/>
    <n v="55742"/>
    <n v="263"/>
    <x v="1"/>
    <s v="ChillVibes"/>
  </r>
  <r>
    <s v="SP104"/>
    <s v="Twitter"/>
    <d v="2024-05-01T00:00:00"/>
    <s v="Story"/>
    <s v="Whatâ€™s your vibe today? #SpotifyHits"/>
    <n v="2587"/>
    <n v="447"/>
    <n v="183"/>
    <n v="36266"/>
    <n v="32877"/>
    <n v="132"/>
    <x v="2"/>
    <s v="ChillVibes"/>
  </r>
  <r>
    <s v="SP104"/>
    <s v="Twitter"/>
    <d v="2024-05-01T00:00:00"/>
    <s v="Story"/>
    <s v="Whatâ€™s your vibe today? #SpotifyHits"/>
    <n v="2587"/>
    <n v="447"/>
    <n v="183"/>
    <n v="36266"/>
    <n v="32877"/>
    <n v="132"/>
    <x v="3"/>
    <s v="ChillVibes"/>
  </r>
  <r>
    <s v="SP105"/>
    <s v="Twitter"/>
    <d v="2024-09-18T00:00:00"/>
    <s v="Text"/>
    <s v="Discover fresh beats on Spotify!"/>
    <n v="2878"/>
    <n v="265"/>
    <n v="91"/>
    <n v="52090"/>
    <n v="28924"/>
    <n v="133"/>
    <x v="1"/>
    <s v="ChillVibes"/>
  </r>
  <r>
    <s v="SP106"/>
    <s v="Twitter"/>
    <d v="2025-01-20T00:00:00"/>
    <s v="Story"/>
    <s v="New music just dropped. Hit play!"/>
    <n v="4619"/>
    <n v="272"/>
    <n v="57"/>
    <n v="21334"/>
    <n v="46292"/>
    <n v="91"/>
    <x v="0"/>
    <s v="ChillVibes"/>
  </r>
  <r>
    <s v="SP106"/>
    <s v="Twitter"/>
    <d v="2025-01-20T00:00:00"/>
    <s v="Story"/>
    <s v="New music just dropped. Hit play!"/>
    <n v="4619"/>
    <n v="272"/>
    <n v="57"/>
    <n v="21334"/>
    <n v="46292"/>
    <n v="91"/>
    <x v="1"/>
    <s v="ChillVibes"/>
  </r>
  <r>
    <s v="SP107"/>
    <s v="Twitter"/>
    <d v="2025-01-13T00:00:00"/>
    <s v="Text"/>
    <s v="Music that moves youâ€”only on Spotify."/>
    <n v="4090"/>
    <n v="209"/>
    <n v="278"/>
    <n v="52853"/>
    <n v="57084"/>
    <n v="102"/>
    <x v="0"/>
    <s v="IndieWave"/>
  </r>
  <r>
    <s v="SP108"/>
    <s v="YouTube"/>
    <d v="2024-09-07T00:00:00"/>
    <s v="Reel"/>
    <s v="Music that moves youâ€”only on Spotify."/>
    <n v="3882"/>
    <n v="342"/>
    <n v="374"/>
    <n v="41991"/>
    <n v="48554"/>
    <n v="118"/>
    <x v="2"/>
    <s v="SummerBeats"/>
  </r>
  <r>
    <s v="SP108"/>
    <s v="YouTube"/>
    <d v="2024-09-07T00:00:00"/>
    <s v="Reel"/>
    <s v="Music that moves youâ€”only on Spotify."/>
    <n v="3882"/>
    <n v="342"/>
    <n v="374"/>
    <n v="41991"/>
    <n v="48554"/>
    <n v="118"/>
    <x v="0"/>
    <s v="SummerBeats"/>
  </r>
  <r>
    <s v="SP109"/>
    <s v="Instagram"/>
    <d v="2024-11-21T00:00:00"/>
    <s v="Text"/>
    <s v="Music that moves youâ€”only on Spotify."/>
    <n v="4581"/>
    <n v="181"/>
    <n v="112"/>
    <n v="35221"/>
    <n v="28797"/>
    <n v="164"/>
    <x v="0"/>
    <s v="ChillVibes"/>
  </r>
  <r>
    <s v="SP109"/>
    <s v="Instagram"/>
    <d v="2024-11-21T00:00:00"/>
    <s v="Text"/>
    <s v="Music that moves youâ€”only on Spotify."/>
    <n v="4581"/>
    <n v="181"/>
    <n v="112"/>
    <n v="35221"/>
    <n v="28797"/>
    <n v="164"/>
    <x v="1"/>
    <s v="ChillVibes"/>
  </r>
  <r>
    <s v="SP110"/>
    <s v="Instagram"/>
    <d v="2024-06-26T00:00:00"/>
    <s v="Text"/>
    <s v="New music just dropped. Hit play!"/>
    <n v="3253"/>
    <n v="483"/>
    <n v="336"/>
    <n v="25397"/>
    <n v="51485"/>
    <n v="131"/>
    <x v="2"/>
    <s v="IndieWave"/>
  </r>
  <r>
    <s v="SP111"/>
    <s v="YouTube"/>
    <d v="2024-07-20T00:00:00"/>
    <s v="Reel"/>
    <s v="Music that moves youâ€”only on Spotify."/>
    <n v="4955"/>
    <n v="299"/>
    <n v="345"/>
    <n v="33644"/>
    <n v="43547"/>
    <n v="194"/>
    <x v="2"/>
    <s v="SummerBeats"/>
  </r>
  <r>
    <s v="SP111"/>
    <s v="YouTube"/>
    <d v="2024-07-20T00:00:00"/>
    <s v="Reel"/>
    <s v="Music that moves youâ€”only on Spotify."/>
    <n v="4955"/>
    <n v="299"/>
    <n v="345"/>
    <n v="33644"/>
    <n v="43547"/>
    <n v="194"/>
    <x v="0"/>
    <s v="SummerBeats"/>
  </r>
  <r>
    <s v="SP112"/>
    <s v="Instagram"/>
    <d v="2025-02-16T00:00:00"/>
    <s v="Text"/>
    <s v="Your weekend playlist is waiting."/>
    <n v="1333"/>
    <n v="286"/>
    <n v="298"/>
    <n v="36174"/>
    <n v="34517"/>
    <n v="170"/>
    <x v="0"/>
    <s v="ChillVibes"/>
  </r>
  <r>
    <s v="SP112"/>
    <s v="Instagram"/>
    <d v="2025-02-16T00:00:00"/>
    <s v="Text"/>
    <s v="Your weekend playlist is waiting."/>
    <n v="1333"/>
    <n v="286"/>
    <n v="298"/>
    <n v="36174"/>
    <n v="34517"/>
    <n v="170"/>
    <x v="1"/>
    <s v="ChillVibes"/>
  </r>
  <r>
    <s v="SP113"/>
    <s v="Instagram"/>
    <d v="2024-09-09T00:00:00"/>
    <s v="Text"/>
    <s v="New music just dropped. Hit play!"/>
    <n v="1616"/>
    <n v="360"/>
    <n v="180"/>
    <n v="54342"/>
    <n v="18796"/>
    <n v="282"/>
    <x v="0"/>
    <s v="ChillVibes"/>
  </r>
  <r>
    <s v="SP113"/>
    <s v="Instagram"/>
    <d v="2024-09-09T00:00:00"/>
    <s v="Text"/>
    <s v="New music just dropped. Hit play!"/>
    <n v="1616"/>
    <n v="360"/>
    <n v="180"/>
    <n v="54342"/>
    <n v="18796"/>
    <n v="282"/>
    <x v="1"/>
    <s v="ChillVibes"/>
  </r>
  <r>
    <s v="SP114"/>
    <s v="Twitter"/>
    <d v="2024-07-16T00:00:00"/>
    <s v="Text"/>
    <s v="Top trending tracks updated daily!"/>
    <n v="1803"/>
    <n v="273"/>
    <n v="287"/>
    <n v="46176"/>
    <n v="25488"/>
    <n v="141"/>
    <x v="1"/>
    <s v="ChillVibes"/>
  </r>
  <r>
    <s v="SP115"/>
    <s v="Instagram"/>
    <d v="2025-04-15T00:00:00"/>
    <s v="Text"/>
    <s v="Explore the latest podcasts now."/>
    <n v="4177"/>
    <n v="489"/>
    <n v="331"/>
    <n v="57451"/>
    <n v="73793"/>
    <n v="251"/>
    <x v="2"/>
    <s v="IndieWave"/>
  </r>
  <r>
    <s v="SP116"/>
    <s v="Instagram"/>
    <d v="2025-05-04T00:00:00"/>
    <s v="Story"/>
    <s v="New music just dropped. Hit play!"/>
    <n v="1311"/>
    <n v="181"/>
    <n v="361"/>
    <n v="37148"/>
    <n v="44875"/>
    <n v="245"/>
    <x v="1"/>
    <s v="Wrapped2024"/>
  </r>
  <r>
    <s v="SP117"/>
    <s v="Instagram"/>
    <d v="2024-02-18T00:00:00"/>
    <s v="Story"/>
    <s v="From pop to podcasts, itâ€™s all here."/>
    <n v="1516"/>
    <n v="215"/>
    <n v="332"/>
    <n v="58981"/>
    <n v="36118"/>
    <n v="211"/>
    <x v="1"/>
    <s v="Wrapped2024"/>
  </r>
  <r>
    <s v="SP118"/>
    <s v="Twitter"/>
    <d v="2024-05-16T00:00:00"/>
    <s v="Story"/>
    <s v="Music that moves youâ€”only on Spotify."/>
    <n v="2023"/>
    <n v="124"/>
    <n v="99"/>
    <n v="54524"/>
    <n v="34790"/>
    <n v="195"/>
    <x v="2"/>
    <s v="ChillVibes"/>
  </r>
  <r>
    <s v="SP118"/>
    <s v="Twitter"/>
    <d v="2024-05-16T00:00:00"/>
    <s v="Story"/>
    <s v="Music that moves youâ€”only on Spotify."/>
    <n v="2023"/>
    <n v="124"/>
    <n v="99"/>
    <n v="54524"/>
    <n v="34790"/>
    <n v="195"/>
    <x v="3"/>
    <s v="ChillVibes"/>
  </r>
  <r>
    <s v="SP119"/>
    <s v="Twitter"/>
    <d v="2025-05-29T00:00:00"/>
    <s v="Story"/>
    <s v="Music that moves youâ€”only on Spotify."/>
    <n v="2134"/>
    <n v="322"/>
    <n v="114"/>
    <n v="44338"/>
    <n v="52165"/>
    <n v="176"/>
    <x v="3"/>
    <s v="ChillVibes"/>
  </r>
  <r>
    <s v="SP119"/>
    <s v="Twitter"/>
    <d v="2025-05-29T00:00:00"/>
    <s v="Story"/>
    <s v="Music that moves youâ€”only on Spotify."/>
    <n v="2134"/>
    <n v="322"/>
    <n v="114"/>
    <n v="44338"/>
    <n v="52165"/>
    <n v="176"/>
    <x v="1"/>
    <s v="ChillVibes"/>
  </r>
  <r>
    <s v="SP120"/>
    <s v="Instagram"/>
    <d v="2025-01-17T00:00:00"/>
    <s v="Text"/>
    <s v="Top trending tracks updated daily!"/>
    <n v="2266"/>
    <n v="126"/>
    <n v="140"/>
    <n v="53759"/>
    <n v="46834"/>
    <n v="277"/>
    <x v="2"/>
    <s v="IndieWave"/>
  </r>
  <r>
    <s v="SP121"/>
    <s v="Instagram"/>
    <d v="2025-04-30T00:00:00"/>
    <s v="Story"/>
    <s v="New music just dropped. Hit play!"/>
    <n v="3916"/>
    <n v="459"/>
    <n v="229"/>
    <n v="48989"/>
    <n v="39768"/>
    <n v="200"/>
    <x v="1"/>
    <s v="Wrapped2024"/>
  </r>
  <r>
    <s v="SP122"/>
    <s v="Twitter"/>
    <d v="2024-02-24T00:00:00"/>
    <s v="Story"/>
    <s v="Music that moves youâ€”only on Spotify."/>
    <n v="1022"/>
    <n v="463"/>
    <n v="360"/>
    <n v="51468"/>
    <n v="24279"/>
    <n v="230"/>
    <x v="2"/>
    <s v="ChillVibes"/>
  </r>
  <r>
    <s v="SP122"/>
    <s v="Twitter"/>
    <d v="2024-02-24T00:00:00"/>
    <s v="Story"/>
    <s v="Music that moves youâ€”only on Spotify."/>
    <n v="1022"/>
    <n v="463"/>
    <n v="360"/>
    <n v="51468"/>
    <n v="24279"/>
    <n v="230"/>
    <x v="3"/>
    <s v="ChillVibes"/>
  </r>
  <r>
    <s v="SP123"/>
    <s v="YouTube"/>
    <d v="2024-05-12T00:00:00"/>
    <s v="Text"/>
    <s v="From pop to podcasts, itâ€™s all here."/>
    <n v="2911"/>
    <n v="467"/>
    <n v="94"/>
    <n v="59083"/>
    <n v="49762"/>
    <n v="236"/>
    <x v="2"/>
    <s v="IndieWave"/>
  </r>
  <r>
    <s v="SP123"/>
    <s v="YouTube"/>
    <d v="2024-05-12T00:00:00"/>
    <s v="Text"/>
    <s v="From pop to podcasts, itâ€™s all here."/>
    <n v="2911"/>
    <n v="467"/>
    <n v="94"/>
    <n v="59083"/>
    <n v="49762"/>
    <n v="236"/>
    <x v="4"/>
    <s v="IndieWave"/>
  </r>
  <r>
    <s v="SP124"/>
    <s v="Twitter"/>
    <d v="2024-05-09T00:00:00"/>
    <s v="Story"/>
    <s v="New music just dropped. Hit play!"/>
    <n v="3277"/>
    <n v="423"/>
    <n v="259"/>
    <n v="46328"/>
    <n v="44293"/>
    <n v="299"/>
    <x v="0"/>
    <s v="ChillVibes"/>
  </r>
  <r>
    <s v="SP124"/>
    <s v="Twitter"/>
    <d v="2024-05-09T00:00:00"/>
    <s v="Story"/>
    <s v="New music just dropped. Hit play!"/>
    <n v="3277"/>
    <n v="423"/>
    <n v="259"/>
    <n v="46328"/>
    <n v="44293"/>
    <n v="299"/>
    <x v="1"/>
    <s v="ChillVibes"/>
  </r>
  <r>
    <s v="SP125"/>
    <s v="Twitter"/>
    <d v="2024-11-06T00:00:00"/>
    <s v="Text"/>
    <s v="From pop to podcasts, itâ€™s all here."/>
    <n v="2956"/>
    <n v="381"/>
    <n v="345"/>
    <n v="33347"/>
    <n v="22558"/>
    <n v="173"/>
    <x v="1"/>
    <s v="ChillVibes"/>
  </r>
  <r>
    <s v="SP126"/>
    <s v="Twitter"/>
    <d v="2024-01-04T00:00:00"/>
    <s v="Story"/>
    <s v="Whatâ€™s your vibe today? #SpotifyHits"/>
    <n v="3208"/>
    <n v="476"/>
    <n v="277"/>
    <n v="56072"/>
    <n v="21061"/>
    <n v="113"/>
    <x v="3"/>
    <s v="ChillVibes"/>
  </r>
  <r>
    <s v="SP126"/>
    <s v="Twitter"/>
    <d v="2024-01-04T00:00:00"/>
    <s v="Story"/>
    <s v="Whatâ€™s your vibe today? #SpotifyHits"/>
    <n v="3208"/>
    <n v="476"/>
    <n v="277"/>
    <n v="56072"/>
    <n v="21061"/>
    <n v="113"/>
    <x v="1"/>
    <s v="ChillVibes"/>
  </r>
  <r>
    <s v="SP127"/>
    <s v="Twitter"/>
    <d v="2024-01-28T00:00:00"/>
    <s v="Text"/>
    <s v="Music that moves youâ€”only on Spotify."/>
    <n v="1456"/>
    <n v="265"/>
    <n v="137"/>
    <n v="53485"/>
    <n v="59729"/>
    <n v="145"/>
    <x v="0"/>
    <s v="IndieWave"/>
  </r>
  <r>
    <s v="SP128"/>
    <s v="Instagram"/>
    <d v="2024-02-22T00:00:00"/>
    <s v="Text"/>
    <s v="New music just dropped. Hit play!"/>
    <n v="1902"/>
    <n v="394"/>
    <n v="279"/>
    <n v="24615"/>
    <n v="51330"/>
    <n v="176"/>
    <x v="0"/>
    <s v="ChillVibes"/>
  </r>
  <r>
    <s v="SP128"/>
    <s v="Instagram"/>
    <d v="2024-02-22T00:00:00"/>
    <s v="Text"/>
    <s v="New music just dropped. Hit play!"/>
    <n v="1902"/>
    <n v="394"/>
    <n v="279"/>
    <n v="24615"/>
    <n v="51330"/>
    <n v="176"/>
    <x v="1"/>
    <s v="ChillVibes"/>
  </r>
  <r>
    <s v="SP129"/>
    <s v="Twitter"/>
    <d v="2025-07-01T00:00:00"/>
    <s v="Story"/>
    <s v="Explore the latest podcasts now."/>
    <n v="3219"/>
    <n v="424"/>
    <n v="267"/>
    <n v="48879"/>
    <n v="37691"/>
    <n v="224"/>
    <x v="2"/>
    <s v="ChillVibes"/>
  </r>
  <r>
    <s v="SP129"/>
    <s v="Twitter"/>
    <d v="2025-07-01T00:00:00"/>
    <s v="Story"/>
    <s v="Explore the latest podcasts now."/>
    <n v="3219"/>
    <n v="424"/>
    <n v="267"/>
    <n v="48879"/>
    <n v="37691"/>
    <n v="224"/>
    <x v="3"/>
    <s v="ChillVibes"/>
  </r>
  <r>
    <s v="SP130"/>
    <s v="YouTube"/>
    <d v="2024-01-10T00:00:00"/>
    <s v="Text"/>
    <s v="Explore the latest podcasts now."/>
    <n v="1261"/>
    <n v="190"/>
    <n v="233"/>
    <n v="59888"/>
    <n v="51449"/>
    <n v="205"/>
    <x v="2"/>
    <s v="IndieWave"/>
  </r>
  <r>
    <s v="SP130"/>
    <s v="YouTube"/>
    <d v="2024-01-10T00:00:00"/>
    <s v="Text"/>
    <s v="Explore the latest podcasts now."/>
    <n v="1261"/>
    <n v="190"/>
    <n v="233"/>
    <n v="59888"/>
    <n v="51449"/>
    <n v="205"/>
    <x v="4"/>
    <s v="IndieWave"/>
  </r>
  <r>
    <s v="SP131"/>
    <s v="Twitter"/>
    <d v="2025-03-20T00:00:00"/>
    <s v="Text"/>
    <s v="Your weekend playlist is waiting."/>
    <n v="1564"/>
    <n v="362"/>
    <n v="371"/>
    <n v="42075"/>
    <n v="66659"/>
    <n v="205"/>
    <x v="0"/>
    <s v="IndieWave"/>
  </r>
  <r>
    <s v="SP132"/>
    <s v="Twitter"/>
    <d v="2024-09-28T00:00:00"/>
    <s v="Text"/>
    <s v="Whatâ€™s your vibe today? #SpotifyHits"/>
    <n v="4006"/>
    <n v="420"/>
    <n v="194"/>
    <n v="49964"/>
    <n v="20685"/>
    <n v="148"/>
    <x v="1"/>
    <s v="ChillVibes"/>
  </r>
  <r>
    <s v="SP133"/>
    <s v="YouTube"/>
    <d v="2024-01-27T00:00:00"/>
    <s v="Text"/>
    <s v="Your weekend playlist is waiting."/>
    <n v="1976"/>
    <n v="262"/>
    <n v="218"/>
    <n v="51696"/>
    <n v="44846"/>
    <n v="139"/>
    <x v="2"/>
    <s v="IndieWave"/>
  </r>
  <r>
    <s v="SP133"/>
    <s v="YouTube"/>
    <d v="2024-01-27T00:00:00"/>
    <s v="Text"/>
    <s v="Your weekend playlist is waiting."/>
    <n v="1976"/>
    <n v="262"/>
    <n v="218"/>
    <n v="51696"/>
    <n v="44846"/>
    <n v="139"/>
    <x v="4"/>
    <s v="IndieWave"/>
  </r>
  <r>
    <s v="SP134"/>
    <s v="Twitter"/>
    <d v="2025-05-15T00:00:00"/>
    <s v="Text"/>
    <s v="New music just dropped. Hit play!"/>
    <n v="1583"/>
    <n v="433"/>
    <n v="249"/>
    <n v="30256"/>
    <n v="47066"/>
    <n v="196"/>
    <x v="1"/>
    <s v="ChillVibes"/>
  </r>
  <r>
    <s v="SP135"/>
    <s v="Twitter"/>
    <d v="2024-10-04T00:00:00"/>
    <s v="Story"/>
    <s v="Explore the latest podcasts now."/>
    <n v="2870"/>
    <n v="380"/>
    <n v="393"/>
    <n v="37621"/>
    <n v="71794"/>
    <n v="127"/>
    <x v="3"/>
    <s v="ChillVibes"/>
  </r>
  <r>
    <s v="SP135"/>
    <s v="Twitter"/>
    <d v="2024-10-04T00:00:00"/>
    <s v="Story"/>
    <s v="Explore the latest podcasts now."/>
    <n v="2870"/>
    <n v="380"/>
    <n v="393"/>
    <n v="37621"/>
    <n v="71794"/>
    <n v="127"/>
    <x v="1"/>
    <s v="ChillVibes"/>
  </r>
  <r>
    <s v="SP136"/>
    <s v="Twitter"/>
    <d v="2024-11-19T00:00:00"/>
    <s v="Text"/>
    <s v="Top trending tracks updated daily!"/>
    <n v="3728"/>
    <n v="271"/>
    <n v="275"/>
    <n v="22827"/>
    <n v="37034"/>
    <n v="199"/>
    <x v="1"/>
    <s v="ChillVibes"/>
  </r>
  <r>
    <s v="SP137"/>
    <s v="Twitter"/>
    <d v="2024-04-05T00:00:00"/>
    <s v="Story"/>
    <s v="New music just dropped. Hit play!"/>
    <n v="4965"/>
    <n v="175"/>
    <n v="307"/>
    <n v="32793"/>
    <n v="43412"/>
    <n v="296"/>
    <x v="0"/>
    <s v="ChillVibes"/>
  </r>
  <r>
    <s v="SP137"/>
    <s v="Twitter"/>
    <d v="2024-04-05T00:00:00"/>
    <s v="Story"/>
    <s v="New music just dropped. Hit play!"/>
    <n v="4965"/>
    <n v="175"/>
    <n v="307"/>
    <n v="32793"/>
    <n v="43412"/>
    <n v="296"/>
    <x v="1"/>
    <s v="ChillVibes"/>
  </r>
  <r>
    <s v="SP138"/>
    <s v="Twitter"/>
    <d v="2024-11-28T00:00:00"/>
    <s v="Story"/>
    <s v="New music just dropped. Hit play!"/>
    <n v="1131"/>
    <n v="100"/>
    <n v="116"/>
    <n v="48437"/>
    <n v="72704"/>
    <n v="236"/>
    <x v="2"/>
    <s v="ChillVibes"/>
  </r>
  <r>
    <s v="SP138"/>
    <s v="Twitter"/>
    <d v="2024-11-28T00:00:00"/>
    <s v="Story"/>
    <s v="New music just dropped. Hit play!"/>
    <n v="1131"/>
    <n v="100"/>
    <n v="116"/>
    <n v="48437"/>
    <n v="72704"/>
    <n v="236"/>
    <x v="3"/>
    <s v="ChillVibes"/>
  </r>
  <r>
    <s v="SP139"/>
    <s v="Twitter"/>
    <d v="2025-03-09T00:00:00"/>
    <s v="Text"/>
    <s v="Your weekend playlist is waiting."/>
    <n v="2754"/>
    <n v="215"/>
    <n v="264"/>
    <n v="27762"/>
    <n v="70203"/>
    <n v="289"/>
    <x v="1"/>
    <s v="ChillVibes"/>
  </r>
  <r>
    <s v="SP140"/>
    <s v="Twitter"/>
    <d v="2024-08-27T00:00:00"/>
    <s v="Story"/>
    <s v="New music just dropped. Hit play!"/>
    <n v="1856"/>
    <n v="357"/>
    <n v="348"/>
    <n v="29428"/>
    <n v="70206"/>
    <n v="236"/>
    <x v="3"/>
    <s v="ChillVibes"/>
  </r>
  <r>
    <s v="SP140"/>
    <s v="Twitter"/>
    <d v="2024-08-27T00:00:00"/>
    <s v="Story"/>
    <s v="New music just dropped. Hit play!"/>
    <n v="1856"/>
    <n v="357"/>
    <n v="348"/>
    <n v="29428"/>
    <n v="70206"/>
    <n v="236"/>
    <x v="1"/>
    <s v="ChillVibes"/>
  </r>
  <r>
    <s v="SP141"/>
    <s v="YouTube"/>
    <d v="2024-10-01T00:00:00"/>
    <s v="Reel"/>
    <s v="Explore the latest podcasts now."/>
    <n v="3543"/>
    <n v="334"/>
    <n v="218"/>
    <n v="58007"/>
    <n v="24792"/>
    <n v="273"/>
    <x v="2"/>
    <s v="SummerBeats"/>
  </r>
  <r>
    <s v="SP141"/>
    <s v="YouTube"/>
    <d v="2024-10-01T00:00:00"/>
    <s v="Reel"/>
    <s v="Explore the latest podcasts now."/>
    <n v="3543"/>
    <n v="334"/>
    <n v="218"/>
    <n v="58007"/>
    <n v="24792"/>
    <n v="273"/>
    <x v="0"/>
    <s v="SummerBeats"/>
  </r>
  <r>
    <s v="SP142"/>
    <s v="Instagram"/>
    <d v="2024-12-21T00:00:00"/>
    <s v="Story"/>
    <s v="New music just dropped. Hit play!"/>
    <n v="4563"/>
    <n v="398"/>
    <n v="163"/>
    <n v="43679"/>
    <n v="48760"/>
    <n v="92"/>
    <x v="1"/>
    <s v="Wrapped2024"/>
  </r>
  <r>
    <s v="SP143"/>
    <s v="Instagram"/>
    <d v="2024-06-17T00:00:00"/>
    <s v="Text"/>
    <s v="Discover fresh beats on Spotify!"/>
    <n v="4283"/>
    <n v="471"/>
    <n v="156"/>
    <n v="53004"/>
    <n v="25678"/>
    <n v="105"/>
    <x v="2"/>
    <s v="IndieWave"/>
  </r>
  <r>
    <s v="SP144"/>
    <s v="Instagram"/>
    <d v="2025-02-14T00:00:00"/>
    <s v="Text"/>
    <s v="Discover fresh beats on Spotify!"/>
    <n v="2329"/>
    <n v="373"/>
    <n v="291"/>
    <n v="49577"/>
    <n v="28002"/>
    <n v="82"/>
    <x v="0"/>
    <s v="ChillVibes"/>
  </r>
  <r>
    <s v="SP144"/>
    <s v="Instagram"/>
    <d v="2025-02-14T00:00:00"/>
    <s v="Text"/>
    <s v="Discover fresh beats on Spotify!"/>
    <n v="2329"/>
    <n v="373"/>
    <n v="291"/>
    <n v="49577"/>
    <n v="28002"/>
    <n v="82"/>
    <x v="1"/>
    <s v="ChillVibes"/>
  </r>
  <r>
    <s v="SP145"/>
    <s v="Twitter"/>
    <d v="2025-05-28T00:00:00"/>
    <s v="Story"/>
    <s v="Top trending tracks updated daily!"/>
    <n v="4287"/>
    <n v="273"/>
    <n v="122"/>
    <n v="40792"/>
    <n v="23878"/>
    <n v="277"/>
    <x v="3"/>
    <s v="ChillVibes"/>
  </r>
  <r>
    <s v="SP145"/>
    <s v="Twitter"/>
    <d v="2025-05-28T00:00:00"/>
    <s v="Story"/>
    <s v="Top trending tracks updated daily!"/>
    <n v="4287"/>
    <n v="273"/>
    <n v="122"/>
    <n v="40792"/>
    <n v="23878"/>
    <n v="277"/>
    <x v="1"/>
    <s v="ChillVibes"/>
  </r>
  <r>
    <s v="SP146"/>
    <s v="Instagram"/>
    <d v="2025-05-22T00:00:00"/>
    <s v="Text"/>
    <s v="Discover fresh beats on Spotify!"/>
    <n v="2633"/>
    <n v="318"/>
    <n v="380"/>
    <n v="40869"/>
    <n v="64474"/>
    <n v="245"/>
    <x v="2"/>
    <s v="IndieWave"/>
  </r>
  <r>
    <s v="SP147"/>
    <s v="Twitter"/>
    <d v="2024-01-21T00:00:00"/>
    <s v="Story"/>
    <s v="Discover fresh beats on Spotify!"/>
    <n v="2383"/>
    <n v="136"/>
    <n v="302"/>
    <n v="39187"/>
    <n v="22133"/>
    <n v="208"/>
    <x v="3"/>
    <s v="ChillVibes"/>
  </r>
  <r>
    <s v="SP147"/>
    <s v="Twitter"/>
    <d v="2024-01-21T00:00:00"/>
    <s v="Story"/>
    <s v="Discover fresh beats on Spotify!"/>
    <n v="2383"/>
    <n v="136"/>
    <n v="302"/>
    <n v="39187"/>
    <n v="22133"/>
    <n v="208"/>
    <x v="1"/>
    <s v="ChillVibes"/>
  </r>
  <r>
    <s v="SP148"/>
    <s v="Twitter"/>
    <d v="2025-02-08T00:00:00"/>
    <s v="Story"/>
    <s v="Your weekend playlist is waiting."/>
    <n v="4752"/>
    <n v="334"/>
    <n v="56"/>
    <n v="48017"/>
    <n v="55534"/>
    <n v="270"/>
    <x v="2"/>
    <s v="ChillVibes"/>
  </r>
  <r>
    <s v="SP148"/>
    <s v="Twitter"/>
    <d v="2025-02-08T00:00:00"/>
    <s v="Story"/>
    <s v="Your weekend playlist is waiting."/>
    <n v="4752"/>
    <n v="334"/>
    <n v="56"/>
    <n v="48017"/>
    <n v="55534"/>
    <n v="270"/>
    <x v="3"/>
    <s v="ChillVibes"/>
  </r>
  <r>
    <s v="SP149"/>
    <s v="Twitter"/>
    <d v="2025-04-13T00:00:00"/>
    <s v="Text"/>
    <s v="From pop to podcasts, itâ€™s all here."/>
    <n v="3890"/>
    <n v="408"/>
    <n v="338"/>
    <n v="56994"/>
    <n v="32621"/>
    <n v="286"/>
    <x v="0"/>
    <s v="IndieWave"/>
  </r>
  <r>
    <s v="SP150"/>
    <s v="Twitter"/>
    <d v="2024-05-30T00:00:00"/>
    <s v="Story"/>
    <s v="Your weekend playlist is waiting."/>
    <n v="2311"/>
    <n v="207"/>
    <n v="363"/>
    <n v="30349"/>
    <n v="32925"/>
    <n v="88"/>
    <x v="3"/>
    <s v="ChillVibes"/>
  </r>
  <r>
    <s v="SP150"/>
    <s v="Twitter"/>
    <d v="2024-05-30T00:00:00"/>
    <s v="Story"/>
    <s v="Your weekend playlist is waiting."/>
    <n v="2311"/>
    <n v="207"/>
    <n v="363"/>
    <n v="30349"/>
    <n v="32925"/>
    <n v="88"/>
    <x v="1"/>
    <s v="ChillVibes"/>
  </r>
  <r>
    <s v="SP151"/>
    <s v="Instagram"/>
    <d v="2024-08-12T00:00:00"/>
    <s v="Story"/>
    <s v="Discover fresh beats on Spotify!"/>
    <n v="2962"/>
    <n v="400"/>
    <n v="280"/>
    <n v="52508"/>
    <n v="58329"/>
    <n v="219"/>
    <x v="1"/>
    <s v="Wrapped2024"/>
  </r>
  <r>
    <s v="SP152"/>
    <s v="Instagram"/>
    <d v="2024-09-27T00:00:00"/>
    <s v="Text"/>
    <s v="Discover fresh beats on Spotify!"/>
    <n v="3118"/>
    <n v="116"/>
    <n v="195"/>
    <n v="37100"/>
    <n v="62629"/>
    <n v="272"/>
    <x v="2"/>
    <s v="IndieWave"/>
  </r>
  <r>
    <s v="SP153"/>
    <s v="Twitter"/>
    <d v="2025-06-11T00:00:00"/>
    <s v="Story"/>
    <s v="Explore the latest podcasts now."/>
    <n v="3805"/>
    <n v="453"/>
    <n v="63"/>
    <n v="52395"/>
    <n v="72934"/>
    <n v="87"/>
    <x v="2"/>
    <s v="ChillVibes"/>
  </r>
  <r>
    <s v="SP153"/>
    <s v="Twitter"/>
    <d v="2025-06-11T00:00:00"/>
    <s v="Story"/>
    <s v="Explore the latest podcasts now."/>
    <n v="3805"/>
    <n v="453"/>
    <n v="63"/>
    <n v="52395"/>
    <n v="72934"/>
    <n v="87"/>
    <x v="3"/>
    <s v="ChillVibes"/>
  </r>
  <r>
    <s v="SP154"/>
    <s v="Instagram"/>
    <d v="2024-11-19T00:00:00"/>
    <s v="Text"/>
    <s v="Whatâ€™s your vibe today? #SpotifyHits"/>
    <n v="2525"/>
    <n v="272"/>
    <n v="294"/>
    <n v="51875"/>
    <n v="24732"/>
    <n v="92"/>
    <x v="2"/>
    <s v="IndieWave"/>
  </r>
  <r>
    <s v="SP155"/>
    <s v="Instagram"/>
    <d v="2024-04-25T00:00:00"/>
    <s v="Text"/>
    <s v="Music that moves youâ€”only on Spotify."/>
    <n v="3563"/>
    <n v="483"/>
    <n v="227"/>
    <n v="41085"/>
    <n v="26393"/>
    <n v="236"/>
    <x v="0"/>
    <s v="ChillVibes"/>
  </r>
  <r>
    <s v="SP155"/>
    <s v="Instagram"/>
    <d v="2024-04-25T00:00:00"/>
    <s v="Text"/>
    <s v="Music that moves youâ€”only on Spotify."/>
    <n v="3563"/>
    <n v="483"/>
    <n v="227"/>
    <n v="41085"/>
    <n v="26393"/>
    <n v="236"/>
    <x v="1"/>
    <s v="ChillVibes"/>
  </r>
  <r>
    <s v="SP156"/>
    <s v="YouTube"/>
    <d v="2024-09-03T00:00:00"/>
    <s v="Reel"/>
    <s v="Whatâ€™s your vibe today? #SpotifyHits"/>
    <n v="1437"/>
    <n v="494"/>
    <n v="129"/>
    <n v="53048"/>
    <n v="44090"/>
    <n v="230"/>
    <x v="2"/>
    <s v="SummerBeats"/>
  </r>
  <r>
    <s v="SP156"/>
    <s v="YouTube"/>
    <d v="2024-09-03T00:00:00"/>
    <s v="Reel"/>
    <s v="Whatâ€™s your vibe today? #SpotifyHits"/>
    <n v="1437"/>
    <n v="494"/>
    <n v="129"/>
    <n v="53048"/>
    <n v="44090"/>
    <n v="230"/>
    <x v="0"/>
    <s v="SummerBeats"/>
  </r>
  <r>
    <s v="SP157"/>
    <s v="YouTube"/>
    <d v="2025-03-02T00:00:00"/>
    <s v="Text"/>
    <s v="From pop to podcasts, itâ€™s all here."/>
    <n v="4425"/>
    <n v="185"/>
    <n v="162"/>
    <n v="24610"/>
    <n v="21342"/>
    <n v="158"/>
    <x v="2"/>
    <s v="IndieWave"/>
  </r>
  <r>
    <s v="SP157"/>
    <s v="YouTube"/>
    <d v="2025-03-02T00:00:00"/>
    <s v="Text"/>
    <s v="From pop to podcasts, itâ€™s all here."/>
    <n v="4425"/>
    <n v="185"/>
    <n v="162"/>
    <n v="24610"/>
    <n v="21342"/>
    <n v="158"/>
    <x v="4"/>
    <s v="IndieWave"/>
  </r>
  <r>
    <s v="SP158"/>
    <s v="Twitter"/>
    <d v="2025-03-21T00:00:00"/>
    <s v="Story"/>
    <s v="New music just dropped. Hit play!"/>
    <n v="4609"/>
    <n v="427"/>
    <n v="395"/>
    <n v="33698"/>
    <n v="29259"/>
    <n v="216"/>
    <x v="2"/>
    <s v="ChillVibes"/>
  </r>
  <r>
    <s v="SP158"/>
    <s v="Twitter"/>
    <d v="2025-03-21T00:00:00"/>
    <s v="Story"/>
    <s v="New music just dropped. Hit play!"/>
    <n v="4609"/>
    <n v="427"/>
    <n v="395"/>
    <n v="33698"/>
    <n v="29259"/>
    <n v="216"/>
    <x v="3"/>
    <s v="ChillVibes"/>
  </r>
  <r>
    <s v="SP159"/>
    <s v="Instagram"/>
    <d v="2024-04-12T00:00:00"/>
    <s v="Story"/>
    <s v="Get into the groove with our new drop!"/>
    <n v="1558"/>
    <n v="352"/>
    <n v="202"/>
    <n v="25405"/>
    <n v="69941"/>
    <n v="219"/>
    <x v="1"/>
    <s v="Wrapped2024"/>
  </r>
  <r>
    <s v="SP160"/>
    <s v="YouTube"/>
    <d v="2024-02-08T00:00:00"/>
    <s v="Reel"/>
    <s v="Top trending tracks updated daily!"/>
    <n v="1889"/>
    <n v="298"/>
    <n v="122"/>
    <n v="46225"/>
    <n v="74305"/>
    <n v="293"/>
    <x v="2"/>
    <s v="SummerBeats"/>
  </r>
  <r>
    <s v="SP160"/>
    <s v="YouTube"/>
    <d v="2024-02-08T00:00:00"/>
    <s v="Reel"/>
    <s v="Top trending tracks updated daily!"/>
    <n v="1889"/>
    <n v="298"/>
    <n v="122"/>
    <n v="46225"/>
    <n v="74305"/>
    <n v="293"/>
    <x v="0"/>
    <s v="SummerBeats"/>
  </r>
  <r>
    <s v="SP161"/>
    <s v="Instagram"/>
    <d v="2025-05-26T00:00:00"/>
    <s v="Text"/>
    <s v="Discover fresh beats on Spotify!"/>
    <n v="3086"/>
    <n v="148"/>
    <n v="310"/>
    <n v="22824"/>
    <n v="58103"/>
    <n v="275"/>
    <x v="2"/>
    <s v="IndieWave"/>
  </r>
  <r>
    <s v="SP162"/>
    <s v="Instagram"/>
    <d v="2024-11-14T00:00:00"/>
    <s v="Text"/>
    <s v="Music that moves youâ€”only on Spotify."/>
    <n v="2422"/>
    <n v="318"/>
    <n v="118"/>
    <n v="25386"/>
    <n v="20873"/>
    <n v="100"/>
    <x v="0"/>
    <s v="ChillVibes"/>
  </r>
  <r>
    <s v="SP162"/>
    <s v="Instagram"/>
    <d v="2024-11-14T00:00:00"/>
    <s v="Text"/>
    <s v="Music that moves youâ€”only on Spotify."/>
    <n v="2422"/>
    <n v="318"/>
    <n v="118"/>
    <n v="25386"/>
    <n v="20873"/>
    <n v="100"/>
    <x v="1"/>
    <s v="ChillVibes"/>
  </r>
  <r>
    <s v="SP163"/>
    <s v="YouTube"/>
    <d v="2024-08-09T00:00:00"/>
    <s v="Reel"/>
    <s v="From pop to podcasts, itâ€™s all here."/>
    <n v="3414"/>
    <n v="154"/>
    <n v="204"/>
    <n v="34146"/>
    <n v="44633"/>
    <n v="256"/>
    <x v="2"/>
    <s v="SummerBeats"/>
  </r>
  <r>
    <s v="SP163"/>
    <s v="YouTube"/>
    <d v="2024-08-09T00:00:00"/>
    <s v="Reel"/>
    <s v="From pop to podcasts, itâ€™s all here."/>
    <n v="3414"/>
    <n v="154"/>
    <n v="204"/>
    <n v="34146"/>
    <n v="44633"/>
    <n v="256"/>
    <x v="0"/>
    <s v="SummerBeats"/>
  </r>
  <r>
    <s v="SP164"/>
    <s v="Instagram"/>
    <d v="2025-06-27T00:00:00"/>
    <s v="Story"/>
    <s v="Whatâ€™s your vibe today? #SpotifyHits"/>
    <n v="1342"/>
    <n v="332"/>
    <n v="163"/>
    <n v="51712"/>
    <n v="57922"/>
    <n v="168"/>
    <x v="1"/>
    <s v="Wrapped2024"/>
  </r>
  <r>
    <s v="SP165"/>
    <s v="Instagram"/>
    <d v="2024-05-08T00:00:00"/>
    <s v="Story"/>
    <s v="Music that moves youâ€”only on Spotify."/>
    <n v="2414"/>
    <n v="220"/>
    <n v="280"/>
    <n v="27355"/>
    <n v="50562"/>
    <n v="258"/>
    <x v="1"/>
    <s v="Wrapped2024"/>
  </r>
  <r>
    <s v="SP166"/>
    <s v="Instagram"/>
    <d v="2024-04-05T00:00:00"/>
    <s v="Text"/>
    <s v="New music just dropped. Hit play!"/>
    <n v="4383"/>
    <n v="352"/>
    <n v="176"/>
    <n v="53239"/>
    <n v="34168"/>
    <n v="288"/>
    <x v="2"/>
    <s v="IndieWave"/>
  </r>
  <r>
    <s v="SP167"/>
    <s v="YouTube"/>
    <d v="2025-01-27T00:00:00"/>
    <s v="Text"/>
    <s v="Wrapped is here! Relive your top tracks ðŸŽ§"/>
    <n v="4294"/>
    <n v="423"/>
    <n v="93"/>
    <n v="29828"/>
    <n v="73144"/>
    <n v="298"/>
    <x v="2"/>
    <s v="IndieWave"/>
  </r>
  <r>
    <s v="SP167"/>
    <s v="YouTube"/>
    <d v="2025-01-27T00:00:00"/>
    <s v="Text"/>
    <s v="Wrapped is here! Relive your top tracks ðŸŽ§"/>
    <n v="4294"/>
    <n v="423"/>
    <n v="93"/>
    <n v="29828"/>
    <n v="73144"/>
    <n v="298"/>
    <x v="4"/>
    <s v="IndieWave"/>
  </r>
  <r>
    <s v="SP168"/>
    <s v="Instagram"/>
    <d v="2024-04-03T00:00:00"/>
    <s v="Text"/>
    <s v="Top trending tracks updated daily!"/>
    <n v="2762"/>
    <n v="339"/>
    <n v="323"/>
    <n v="33757"/>
    <n v="68511"/>
    <n v="121"/>
    <x v="0"/>
    <s v="ChillVibes"/>
  </r>
  <r>
    <s v="SP168"/>
    <s v="Instagram"/>
    <d v="2024-04-03T00:00:00"/>
    <s v="Text"/>
    <s v="Top trending tracks updated daily!"/>
    <n v="2762"/>
    <n v="339"/>
    <n v="323"/>
    <n v="33757"/>
    <n v="68511"/>
    <n v="121"/>
    <x v="1"/>
    <s v="ChillVibes"/>
  </r>
  <r>
    <s v="SP169"/>
    <s v="YouTube"/>
    <d v="2025-01-03T00:00:00"/>
    <s v="Text"/>
    <s v="New music just dropped. Hit play!"/>
    <n v="3782"/>
    <n v="484"/>
    <n v="144"/>
    <n v="52172"/>
    <n v="59386"/>
    <n v="175"/>
    <x v="2"/>
    <s v="IndieWave"/>
  </r>
  <r>
    <s v="SP169"/>
    <s v="YouTube"/>
    <d v="2025-01-03T00:00:00"/>
    <s v="Text"/>
    <s v="New music just dropped. Hit play!"/>
    <n v="3782"/>
    <n v="484"/>
    <n v="144"/>
    <n v="52172"/>
    <n v="59386"/>
    <n v="175"/>
    <x v="4"/>
    <s v="IndieWave"/>
  </r>
  <r>
    <s v="SP170"/>
    <s v="Twitter"/>
    <d v="2024-11-23T00:00:00"/>
    <s v="Text"/>
    <s v="New music just dropped. Hit play!"/>
    <n v="4318"/>
    <n v="371"/>
    <n v="329"/>
    <n v="32347"/>
    <n v="68956"/>
    <n v="259"/>
    <x v="0"/>
    <s v="IndieWave"/>
  </r>
  <r>
    <s v="SP171"/>
    <s v="Instagram"/>
    <d v="2024-09-01T00:00:00"/>
    <s v="Story"/>
    <s v="Wrapped is here! Relive your top tracks ðŸŽ§"/>
    <n v="2335"/>
    <n v="150"/>
    <n v="75"/>
    <n v="26114"/>
    <n v="57549"/>
    <n v="135"/>
    <x v="1"/>
    <s v="Wrapped2024"/>
  </r>
  <r>
    <s v="SP172"/>
    <s v="YouTube"/>
    <d v="2024-04-18T00:00:00"/>
    <s v="Text"/>
    <s v="Explore the latest podcasts now."/>
    <n v="4023"/>
    <n v="293"/>
    <n v="91"/>
    <n v="26795"/>
    <n v="28924"/>
    <n v="278"/>
    <x v="2"/>
    <s v="IndieWave"/>
  </r>
  <r>
    <s v="SP172"/>
    <s v="YouTube"/>
    <d v="2024-04-18T00:00:00"/>
    <s v="Text"/>
    <s v="Explore the latest podcasts now."/>
    <n v="4023"/>
    <n v="293"/>
    <n v="91"/>
    <n v="26795"/>
    <n v="28924"/>
    <n v="278"/>
    <x v="4"/>
    <s v="IndieWave"/>
  </r>
  <r>
    <s v="SP173"/>
    <s v="Instagram"/>
    <d v="2024-06-04T00:00:00"/>
    <s v="Text"/>
    <s v="Get into the groove with our new drop!"/>
    <n v="3948"/>
    <n v="151"/>
    <n v="249"/>
    <n v="43147"/>
    <n v="63136"/>
    <n v="230"/>
    <x v="2"/>
    <s v="IndieWave"/>
  </r>
  <r>
    <s v="SP174"/>
    <s v="YouTube"/>
    <d v="2025-04-02T00:00:00"/>
    <s v="Text"/>
    <s v="Wrapped is here! Relive your top tracks ðŸŽ§"/>
    <n v="4598"/>
    <n v="455"/>
    <n v="378"/>
    <n v="52952"/>
    <n v="58504"/>
    <n v="269"/>
    <x v="2"/>
    <s v="IndieWave"/>
  </r>
  <r>
    <s v="SP174"/>
    <s v="YouTube"/>
    <d v="2025-04-02T00:00:00"/>
    <s v="Text"/>
    <s v="Wrapped is here! Relive your top tracks ðŸŽ§"/>
    <n v="4598"/>
    <n v="455"/>
    <n v="378"/>
    <n v="52952"/>
    <n v="58504"/>
    <n v="269"/>
    <x v="4"/>
    <s v="IndieWave"/>
  </r>
  <r>
    <s v="SP175"/>
    <s v="Twitter"/>
    <d v="2025-04-01T00:00:00"/>
    <s v="Story"/>
    <s v="Music that moves youâ€”only on Spotify."/>
    <n v="2665"/>
    <n v="143"/>
    <n v="315"/>
    <n v="54808"/>
    <n v="29818"/>
    <n v="98"/>
    <x v="2"/>
    <s v="ChillVibes"/>
  </r>
  <r>
    <s v="SP175"/>
    <s v="Twitter"/>
    <d v="2025-04-01T00:00:00"/>
    <s v="Story"/>
    <s v="Music that moves youâ€”only on Spotify."/>
    <n v="2665"/>
    <n v="143"/>
    <n v="315"/>
    <n v="54808"/>
    <n v="29818"/>
    <n v="98"/>
    <x v="3"/>
    <s v="ChillVibes"/>
  </r>
  <r>
    <s v="SP176"/>
    <s v="Instagram"/>
    <d v="2024-07-02T00:00:00"/>
    <s v="Text"/>
    <s v="Top trending tracks updated daily!"/>
    <n v="3469"/>
    <n v="371"/>
    <n v="76"/>
    <n v="46493"/>
    <n v="26906"/>
    <n v="150"/>
    <x v="0"/>
    <s v="ChillVibes"/>
  </r>
  <r>
    <s v="SP176"/>
    <s v="Instagram"/>
    <d v="2024-07-02T00:00:00"/>
    <s v="Text"/>
    <s v="Top trending tracks updated daily!"/>
    <n v="3469"/>
    <n v="371"/>
    <n v="76"/>
    <n v="46493"/>
    <n v="26906"/>
    <n v="150"/>
    <x v="1"/>
    <s v="ChillVibes"/>
  </r>
  <r>
    <s v="SP177"/>
    <s v="Twitter"/>
    <d v="2024-11-10T00:00:00"/>
    <s v="Text"/>
    <s v="Explore the latest podcasts now."/>
    <n v="4823"/>
    <n v="489"/>
    <n v="302"/>
    <n v="32470"/>
    <n v="31861"/>
    <n v="178"/>
    <x v="0"/>
    <s v="IndieWave"/>
  </r>
  <r>
    <s v="SP178"/>
    <s v="Instagram"/>
    <d v="2024-12-14T00:00:00"/>
    <s v="Story"/>
    <s v="From pop to podcasts, itâ€™s all here."/>
    <n v="3812"/>
    <n v="321"/>
    <n v="289"/>
    <n v="59838"/>
    <n v="36337"/>
    <n v="161"/>
    <x v="1"/>
    <s v="Wrapped2024"/>
  </r>
  <r>
    <s v="SP179"/>
    <s v="Twitter"/>
    <d v="2024-11-19T00:00:00"/>
    <s v="Text"/>
    <s v="Explore the latest podcasts now."/>
    <n v="2387"/>
    <n v="353"/>
    <n v="78"/>
    <n v="39745"/>
    <n v="69226"/>
    <n v="208"/>
    <x v="0"/>
    <s v="IndieWave"/>
  </r>
  <r>
    <s v="SP180"/>
    <s v="Twitter"/>
    <d v="2025-04-30T00:00:00"/>
    <s v="Story"/>
    <s v="Wrapped is here! Relive your top tracks ðŸŽ§"/>
    <n v="3929"/>
    <n v="275"/>
    <n v="330"/>
    <n v="58329"/>
    <n v="33196"/>
    <n v="85"/>
    <x v="3"/>
    <s v="ChillVibes"/>
  </r>
  <r>
    <s v="SP180"/>
    <s v="Twitter"/>
    <d v="2025-04-30T00:00:00"/>
    <s v="Story"/>
    <s v="Wrapped is here! Relive your top tracks ðŸŽ§"/>
    <n v="3929"/>
    <n v="275"/>
    <n v="330"/>
    <n v="58329"/>
    <n v="33196"/>
    <n v="85"/>
    <x v="1"/>
    <s v="ChillVibes"/>
  </r>
  <r>
    <s v="SP181"/>
    <s v="Twitter"/>
    <d v="2024-03-19T00:00:00"/>
    <s v="Text"/>
    <s v="From pop to podcasts, itâ€™s all here."/>
    <n v="2191"/>
    <n v="288"/>
    <n v="83"/>
    <n v="59606"/>
    <n v="24765"/>
    <n v="281"/>
    <x v="0"/>
    <s v="IndieWave"/>
  </r>
  <r>
    <s v="SP182"/>
    <s v="Instagram"/>
    <d v="2024-03-19T00:00:00"/>
    <s v="Text"/>
    <s v="From pop to podcasts, itâ€™s all here."/>
    <n v="2878"/>
    <n v="278"/>
    <n v="255"/>
    <n v="47235"/>
    <n v="57922"/>
    <n v="112"/>
    <x v="0"/>
    <s v="ChillVibes"/>
  </r>
  <r>
    <s v="SP182"/>
    <s v="Instagram"/>
    <d v="2024-03-19T00:00:00"/>
    <s v="Text"/>
    <s v="From pop to podcasts, itâ€™s all here."/>
    <n v="2878"/>
    <n v="278"/>
    <n v="255"/>
    <n v="47235"/>
    <n v="57922"/>
    <n v="112"/>
    <x v="1"/>
    <s v="ChillVibes"/>
  </r>
  <r>
    <s v="SP183"/>
    <s v="Twitter"/>
    <d v="2024-07-23T00:00:00"/>
    <s v="Text"/>
    <s v="Top trending tracks updated daily!"/>
    <n v="3204"/>
    <n v="398"/>
    <n v="85"/>
    <n v="22020"/>
    <n v="58353"/>
    <n v="286"/>
    <x v="0"/>
    <s v="IndieWave"/>
  </r>
  <r>
    <s v="SP184"/>
    <s v="Twitter"/>
    <d v="2024-07-13T00:00:00"/>
    <s v="Story"/>
    <s v="Get into the groove with our new drop!"/>
    <n v="2408"/>
    <n v="323"/>
    <n v="251"/>
    <n v="47599"/>
    <n v="35543"/>
    <n v="287"/>
    <x v="3"/>
    <s v="ChillVibes"/>
  </r>
  <r>
    <s v="SP184"/>
    <s v="Twitter"/>
    <d v="2024-07-13T00:00:00"/>
    <s v="Story"/>
    <s v="Get into the groove with our new drop!"/>
    <n v="2408"/>
    <n v="323"/>
    <n v="251"/>
    <n v="47599"/>
    <n v="35543"/>
    <n v="287"/>
    <x v="1"/>
    <s v="ChillVibes"/>
  </r>
  <r>
    <s v="SP185"/>
    <s v="YouTube"/>
    <d v="2025-04-22T00:00:00"/>
    <s v="Reel"/>
    <s v="New music just dropped. Hit play!"/>
    <n v="2733"/>
    <n v="297"/>
    <n v="235"/>
    <n v="37980"/>
    <n v="33058"/>
    <n v="219"/>
    <x v="2"/>
    <s v="SummerBeats"/>
  </r>
  <r>
    <s v="SP185"/>
    <s v="YouTube"/>
    <d v="2025-04-22T00:00:00"/>
    <s v="Reel"/>
    <s v="New music just dropped. Hit play!"/>
    <n v="2733"/>
    <n v="297"/>
    <n v="235"/>
    <n v="37980"/>
    <n v="33058"/>
    <n v="219"/>
    <x v="0"/>
    <s v="SummerBeats"/>
  </r>
  <r>
    <s v="SP186"/>
    <s v="Twitter"/>
    <d v="2024-06-16T00:00:00"/>
    <s v="Story"/>
    <s v="Explore the latest podcasts now."/>
    <n v="4618"/>
    <n v="312"/>
    <n v="254"/>
    <n v="22571"/>
    <n v="29453"/>
    <n v="197"/>
    <x v="3"/>
    <s v="ChillVibes"/>
  </r>
  <r>
    <s v="SP186"/>
    <s v="Twitter"/>
    <d v="2024-06-16T00:00:00"/>
    <s v="Story"/>
    <s v="Explore the latest podcasts now."/>
    <n v="4618"/>
    <n v="312"/>
    <n v="254"/>
    <n v="22571"/>
    <n v="29453"/>
    <n v="197"/>
    <x v="1"/>
    <s v="ChillVibes"/>
  </r>
  <r>
    <s v="SP187"/>
    <s v="YouTube"/>
    <d v="2025-05-18T00:00:00"/>
    <s v="Reel"/>
    <s v="Wrapped is here! Relive your top tracks ðŸŽ§"/>
    <n v="4210"/>
    <n v="319"/>
    <n v="350"/>
    <n v="37762"/>
    <n v="55162"/>
    <n v="204"/>
    <x v="2"/>
    <s v="SummerBeats"/>
  </r>
  <r>
    <s v="SP187"/>
    <s v="YouTube"/>
    <d v="2025-05-18T00:00:00"/>
    <s v="Reel"/>
    <s v="Wrapped is here! Relive your top tracks ðŸŽ§"/>
    <n v="4210"/>
    <n v="319"/>
    <n v="350"/>
    <n v="37762"/>
    <n v="55162"/>
    <n v="204"/>
    <x v="0"/>
    <s v="SummerBeats"/>
  </r>
  <r>
    <s v="SP188"/>
    <s v="Instagram"/>
    <d v="2025-06-06T00:00:00"/>
    <s v="Text"/>
    <s v="Wrapped is here! Relive your top tracks ðŸŽ§"/>
    <n v="3987"/>
    <n v="171"/>
    <n v="274"/>
    <n v="45122"/>
    <n v="65431"/>
    <n v="168"/>
    <x v="2"/>
    <s v="IndieWave"/>
  </r>
  <r>
    <s v="SP189"/>
    <s v="YouTube"/>
    <d v="2025-02-20T00:00:00"/>
    <s v="Reel"/>
    <s v="Get into the groove with our new drop!"/>
    <n v="4957"/>
    <n v="262"/>
    <n v="365"/>
    <n v="49199"/>
    <n v="40314"/>
    <n v="216"/>
    <x v="2"/>
    <s v="SummerBeats"/>
  </r>
  <r>
    <s v="SP189"/>
    <s v="YouTube"/>
    <d v="2025-02-20T00:00:00"/>
    <s v="Reel"/>
    <s v="Get into the groove with our new drop!"/>
    <n v="4957"/>
    <n v="262"/>
    <n v="365"/>
    <n v="49199"/>
    <n v="40314"/>
    <n v="216"/>
    <x v="0"/>
    <s v="SummerBeats"/>
  </r>
  <r>
    <s v="SP190"/>
    <s v="Instagram"/>
    <d v="2025-01-16T00:00:00"/>
    <s v="Text"/>
    <s v="Music that moves youâ€”only on Spotify."/>
    <n v="2605"/>
    <n v="282"/>
    <n v="148"/>
    <n v="32201"/>
    <n v="49583"/>
    <n v="241"/>
    <x v="0"/>
    <s v="ChillVibes"/>
  </r>
  <r>
    <s v="SP190"/>
    <s v="Instagram"/>
    <d v="2025-01-16T00:00:00"/>
    <s v="Text"/>
    <s v="Music that moves youâ€”only on Spotify."/>
    <n v="2605"/>
    <n v="282"/>
    <n v="148"/>
    <n v="32201"/>
    <n v="49583"/>
    <n v="241"/>
    <x v="1"/>
    <s v="ChillVibes"/>
  </r>
  <r>
    <s v="SP191"/>
    <s v="YouTube"/>
    <d v="2024-02-24T00:00:00"/>
    <s v="Reel"/>
    <s v="Discover fresh beats on Spotify!"/>
    <n v="4221"/>
    <n v="307"/>
    <n v="58"/>
    <n v="45080"/>
    <n v="37214"/>
    <n v="240"/>
    <x v="2"/>
    <s v="SummerBeats"/>
  </r>
  <r>
    <s v="SP191"/>
    <s v="YouTube"/>
    <d v="2024-02-24T00:00:00"/>
    <s v="Reel"/>
    <s v="Discover fresh beats on Spotify!"/>
    <n v="4221"/>
    <n v="307"/>
    <n v="58"/>
    <n v="45080"/>
    <n v="37214"/>
    <n v="240"/>
    <x v="0"/>
    <s v="SummerBeats"/>
  </r>
  <r>
    <s v="SP192"/>
    <s v="Twitter"/>
    <d v="2024-09-16T00:00:00"/>
    <s v="Story"/>
    <s v="Whatâ€™s your vibe today? #SpotifyHits"/>
    <n v="4422"/>
    <n v="434"/>
    <n v="156"/>
    <n v="56165"/>
    <n v="52431"/>
    <n v="173"/>
    <x v="2"/>
    <s v="ChillVibes"/>
  </r>
  <r>
    <s v="SP192"/>
    <s v="Twitter"/>
    <d v="2024-09-16T00:00:00"/>
    <s v="Story"/>
    <s v="Whatâ€™s your vibe today? #SpotifyHits"/>
    <n v="4422"/>
    <n v="434"/>
    <n v="156"/>
    <n v="56165"/>
    <n v="52431"/>
    <n v="173"/>
    <x v="3"/>
    <s v="ChillVibes"/>
  </r>
  <r>
    <s v="SP193"/>
    <s v="YouTube"/>
    <d v="2024-06-04T00:00:00"/>
    <s v="Reel"/>
    <s v="Wrapped is here! Relive your top tracks ðŸŽ§"/>
    <n v="1211"/>
    <n v="431"/>
    <n v="83"/>
    <n v="26532"/>
    <n v="47305"/>
    <n v="232"/>
    <x v="2"/>
    <s v="SummerBeats"/>
  </r>
  <r>
    <s v="SP193"/>
    <s v="YouTube"/>
    <d v="2024-06-04T00:00:00"/>
    <s v="Reel"/>
    <s v="Wrapped is here! Relive your top tracks ðŸŽ§"/>
    <n v="1211"/>
    <n v="431"/>
    <n v="83"/>
    <n v="26532"/>
    <n v="47305"/>
    <n v="232"/>
    <x v="0"/>
    <s v="SummerBeats"/>
  </r>
  <r>
    <s v="SP194"/>
    <s v="Twitter"/>
    <d v="2024-05-10T00:00:00"/>
    <s v="Story"/>
    <s v="Explore the latest podcasts now."/>
    <n v="2784"/>
    <n v="111"/>
    <n v="399"/>
    <n v="58366"/>
    <n v="69512"/>
    <n v="269"/>
    <x v="3"/>
    <s v="ChillVibes"/>
  </r>
  <r>
    <s v="SP194"/>
    <s v="Twitter"/>
    <d v="2024-05-10T00:00:00"/>
    <s v="Story"/>
    <s v="Explore the latest podcasts now."/>
    <n v="2784"/>
    <n v="111"/>
    <n v="399"/>
    <n v="58366"/>
    <n v="69512"/>
    <n v="269"/>
    <x v="1"/>
    <s v="ChillVibes"/>
  </r>
  <r>
    <s v="SP195"/>
    <s v="YouTube"/>
    <d v="2024-01-14T00:00:00"/>
    <s v="Text"/>
    <s v="New music just dropped. Hit play!"/>
    <n v="3634"/>
    <n v="280"/>
    <n v="399"/>
    <n v="40256"/>
    <n v="52605"/>
    <n v="213"/>
    <x v="2"/>
    <s v="IndieWave"/>
  </r>
  <r>
    <s v="SP195"/>
    <s v="YouTube"/>
    <d v="2024-01-14T00:00:00"/>
    <s v="Text"/>
    <s v="New music just dropped. Hit play!"/>
    <n v="3634"/>
    <n v="280"/>
    <n v="399"/>
    <n v="40256"/>
    <n v="52605"/>
    <n v="213"/>
    <x v="4"/>
    <s v="IndieWave"/>
  </r>
  <r>
    <s v="SP196"/>
    <s v="Instagram"/>
    <d v="2025-01-12T00:00:00"/>
    <s v="Text"/>
    <s v="From pop to podcasts, itâ€™s all here."/>
    <n v="1771"/>
    <n v="487"/>
    <n v="272"/>
    <n v="48810"/>
    <n v="48084"/>
    <n v="272"/>
    <x v="0"/>
    <s v="ChillVibes"/>
  </r>
  <r>
    <s v="SP196"/>
    <s v="Instagram"/>
    <d v="2025-01-12T00:00:00"/>
    <s v="Text"/>
    <s v="From pop to podcasts, itâ€™s all here."/>
    <n v="1771"/>
    <n v="487"/>
    <n v="272"/>
    <n v="48810"/>
    <n v="48084"/>
    <n v="272"/>
    <x v="1"/>
    <s v="ChillVibes"/>
  </r>
  <r>
    <s v="SP197"/>
    <s v="YouTube"/>
    <d v="2024-12-08T00:00:00"/>
    <s v="Text"/>
    <s v="Top trending tracks updated daily!"/>
    <n v="1424"/>
    <n v="396"/>
    <n v="312"/>
    <n v="59517"/>
    <n v="46102"/>
    <n v="239"/>
    <x v="2"/>
    <s v="IndieWave"/>
  </r>
  <r>
    <s v="SP197"/>
    <s v="YouTube"/>
    <d v="2024-12-08T00:00:00"/>
    <s v="Text"/>
    <s v="Top trending tracks updated daily!"/>
    <n v="1424"/>
    <n v="396"/>
    <n v="312"/>
    <n v="59517"/>
    <n v="46102"/>
    <n v="239"/>
    <x v="4"/>
    <s v="IndieWave"/>
  </r>
  <r>
    <s v="SP198"/>
    <s v="Twitter"/>
    <d v="2025-02-01T00:00:00"/>
    <s v="Story"/>
    <s v="Top trending tracks updated daily!"/>
    <n v="1079"/>
    <n v="265"/>
    <n v="190"/>
    <n v="43786"/>
    <n v="72428"/>
    <n v="222"/>
    <x v="0"/>
    <s v="ChillVibes"/>
  </r>
  <r>
    <s v="SP198"/>
    <s v="Twitter"/>
    <d v="2025-02-01T00:00:00"/>
    <s v="Story"/>
    <s v="Top trending tracks updated daily!"/>
    <n v="1079"/>
    <n v="265"/>
    <n v="190"/>
    <n v="43786"/>
    <n v="72428"/>
    <n v="222"/>
    <x v="1"/>
    <s v="ChillVibes"/>
  </r>
  <r>
    <s v="SP199"/>
    <s v="Twitter"/>
    <d v="2024-07-11T00:00:00"/>
    <s v="Story"/>
    <s v="Get into the groove with our new drop!"/>
    <n v="4247"/>
    <n v="179"/>
    <n v="175"/>
    <n v="32991"/>
    <n v="70120"/>
    <n v="276"/>
    <x v="0"/>
    <s v="ChillVibes"/>
  </r>
  <r>
    <s v="SP199"/>
    <s v="Twitter"/>
    <d v="2024-07-11T00:00:00"/>
    <s v="Story"/>
    <s v="Get into the groove with our new drop!"/>
    <n v="4247"/>
    <n v="179"/>
    <n v="175"/>
    <n v="32991"/>
    <n v="70120"/>
    <n v="276"/>
    <x v="1"/>
    <s v="ChillVibes"/>
  </r>
  <r>
    <s v="SP200"/>
    <s v="Twitter"/>
    <d v="2024-03-18T00:00:00"/>
    <s v="Text"/>
    <s v="New music just dropped. Hit play!"/>
    <n v="2033"/>
    <n v="420"/>
    <n v="94"/>
    <n v="56290"/>
    <n v="57391"/>
    <n v="196"/>
    <x v="1"/>
    <s v="ChillVibes"/>
  </r>
  <r>
    <s v="SP201"/>
    <s v="Twitter"/>
    <d v="2024-09-12T00:00:00"/>
    <s v="Story"/>
    <s v="Wrapped is here! Relive your top tracks ðŸŽ§"/>
    <n v="1839"/>
    <n v="223"/>
    <n v="171"/>
    <n v="35459"/>
    <n v="69988"/>
    <n v="114"/>
    <x v="3"/>
    <s v="ChillVibes"/>
  </r>
  <r>
    <s v="SP201"/>
    <s v="Twitter"/>
    <d v="2024-09-12T00:00:00"/>
    <s v="Story"/>
    <s v="Wrapped is here! Relive your top tracks ðŸŽ§"/>
    <n v="1839"/>
    <n v="223"/>
    <n v="171"/>
    <n v="35459"/>
    <n v="69988"/>
    <n v="114"/>
    <x v="1"/>
    <s v="ChillVibes"/>
  </r>
  <r>
    <s v="SP202"/>
    <s v="Twitter"/>
    <d v="2024-01-11T00:00:00"/>
    <s v="Story"/>
    <s v="Wrapped is here! Relive your top tracks ðŸŽ§"/>
    <n v="2340"/>
    <n v="141"/>
    <n v="206"/>
    <n v="24916"/>
    <n v="30582"/>
    <n v="157"/>
    <x v="0"/>
    <s v="ChillVibes"/>
  </r>
  <r>
    <s v="SP202"/>
    <s v="Twitter"/>
    <d v="2024-01-11T00:00:00"/>
    <s v="Story"/>
    <s v="Wrapped is here! Relive your top tracks ðŸŽ§"/>
    <n v="2340"/>
    <n v="141"/>
    <n v="206"/>
    <n v="24916"/>
    <n v="30582"/>
    <n v="157"/>
    <x v="1"/>
    <s v="ChillVibes"/>
  </r>
  <r>
    <s v="SP203"/>
    <s v="Instagram"/>
    <d v="2024-10-06T00:00:00"/>
    <s v="Text"/>
    <s v="Top trending tracks updated daily!"/>
    <n v="2080"/>
    <n v="389"/>
    <n v="92"/>
    <n v="30971"/>
    <n v="25347"/>
    <n v="111"/>
    <x v="2"/>
    <s v="IndieWave"/>
  </r>
  <r>
    <s v="SP204"/>
    <s v="Twitter"/>
    <d v="2024-12-30T00:00:00"/>
    <s v="Text"/>
    <s v="Get into the groove with our new drop!"/>
    <n v="4214"/>
    <n v="286"/>
    <n v="127"/>
    <n v="47293"/>
    <n v="27184"/>
    <n v="232"/>
    <x v="1"/>
    <s v="ChillVibes"/>
  </r>
  <r>
    <s v="SP205"/>
    <s v="Twitter"/>
    <d v="2025-04-16T00:00:00"/>
    <s v="Text"/>
    <s v="Wrapped is here! Relive your top tracks ðŸŽ§"/>
    <n v="3792"/>
    <n v="315"/>
    <n v="120"/>
    <n v="54592"/>
    <n v="67886"/>
    <n v="117"/>
    <x v="0"/>
    <s v="IndieWave"/>
  </r>
  <r>
    <s v="SP206"/>
    <s v="Twitter"/>
    <d v="2024-08-21T00:00:00"/>
    <s v="Story"/>
    <s v="Explore the latest podcasts now."/>
    <n v="3989"/>
    <n v="476"/>
    <n v="128"/>
    <n v="57569"/>
    <n v="40193"/>
    <n v="222"/>
    <x v="2"/>
    <s v="ChillVibes"/>
  </r>
  <r>
    <s v="SP206"/>
    <s v="Twitter"/>
    <d v="2024-08-21T00:00:00"/>
    <s v="Story"/>
    <s v="Explore the latest podcasts now."/>
    <n v="3989"/>
    <n v="476"/>
    <n v="128"/>
    <n v="57569"/>
    <n v="40193"/>
    <n v="222"/>
    <x v="3"/>
    <s v="ChillVibes"/>
  </r>
  <r>
    <s v="SP207"/>
    <s v="Twitter"/>
    <d v="2024-04-05T00:00:00"/>
    <s v="Story"/>
    <s v="Wrapped is here! Relive your top tracks ðŸŽ§"/>
    <n v="2857"/>
    <n v="443"/>
    <n v="359"/>
    <n v="51519"/>
    <n v="28256"/>
    <n v="155"/>
    <x v="0"/>
    <s v="ChillVibes"/>
  </r>
  <r>
    <s v="SP207"/>
    <s v="Twitter"/>
    <d v="2024-04-05T00:00:00"/>
    <s v="Story"/>
    <s v="Wrapped is here! Relive your top tracks ðŸŽ§"/>
    <n v="2857"/>
    <n v="443"/>
    <n v="359"/>
    <n v="51519"/>
    <n v="28256"/>
    <n v="155"/>
    <x v="1"/>
    <s v="ChillVibes"/>
  </r>
  <r>
    <s v="SP208"/>
    <s v="Twitter"/>
    <d v="2025-04-07T00:00:00"/>
    <s v="Text"/>
    <s v="From pop to podcasts, itâ€™s all here."/>
    <n v="1403"/>
    <n v="385"/>
    <n v="344"/>
    <n v="54223"/>
    <n v="72595"/>
    <n v="239"/>
    <x v="0"/>
    <s v="IndieWave"/>
  </r>
  <r>
    <s v="SP209"/>
    <s v="Twitter"/>
    <d v="2024-07-19T00:00:00"/>
    <s v="Story"/>
    <s v="Whatâ€™s your vibe today? #SpotifyHits"/>
    <n v="3071"/>
    <n v="126"/>
    <n v="200"/>
    <n v="44013"/>
    <n v="44679"/>
    <n v="118"/>
    <x v="2"/>
    <s v="ChillVibes"/>
  </r>
  <r>
    <s v="SP209"/>
    <s v="Twitter"/>
    <d v="2024-07-19T00:00:00"/>
    <s v="Story"/>
    <s v="Whatâ€™s your vibe today? #SpotifyHits"/>
    <n v="3071"/>
    <n v="126"/>
    <n v="200"/>
    <n v="44013"/>
    <n v="44679"/>
    <n v="118"/>
    <x v="3"/>
    <s v="ChillVibes"/>
  </r>
  <r>
    <s v="SP210"/>
    <s v="Twitter"/>
    <d v="2025-05-03T00:00:00"/>
    <s v="Story"/>
    <s v="Top trending tracks updated daily!"/>
    <n v="1010"/>
    <n v="361"/>
    <n v="240"/>
    <n v="47229"/>
    <n v="72573"/>
    <n v="275"/>
    <x v="0"/>
    <s v="ChillVibes"/>
  </r>
  <r>
    <s v="SP210"/>
    <s v="Twitter"/>
    <d v="2025-05-03T00:00:00"/>
    <s v="Story"/>
    <s v="Top trending tracks updated daily!"/>
    <n v="1010"/>
    <n v="361"/>
    <n v="240"/>
    <n v="47229"/>
    <n v="72573"/>
    <n v="275"/>
    <x v="1"/>
    <s v="ChillVibes"/>
  </r>
  <r>
    <s v="SP211"/>
    <s v="Twitter"/>
    <d v="2024-04-14T00:00:00"/>
    <s v="Story"/>
    <s v="Discover fresh beats on Spotify!"/>
    <n v="1295"/>
    <n v="153"/>
    <n v="81"/>
    <n v="48350"/>
    <n v="61033"/>
    <n v="232"/>
    <x v="2"/>
    <s v="ChillVibes"/>
  </r>
  <r>
    <s v="SP211"/>
    <s v="Twitter"/>
    <d v="2024-04-14T00:00:00"/>
    <s v="Story"/>
    <s v="Discover fresh beats on Spotify!"/>
    <n v="1295"/>
    <n v="153"/>
    <n v="81"/>
    <n v="48350"/>
    <n v="61033"/>
    <n v="232"/>
    <x v="3"/>
    <s v="ChillVibes"/>
  </r>
  <r>
    <s v="SP212"/>
    <s v="Twitter"/>
    <d v="2025-06-19T00:00:00"/>
    <s v="Story"/>
    <s v="Whatâ€™s your vibe today? #SpotifyHits"/>
    <n v="1433"/>
    <n v="452"/>
    <n v="305"/>
    <n v="54541"/>
    <n v="63700"/>
    <n v="296"/>
    <x v="2"/>
    <s v="ChillVibes"/>
  </r>
  <r>
    <s v="SP212"/>
    <s v="Twitter"/>
    <d v="2025-06-19T00:00:00"/>
    <s v="Story"/>
    <s v="Whatâ€™s your vibe today? #SpotifyHits"/>
    <n v="1433"/>
    <n v="452"/>
    <n v="305"/>
    <n v="54541"/>
    <n v="63700"/>
    <n v="296"/>
    <x v="3"/>
    <s v="ChillVibes"/>
  </r>
  <r>
    <s v="SP213"/>
    <s v="Instagram"/>
    <d v="2025-06-24T00:00:00"/>
    <s v="Story"/>
    <s v="Get into the groove with our new drop!"/>
    <n v="4902"/>
    <n v="422"/>
    <n v="376"/>
    <n v="31674"/>
    <n v="53225"/>
    <n v="147"/>
    <x v="1"/>
    <s v="Wrapped2024"/>
  </r>
  <r>
    <s v="SP214"/>
    <s v="Twitter"/>
    <d v="2024-10-09T00:00:00"/>
    <s v="Text"/>
    <s v="Wrapped is here! Relive your top tracks ðŸŽ§"/>
    <n v="2659"/>
    <n v="167"/>
    <n v="73"/>
    <n v="23090"/>
    <n v="25872"/>
    <n v="293"/>
    <x v="0"/>
    <s v="IndieWave"/>
  </r>
  <r>
    <s v="SP215"/>
    <s v="YouTube"/>
    <d v="2025-01-15T00:00:00"/>
    <s v="Text"/>
    <s v="Your weekend playlist is waiting."/>
    <n v="2599"/>
    <n v="324"/>
    <n v="182"/>
    <n v="37525"/>
    <n v="37216"/>
    <n v="186"/>
    <x v="2"/>
    <s v="IndieWave"/>
  </r>
  <r>
    <s v="SP215"/>
    <s v="YouTube"/>
    <d v="2025-01-15T00:00:00"/>
    <s v="Text"/>
    <s v="Your weekend playlist is waiting."/>
    <n v="2599"/>
    <n v="324"/>
    <n v="182"/>
    <n v="37525"/>
    <n v="37216"/>
    <n v="186"/>
    <x v="4"/>
    <s v="IndieWave"/>
  </r>
  <r>
    <s v="SP216"/>
    <s v="Twitter"/>
    <d v="2025-01-12T00:00:00"/>
    <s v="Text"/>
    <s v="Music that moves youâ€”only on Spotify."/>
    <n v="1765"/>
    <n v="285"/>
    <n v="100"/>
    <n v="41313"/>
    <n v="56575"/>
    <n v="174"/>
    <x v="0"/>
    <s v="IndieWave"/>
  </r>
  <r>
    <s v="SP217"/>
    <s v="Instagram"/>
    <d v="2025-05-31T00:00:00"/>
    <s v="Text"/>
    <s v="Whatâ€™s your vibe today? #SpotifyHits"/>
    <n v="2169"/>
    <n v="240"/>
    <n v="57"/>
    <n v="26109"/>
    <n v="46667"/>
    <n v="133"/>
    <x v="0"/>
    <s v="ChillVibes"/>
  </r>
  <r>
    <s v="SP217"/>
    <s v="Instagram"/>
    <d v="2025-05-31T00:00:00"/>
    <s v="Text"/>
    <s v="Whatâ€™s your vibe today? #SpotifyHits"/>
    <n v="2169"/>
    <n v="240"/>
    <n v="57"/>
    <n v="26109"/>
    <n v="46667"/>
    <n v="133"/>
    <x v="1"/>
    <s v="ChillVibes"/>
  </r>
  <r>
    <s v="SP218"/>
    <s v="Twitter"/>
    <d v="2024-10-14T00:00:00"/>
    <s v="Story"/>
    <s v="Explore the latest podcasts now."/>
    <n v="4303"/>
    <n v="306"/>
    <n v="302"/>
    <n v="39575"/>
    <n v="33762"/>
    <n v="265"/>
    <x v="2"/>
    <s v="ChillVibes"/>
  </r>
  <r>
    <s v="SP218"/>
    <s v="Twitter"/>
    <d v="2024-10-14T00:00:00"/>
    <s v="Story"/>
    <s v="Explore the latest podcasts now."/>
    <n v="4303"/>
    <n v="306"/>
    <n v="302"/>
    <n v="39575"/>
    <n v="33762"/>
    <n v="265"/>
    <x v="3"/>
    <s v="ChillVibes"/>
  </r>
  <r>
    <s v="SP219"/>
    <s v="Twitter"/>
    <d v="2024-02-10T00:00:00"/>
    <s v="Text"/>
    <s v="From pop to podcasts, itâ€™s all here."/>
    <n v="1519"/>
    <n v="456"/>
    <n v="379"/>
    <n v="51611"/>
    <n v="45880"/>
    <n v="176"/>
    <x v="0"/>
    <s v="IndieWave"/>
  </r>
  <r>
    <s v="SP220"/>
    <s v="YouTube"/>
    <d v="2024-12-10T00:00:00"/>
    <s v="Text"/>
    <s v="Whatâ€™s your vibe today? #SpotifyHits"/>
    <n v="2569"/>
    <n v="140"/>
    <n v="375"/>
    <n v="38372"/>
    <n v="22102"/>
    <n v="255"/>
    <x v="2"/>
    <s v="IndieWave"/>
  </r>
  <r>
    <s v="SP220"/>
    <s v="YouTube"/>
    <d v="2024-12-10T00:00:00"/>
    <s v="Text"/>
    <s v="Whatâ€™s your vibe today? #SpotifyHits"/>
    <n v="2569"/>
    <n v="140"/>
    <n v="375"/>
    <n v="38372"/>
    <n v="22102"/>
    <n v="255"/>
    <x v="4"/>
    <s v="IndieWave"/>
  </r>
  <r>
    <s v="SP221"/>
    <s v="Twitter"/>
    <d v="2025-05-09T00:00:00"/>
    <s v="Story"/>
    <s v="Music that moves youâ€”only on Spotify."/>
    <n v="2778"/>
    <n v="241"/>
    <n v="317"/>
    <n v="26247"/>
    <n v="20677"/>
    <n v="282"/>
    <x v="3"/>
    <s v="ChillVibes"/>
  </r>
  <r>
    <s v="SP221"/>
    <s v="Twitter"/>
    <d v="2025-05-09T00:00:00"/>
    <s v="Story"/>
    <s v="Music that moves youâ€”only on Spotify."/>
    <n v="2778"/>
    <n v="241"/>
    <n v="317"/>
    <n v="26247"/>
    <n v="20677"/>
    <n v="282"/>
    <x v="1"/>
    <s v="ChillVibes"/>
  </r>
  <r>
    <s v="SP222"/>
    <s v="Twitter"/>
    <d v="2025-06-21T00:00:00"/>
    <s v="Text"/>
    <s v="Explore the latest podcasts now."/>
    <n v="3611"/>
    <n v="127"/>
    <n v="139"/>
    <n v="44768"/>
    <n v="29435"/>
    <n v="178"/>
    <x v="1"/>
    <s v="ChillVibes"/>
  </r>
  <r>
    <s v="SP223"/>
    <s v="Twitter"/>
    <d v="2024-06-19T00:00:00"/>
    <s v="Text"/>
    <s v="Whatâ€™s your vibe today? #SpotifyHits"/>
    <n v="1224"/>
    <n v="168"/>
    <n v="199"/>
    <n v="54232"/>
    <n v="52844"/>
    <n v="271"/>
    <x v="0"/>
    <s v="IndieWave"/>
  </r>
  <r>
    <s v="SP224"/>
    <s v="Twitter"/>
    <d v="2024-12-10T00:00:00"/>
    <s v="Text"/>
    <s v="From pop to podcasts, itâ€™s all here."/>
    <n v="4673"/>
    <n v="270"/>
    <n v="93"/>
    <n v="45260"/>
    <n v="57513"/>
    <n v="103"/>
    <x v="1"/>
    <s v="ChillVibes"/>
  </r>
  <r>
    <s v="SP225"/>
    <s v="YouTube"/>
    <d v="2024-02-01T00:00:00"/>
    <s v="Text"/>
    <s v="Wrapped is here! Relive your top tracks ðŸŽ§"/>
    <n v="1432"/>
    <n v="437"/>
    <n v="267"/>
    <n v="40634"/>
    <n v="54511"/>
    <n v="197"/>
    <x v="2"/>
    <s v="IndieWave"/>
  </r>
  <r>
    <s v="SP225"/>
    <s v="YouTube"/>
    <d v="2024-02-01T00:00:00"/>
    <s v="Text"/>
    <s v="Wrapped is here! Relive your top tracks ðŸŽ§"/>
    <n v="1432"/>
    <n v="437"/>
    <n v="267"/>
    <n v="40634"/>
    <n v="54511"/>
    <n v="197"/>
    <x v="4"/>
    <s v="IndieWave"/>
  </r>
  <r>
    <s v="SP226"/>
    <s v="Twitter"/>
    <d v="2024-01-17T00:00:00"/>
    <s v="Story"/>
    <s v="New music just dropped. Hit play!"/>
    <n v="2174"/>
    <n v="499"/>
    <n v="212"/>
    <n v="54938"/>
    <n v="27190"/>
    <n v="265"/>
    <x v="3"/>
    <s v="ChillVibes"/>
  </r>
  <r>
    <s v="SP226"/>
    <s v="Twitter"/>
    <d v="2024-01-17T00:00:00"/>
    <s v="Story"/>
    <s v="New music just dropped. Hit play!"/>
    <n v="2174"/>
    <n v="499"/>
    <n v="212"/>
    <n v="54938"/>
    <n v="27190"/>
    <n v="265"/>
    <x v="1"/>
    <s v="ChillVibes"/>
  </r>
  <r>
    <s v="SP227"/>
    <s v="YouTube"/>
    <d v="2025-03-22T00:00:00"/>
    <s v="Text"/>
    <s v="Music that moves youâ€”only on Spotify."/>
    <n v="4308"/>
    <n v="171"/>
    <n v="106"/>
    <n v="36955"/>
    <n v="23949"/>
    <n v="294"/>
    <x v="2"/>
    <s v="IndieWave"/>
  </r>
  <r>
    <s v="SP227"/>
    <s v="YouTube"/>
    <d v="2025-03-22T00:00:00"/>
    <s v="Text"/>
    <s v="Music that moves youâ€”only on Spotify."/>
    <n v="4308"/>
    <n v="171"/>
    <n v="106"/>
    <n v="36955"/>
    <n v="23949"/>
    <n v="294"/>
    <x v="4"/>
    <s v="IndieWave"/>
  </r>
  <r>
    <s v="SP228"/>
    <s v="YouTube"/>
    <d v="2024-05-30T00:00:00"/>
    <s v="Reel"/>
    <s v="Whatâ€™s your vibe today? #SpotifyHits"/>
    <n v="1060"/>
    <n v="442"/>
    <n v="319"/>
    <n v="57194"/>
    <n v="24258"/>
    <n v="101"/>
    <x v="2"/>
    <s v="SummerBeats"/>
  </r>
  <r>
    <s v="SP228"/>
    <s v="YouTube"/>
    <d v="2024-05-30T00:00:00"/>
    <s v="Reel"/>
    <s v="Whatâ€™s your vibe today? #SpotifyHits"/>
    <n v="1060"/>
    <n v="442"/>
    <n v="319"/>
    <n v="57194"/>
    <n v="24258"/>
    <n v="101"/>
    <x v="0"/>
    <s v="SummerBeats"/>
  </r>
  <r>
    <s v="SP229"/>
    <s v="YouTube"/>
    <d v="2024-02-24T00:00:00"/>
    <s v="Text"/>
    <s v="Music that moves youâ€”only on Spotify."/>
    <n v="4653"/>
    <n v="226"/>
    <n v="349"/>
    <n v="56876"/>
    <n v="28452"/>
    <n v="257"/>
    <x v="2"/>
    <s v="IndieWave"/>
  </r>
  <r>
    <s v="SP229"/>
    <s v="YouTube"/>
    <d v="2024-02-24T00:00:00"/>
    <s v="Text"/>
    <s v="Music that moves youâ€”only on Spotify."/>
    <n v="4653"/>
    <n v="226"/>
    <n v="349"/>
    <n v="56876"/>
    <n v="28452"/>
    <n v="257"/>
    <x v="4"/>
    <s v="IndieWave"/>
  </r>
  <r>
    <s v="SP230"/>
    <s v="YouTube"/>
    <d v="2025-05-14T00:00:00"/>
    <s v="Text"/>
    <s v="Discover fresh beats on Spotify!"/>
    <n v="1701"/>
    <n v="272"/>
    <n v="385"/>
    <n v="47496"/>
    <n v="40832"/>
    <n v="246"/>
    <x v="2"/>
    <s v="IndieWave"/>
  </r>
  <r>
    <s v="SP230"/>
    <s v="YouTube"/>
    <d v="2025-05-14T00:00:00"/>
    <s v="Text"/>
    <s v="Discover fresh beats on Spotify!"/>
    <n v="1701"/>
    <n v="272"/>
    <n v="385"/>
    <n v="47496"/>
    <n v="40832"/>
    <n v="246"/>
    <x v="4"/>
    <s v="IndieWave"/>
  </r>
  <r>
    <s v="SP231"/>
    <s v="Instagram"/>
    <d v="2024-03-28T00:00:00"/>
    <s v="Text"/>
    <s v="Whatâ€™s your vibe today? #SpotifyHits"/>
    <n v="1673"/>
    <n v="280"/>
    <n v="67"/>
    <n v="29847"/>
    <n v="48016"/>
    <n v="213"/>
    <x v="0"/>
    <s v="ChillVibes"/>
  </r>
  <r>
    <s v="SP231"/>
    <s v="Instagram"/>
    <d v="2024-03-28T00:00:00"/>
    <s v="Text"/>
    <s v="Whatâ€™s your vibe today? #SpotifyHits"/>
    <n v="1673"/>
    <n v="280"/>
    <n v="67"/>
    <n v="29847"/>
    <n v="48016"/>
    <n v="213"/>
    <x v="1"/>
    <s v="ChillVibes"/>
  </r>
  <r>
    <s v="SP232"/>
    <s v="YouTube"/>
    <d v="2025-03-07T00:00:00"/>
    <s v="Text"/>
    <s v="Top trending tracks updated daily!"/>
    <n v="4310"/>
    <n v="284"/>
    <n v="306"/>
    <n v="44606"/>
    <n v="42604"/>
    <n v="290"/>
    <x v="2"/>
    <s v="IndieWave"/>
  </r>
  <r>
    <s v="SP232"/>
    <s v="YouTube"/>
    <d v="2025-03-07T00:00:00"/>
    <s v="Text"/>
    <s v="Top trending tracks updated daily!"/>
    <n v="4310"/>
    <n v="284"/>
    <n v="306"/>
    <n v="44606"/>
    <n v="42604"/>
    <n v="290"/>
    <x v="4"/>
    <s v="IndieWave"/>
  </r>
  <r>
    <s v="SP233"/>
    <s v="Twitter"/>
    <d v="2024-10-20T00:00:00"/>
    <s v="Text"/>
    <s v="From pop to podcasts, itâ€™s all here."/>
    <n v="2752"/>
    <n v="309"/>
    <n v="91"/>
    <n v="39038"/>
    <n v="28095"/>
    <n v="277"/>
    <x v="1"/>
    <s v="ChillVibes"/>
  </r>
  <r>
    <s v="SP234"/>
    <s v="Twitter"/>
    <d v="2024-02-02T00:00:00"/>
    <s v="Text"/>
    <s v="From pop to podcasts, itâ€™s all here."/>
    <n v="3818"/>
    <n v="115"/>
    <n v="286"/>
    <n v="25127"/>
    <n v="22277"/>
    <n v="263"/>
    <x v="1"/>
    <s v="ChillVibes"/>
  </r>
  <r>
    <s v="SP235"/>
    <s v="YouTube"/>
    <d v="2024-09-07T00:00:00"/>
    <s v="Text"/>
    <s v="Your weekend playlist is waiting."/>
    <n v="2101"/>
    <n v="411"/>
    <n v="190"/>
    <n v="41791"/>
    <n v="57090"/>
    <n v="172"/>
    <x v="2"/>
    <s v="IndieWave"/>
  </r>
  <r>
    <s v="SP235"/>
    <s v="YouTube"/>
    <d v="2024-09-07T00:00:00"/>
    <s v="Text"/>
    <s v="Your weekend playlist is waiting."/>
    <n v="2101"/>
    <n v="411"/>
    <n v="190"/>
    <n v="41791"/>
    <n v="57090"/>
    <n v="172"/>
    <x v="4"/>
    <s v="IndieWave"/>
  </r>
  <r>
    <s v="SP236"/>
    <s v="Instagram"/>
    <d v="2024-12-20T00:00:00"/>
    <s v="Text"/>
    <s v="Discover fresh beats on Spotify!"/>
    <n v="2519"/>
    <n v="202"/>
    <n v="239"/>
    <n v="36245"/>
    <n v="48606"/>
    <n v="145"/>
    <x v="2"/>
    <s v="IndieWave"/>
  </r>
  <r>
    <s v="SP237"/>
    <s v="YouTube"/>
    <d v="2024-01-14T00:00:00"/>
    <s v="Text"/>
    <s v="Whatâ€™s your vibe today? #SpotifyHits"/>
    <n v="4502"/>
    <n v="238"/>
    <n v="386"/>
    <n v="39198"/>
    <n v="25050"/>
    <n v="297"/>
    <x v="2"/>
    <s v="IndieWave"/>
  </r>
  <r>
    <s v="SP237"/>
    <s v="YouTube"/>
    <d v="2024-01-14T00:00:00"/>
    <s v="Text"/>
    <s v="Whatâ€™s your vibe today? #SpotifyHits"/>
    <n v="4502"/>
    <n v="238"/>
    <n v="386"/>
    <n v="39198"/>
    <n v="25050"/>
    <n v="297"/>
    <x v="4"/>
    <s v="IndieWave"/>
  </r>
  <r>
    <s v="SP238"/>
    <s v="Instagram"/>
    <d v="2025-06-15T00:00:00"/>
    <s v="Text"/>
    <s v="Explore the latest podcasts now."/>
    <n v="2478"/>
    <n v="427"/>
    <n v="242"/>
    <n v="59272"/>
    <n v="37833"/>
    <n v="214"/>
    <x v="0"/>
    <s v="ChillVibes"/>
  </r>
  <r>
    <s v="SP238"/>
    <s v="Instagram"/>
    <d v="2025-06-15T00:00:00"/>
    <s v="Text"/>
    <s v="Explore the latest podcasts now."/>
    <n v="2478"/>
    <n v="427"/>
    <n v="242"/>
    <n v="59272"/>
    <n v="37833"/>
    <n v="214"/>
    <x v="1"/>
    <s v="ChillVibes"/>
  </r>
  <r>
    <s v="SP239"/>
    <s v="Twitter"/>
    <d v="2024-12-13T00:00:00"/>
    <s v="Story"/>
    <s v="New music just dropped. Hit play!"/>
    <n v="4984"/>
    <n v="300"/>
    <n v="338"/>
    <n v="32900"/>
    <n v="31691"/>
    <n v="160"/>
    <x v="3"/>
    <s v="ChillVibes"/>
  </r>
  <r>
    <s v="SP239"/>
    <s v="Twitter"/>
    <d v="2024-12-13T00:00:00"/>
    <s v="Story"/>
    <s v="New music just dropped. Hit play!"/>
    <n v="4984"/>
    <n v="300"/>
    <n v="338"/>
    <n v="32900"/>
    <n v="31691"/>
    <n v="160"/>
    <x v="1"/>
    <s v="ChillVibes"/>
  </r>
  <r>
    <s v="SP240"/>
    <s v="YouTube"/>
    <d v="2024-08-29T00:00:00"/>
    <s v="Text"/>
    <s v="Wrapped is here! Relive your top tracks ðŸŽ§"/>
    <n v="4774"/>
    <n v="389"/>
    <n v="358"/>
    <n v="52346"/>
    <n v="30518"/>
    <n v="277"/>
    <x v="2"/>
    <s v="IndieWave"/>
  </r>
  <r>
    <s v="SP240"/>
    <s v="YouTube"/>
    <d v="2024-08-29T00:00:00"/>
    <s v="Text"/>
    <s v="Wrapped is here! Relive your top tracks ðŸŽ§"/>
    <n v="4774"/>
    <n v="389"/>
    <n v="358"/>
    <n v="52346"/>
    <n v="30518"/>
    <n v="277"/>
    <x v="4"/>
    <s v="IndieWave"/>
  </r>
  <r>
    <s v="SP241"/>
    <s v="Twitter"/>
    <d v="2024-09-15T00:00:00"/>
    <s v="Text"/>
    <s v="Get into the groove with our new drop!"/>
    <n v="2145"/>
    <n v="340"/>
    <n v="85"/>
    <n v="53323"/>
    <n v="49938"/>
    <n v="104"/>
    <x v="1"/>
    <s v="ChillVibes"/>
  </r>
  <r>
    <s v="SP242"/>
    <s v="Twitter"/>
    <d v="2025-04-12T00:00:00"/>
    <s v="Story"/>
    <s v="From pop to podcasts, itâ€™s all here."/>
    <n v="4315"/>
    <n v="208"/>
    <n v="273"/>
    <n v="35780"/>
    <n v="44349"/>
    <n v="133"/>
    <x v="2"/>
    <s v="ChillVibes"/>
  </r>
  <r>
    <s v="SP242"/>
    <s v="Twitter"/>
    <d v="2025-04-12T00:00:00"/>
    <s v="Story"/>
    <s v="From pop to podcasts, itâ€™s all here."/>
    <n v="4315"/>
    <n v="208"/>
    <n v="273"/>
    <n v="35780"/>
    <n v="44349"/>
    <n v="133"/>
    <x v="3"/>
    <s v="ChillVibes"/>
  </r>
  <r>
    <s v="SP243"/>
    <s v="Twitter"/>
    <d v="2024-12-10T00:00:00"/>
    <s v="Story"/>
    <s v="Wrapped is here! Relive your top tracks ðŸŽ§"/>
    <n v="2267"/>
    <n v="230"/>
    <n v="243"/>
    <n v="27904"/>
    <n v="69771"/>
    <n v="255"/>
    <x v="2"/>
    <s v="ChillVibes"/>
  </r>
  <r>
    <s v="SP243"/>
    <s v="Twitter"/>
    <d v="2024-12-10T00:00:00"/>
    <s v="Story"/>
    <s v="Wrapped is here! Relive your top tracks ðŸŽ§"/>
    <n v="2267"/>
    <n v="230"/>
    <n v="243"/>
    <n v="27904"/>
    <n v="69771"/>
    <n v="255"/>
    <x v="3"/>
    <s v="ChillVibes"/>
  </r>
  <r>
    <s v="SP244"/>
    <s v="YouTube"/>
    <d v="2025-06-08T00:00:00"/>
    <s v="Text"/>
    <s v="Music that moves youâ€”only on Spotify."/>
    <n v="4375"/>
    <n v="303"/>
    <n v="294"/>
    <n v="57468"/>
    <n v="53397"/>
    <n v="159"/>
    <x v="2"/>
    <s v="IndieWave"/>
  </r>
  <r>
    <s v="SP244"/>
    <s v="YouTube"/>
    <d v="2025-06-08T00:00:00"/>
    <s v="Text"/>
    <s v="Music that moves youâ€”only on Spotify."/>
    <n v="4375"/>
    <n v="303"/>
    <n v="294"/>
    <n v="57468"/>
    <n v="53397"/>
    <n v="159"/>
    <x v="4"/>
    <s v="IndieWave"/>
  </r>
  <r>
    <s v="SP245"/>
    <s v="Twitter"/>
    <d v="2025-01-09T00:00:00"/>
    <s v="Story"/>
    <s v="Your weekend playlist is waiting."/>
    <n v="3817"/>
    <n v="284"/>
    <n v="204"/>
    <n v="46434"/>
    <n v="53396"/>
    <n v="104"/>
    <x v="3"/>
    <s v="ChillVibes"/>
  </r>
  <r>
    <s v="SP245"/>
    <s v="Twitter"/>
    <d v="2025-01-09T00:00:00"/>
    <s v="Story"/>
    <s v="Your weekend playlist is waiting."/>
    <n v="3817"/>
    <n v="284"/>
    <n v="204"/>
    <n v="46434"/>
    <n v="53396"/>
    <n v="104"/>
    <x v="1"/>
    <s v="ChillVibes"/>
  </r>
  <r>
    <s v="SP246"/>
    <s v="Twitter"/>
    <d v="2024-07-08T00:00:00"/>
    <s v="Story"/>
    <s v="Top trending tracks updated daily!"/>
    <n v="2981"/>
    <n v="258"/>
    <n v="168"/>
    <n v="20677"/>
    <n v="68290"/>
    <n v="130"/>
    <x v="0"/>
    <s v="ChillVibes"/>
  </r>
  <r>
    <s v="SP246"/>
    <s v="Twitter"/>
    <d v="2024-07-08T00:00:00"/>
    <s v="Story"/>
    <s v="Top trending tracks updated daily!"/>
    <n v="2981"/>
    <n v="258"/>
    <n v="168"/>
    <n v="20677"/>
    <n v="68290"/>
    <n v="130"/>
    <x v="1"/>
    <s v="ChillVibes"/>
  </r>
  <r>
    <s v="SP247"/>
    <s v="Twitter"/>
    <d v="2024-09-16T00:00:00"/>
    <s v="Story"/>
    <s v="Your weekend playlist is waiting."/>
    <n v="3300"/>
    <n v="354"/>
    <n v="397"/>
    <n v="56773"/>
    <n v="72110"/>
    <n v="163"/>
    <x v="2"/>
    <s v="ChillVibes"/>
  </r>
  <r>
    <s v="SP247"/>
    <s v="Twitter"/>
    <d v="2024-09-16T00:00:00"/>
    <s v="Story"/>
    <s v="Your weekend playlist is waiting."/>
    <n v="3300"/>
    <n v="354"/>
    <n v="397"/>
    <n v="56773"/>
    <n v="72110"/>
    <n v="163"/>
    <x v="3"/>
    <s v="ChillVibes"/>
  </r>
  <r>
    <s v="SP248"/>
    <s v="YouTube"/>
    <d v="2024-06-14T00:00:00"/>
    <s v="Reel"/>
    <s v="Wrapped is here! Relive your top tracks ðŸŽ§"/>
    <n v="4722"/>
    <n v="310"/>
    <n v="344"/>
    <n v="27911"/>
    <n v="19000"/>
    <n v="225"/>
    <x v="2"/>
    <s v="SummerBeats"/>
  </r>
  <r>
    <s v="SP248"/>
    <s v="YouTube"/>
    <d v="2024-06-14T00:00:00"/>
    <s v="Reel"/>
    <s v="Wrapped is here! Relive your top tracks ðŸŽ§"/>
    <n v="4722"/>
    <n v="310"/>
    <n v="344"/>
    <n v="27911"/>
    <n v="19000"/>
    <n v="225"/>
    <x v="0"/>
    <s v="SummerBeats"/>
  </r>
  <r>
    <s v="SP249"/>
    <s v="Instagram"/>
    <d v="2024-03-06T00:00:00"/>
    <s v="Text"/>
    <s v="Whatâ€™s your vibe today? #SpotifyHits"/>
    <n v="3529"/>
    <n v="263"/>
    <n v="107"/>
    <n v="26570"/>
    <n v="19367"/>
    <n v="96"/>
    <x v="2"/>
    <s v="IndieWave"/>
  </r>
  <r>
    <s v="SP250"/>
    <s v="Twitter"/>
    <d v="2025-05-15T00:00:00"/>
    <s v="Text"/>
    <s v="Your weekend playlist is waiting."/>
    <n v="4782"/>
    <n v="210"/>
    <n v="311"/>
    <n v="29793"/>
    <n v="37543"/>
    <n v="145"/>
    <x v="1"/>
    <s v="ChillVibes"/>
  </r>
  <r>
    <s v="SP251"/>
    <s v="Twitter"/>
    <d v="2024-07-07T00:00:00"/>
    <s v="Text"/>
    <s v="Whatâ€™s your vibe today? #SpotifyHits"/>
    <n v="1848"/>
    <n v="417"/>
    <n v="294"/>
    <n v="57819"/>
    <n v="19798"/>
    <n v="262"/>
    <x v="0"/>
    <s v="IndieWave"/>
  </r>
  <r>
    <s v="SP252"/>
    <s v="YouTube"/>
    <d v="2024-10-26T00:00:00"/>
    <s v="Text"/>
    <s v="New music just dropped. Hit play!"/>
    <n v="4676"/>
    <n v="211"/>
    <n v="55"/>
    <n v="45917"/>
    <n v="73503"/>
    <n v="248"/>
    <x v="2"/>
    <s v="IndieWave"/>
  </r>
  <r>
    <s v="SP252"/>
    <s v="YouTube"/>
    <d v="2024-10-26T00:00:00"/>
    <s v="Text"/>
    <s v="New music just dropped. Hit play!"/>
    <n v="4676"/>
    <n v="211"/>
    <n v="55"/>
    <n v="45917"/>
    <n v="73503"/>
    <n v="248"/>
    <x v="4"/>
    <s v="IndieWave"/>
  </r>
  <r>
    <s v="SP253"/>
    <s v="YouTube"/>
    <d v="2024-08-08T00:00:00"/>
    <s v="Text"/>
    <s v="From pop to podcasts, itâ€™s all here."/>
    <n v="1994"/>
    <n v="197"/>
    <n v="290"/>
    <n v="49500"/>
    <n v="23343"/>
    <n v="160"/>
    <x v="2"/>
    <s v="IndieWave"/>
  </r>
  <r>
    <s v="SP253"/>
    <s v="YouTube"/>
    <d v="2024-08-08T00:00:00"/>
    <s v="Text"/>
    <s v="From pop to podcasts, itâ€™s all here."/>
    <n v="1994"/>
    <n v="197"/>
    <n v="290"/>
    <n v="49500"/>
    <n v="23343"/>
    <n v="160"/>
    <x v="4"/>
    <s v="IndieWave"/>
  </r>
  <r>
    <s v="SP254"/>
    <s v="Twitter"/>
    <d v="2025-02-03T00:00:00"/>
    <s v="Text"/>
    <s v="Whatâ€™s your vibe today? #SpotifyHits"/>
    <n v="4995"/>
    <n v="231"/>
    <n v="94"/>
    <n v="34431"/>
    <n v="32560"/>
    <n v="262"/>
    <x v="1"/>
    <s v="ChillVibes"/>
  </r>
  <r>
    <s v="SP255"/>
    <s v="Twitter"/>
    <d v="2024-04-03T00:00:00"/>
    <s v="Story"/>
    <s v="Top trending tracks updated daily!"/>
    <n v="2291"/>
    <n v="146"/>
    <n v="399"/>
    <n v="49319"/>
    <n v="28056"/>
    <n v="90"/>
    <x v="2"/>
    <s v="ChillVibes"/>
  </r>
  <r>
    <s v="SP255"/>
    <s v="Twitter"/>
    <d v="2024-04-03T00:00:00"/>
    <s v="Story"/>
    <s v="Top trending tracks updated daily!"/>
    <n v="2291"/>
    <n v="146"/>
    <n v="399"/>
    <n v="49319"/>
    <n v="28056"/>
    <n v="90"/>
    <x v="3"/>
    <s v="ChillVibes"/>
  </r>
  <r>
    <s v="SP256"/>
    <s v="Twitter"/>
    <d v="2024-07-08T00:00:00"/>
    <s v="Story"/>
    <s v="Wrapped is here! Relive your top tracks ðŸŽ§"/>
    <n v="2304"/>
    <n v="289"/>
    <n v="161"/>
    <n v="52645"/>
    <n v="66262"/>
    <n v="146"/>
    <x v="3"/>
    <s v="ChillVibes"/>
  </r>
  <r>
    <s v="SP256"/>
    <s v="Twitter"/>
    <d v="2024-07-08T00:00:00"/>
    <s v="Story"/>
    <s v="Wrapped is here! Relive your top tracks ðŸŽ§"/>
    <n v="2304"/>
    <n v="289"/>
    <n v="161"/>
    <n v="52645"/>
    <n v="66262"/>
    <n v="146"/>
    <x v="1"/>
    <s v="ChillVibes"/>
  </r>
  <r>
    <s v="SP257"/>
    <s v="Twitter"/>
    <d v="2024-06-08T00:00:00"/>
    <s v="Story"/>
    <s v="Top trending tracks updated daily!"/>
    <n v="3413"/>
    <n v="326"/>
    <n v="86"/>
    <n v="44680"/>
    <n v="52719"/>
    <n v="272"/>
    <x v="2"/>
    <s v="ChillVibes"/>
  </r>
  <r>
    <s v="SP257"/>
    <s v="Twitter"/>
    <d v="2024-06-08T00:00:00"/>
    <s v="Story"/>
    <s v="Top trending tracks updated daily!"/>
    <n v="3413"/>
    <n v="326"/>
    <n v="86"/>
    <n v="44680"/>
    <n v="52719"/>
    <n v="272"/>
    <x v="3"/>
    <s v="ChillVibes"/>
  </r>
  <r>
    <s v="SP258"/>
    <s v="YouTube"/>
    <d v="2025-03-20T00:00:00"/>
    <s v="Reel"/>
    <s v="From pop to podcasts, itâ€™s all here."/>
    <n v="1453"/>
    <n v="156"/>
    <n v="178"/>
    <n v="52980"/>
    <n v="57180"/>
    <n v="286"/>
    <x v="2"/>
    <s v="SummerBeats"/>
  </r>
  <r>
    <s v="SP258"/>
    <s v="YouTube"/>
    <d v="2025-03-20T00:00:00"/>
    <s v="Reel"/>
    <s v="From pop to podcasts, itâ€™s all here."/>
    <n v="1453"/>
    <n v="156"/>
    <n v="178"/>
    <n v="52980"/>
    <n v="57180"/>
    <n v="286"/>
    <x v="0"/>
    <s v="SummerBeats"/>
  </r>
  <r>
    <s v="SP259"/>
    <s v="Twitter"/>
    <d v="2025-01-19T00:00:00"/>
    <s v="Story"/>
    <s v="Music that moves youâ€”only on Spotify."/>
    <n v="1651"/>
    <n v="480"/>
    <n v="282"/>
    <n v="32140"/>
    <n v="70560"/>
    <n v="138"/>
    <x v="0"/>
    <s v="ChillVibes"/>
  </r>
  <r>
    <s v="SP259"/>
    <s v="Twitter"/>
    <d v="2025-01-19T00:00:00"/>
    <s v="Story"/>
    <s v="Music that moves youâ€”only on Spotify."/>
    <n v="1651"/>
    <n v="480"/>
    <n v="282"/>
    <n v="32140"/>
    <n v="70560"/>
    <n v="138"/>
    <x v="1"/>
    <s v="ChillVibes"/>
  </r>
  <r>
    <s v="SP260"/>
    <s v="Twitter"/>
    <d v="2025-01-05T00:00:00"/>
    <s v="Story"/>
    <s v="Explore the latest podcasts now."/>
    <n v="3341"/>
    <n v="154"/>
    <n v="123"/>
    <n v="43369"/>
    <n v="49035"/>
    <n v="128"/>
    <x v="3"/>
    <s v="ChillVibes"/>
  </r>
  <r>
    <s v="SP260"/>
    <s v="Twitter"/>
    <d v="2025-01-05T00:00:00"/>
    <s v="Story"/>
    <s v="Explore the latest podcasts now."/>
    <n v="3341"/>
    <n v="154"/>
    <n v="123"/>
    <n v="43369"/>
    <n v="49035"/>
    <n v="128"/>
    <x v="1"/>
    <s v="ChillVibes"/>
  </r>
  <r>
    <s v="SP261"/>
    <s v="Twitter"/>
    <d v="2024-11-16T00:00:00"/>
    <s v="Text"/>
    <s v="From pop to podcasts, itâ€™s all here."/>
    <n v="2972"/>
    <n v="263"/>
    <n v="308"/>
    <n v="51740"/>
    <n v="28214"/>
    <n v="190"/>
    <x v="0"/>
    <s v="IndieWave"/>
  </r>
  <r>
    <s v="SP262"/>
    <s v="Twitter"/>
    <d v="2024-11-30T00:00:00"/>
    <s v="Story"/>
    <s v="Explore the latest podcasts now."/>
    <n v="4963"/>
    <n v="255"/>
    <n v="193"/>
    <n v="44386"/>
    <n v="28415"/>
    <n v="174"/>
    <x v="3"/>
    <s v="ChillVibes"/>
  </r>
  <r>
    <s v="SP262"/>
    <s v="Twitter"/>
    <d v="2024-11-30T00:00:00"/>
    <s v="Story"/>
    <s v="Explore the latest podcasts now."/>
    <n v="4963"/>
    <n v="255"/>
    <n v="193"/>
    <n v="44386"/>
    <n v="28415"/>
    <n v="174"/>
    <x v="1"/>
    <s v="ChillVibes"/>
  </r>
  <r>
    <s v="SP263"/>
    <s v="YouTube"/>
    <d v="2024-03-27T00:00:00"/>
    <s v="Text"/>
    <s v="Music that moves youâ€”only on Spotify."/>
    <n v="2399"/>
    <n v="191"/>
    <n v="221"/>
    <n v="51603"/>
    <n v="40033"/>
    <n v="173"/>
    <x v="2"/>
    <s v="IndieWave"/>
  </r>
  <r>
    <s v="SP263"/>
    <s v="YouTube"/>
    <d v="2024-03-27T00:00:00"/>
    <s v="Text"/>
    <s v="Music that moves youâ€”only on Spotify."/>
    <n v="2399"/>
    <n v="191"/>
    <n v="221"/>
    <n v="51603"/>
    <n v="40033"/>
    <n v="173"/>
    <x v="4"/>
    <s v="IndieWave"/>
  </r>
  <r>
    <s v="SP264"/>
    <s v="YouTube"/>
    <d v="2025-05-31T00:00:00"/>
    <s v="Reel"/>
    <s v="Get into the groove with our new drop!"/>
    <n v="2162"/>
    <n v="318"/>
    <n v="83"/>
    <n v="46719"/>
    <n v="20482"/>
    <n v="185"/>
    <x v="2"/>
    <s v="SummerBeats"/>
  </r>
  <r>
    <s v="SP264"/>
    <s v="YouTube"/>
    <d v="2025-05-31T00:00:00"/>
    <s v="Reel"/>
    <s v="Get into the groove with our new drop!"/>
    <n v="2162"/>
    <n v="318"/>
    <n v="83"/>
    <n v="46719"/>
    <n v="20482"/>
    <n v="185"/>
    <x v="0"/>
    <s v="SummerBeats"/>
  </r>
  <r>
    <s v="SP265"/>
    <s v="Twitter"/>
    <d v="2025-06-17T00:00:00"/>
    <s v="Story"/>
    <s v="Explore the latest podcasts now."/>
    <n v="4341"/>
    <n v="141"/>
    <n v="63"/>
    <n v="50081"/>
    <n v="27507"/>
    <n v="221"/>
    <x v="2"/>
    <s v="ChillVibes"/>
  </r>
  <r>
    <s v="SP265"/>
    <s v="Twitter"/>
    <d v="2025-06-17T00:00:00"/>
    <s v="Story"/>
    <s v="Explore the latest podcasts now."/>
    <n v="4341"/>
    <n v="141"/>
    <n v="63"/>
    <n v="50081"/>
    <n v="27507"/>
    <n v="221"/>
    <x v="3"/>
    <s v="ChillVibes"/>
  </r>
  <r>
    <s v="SP266"/>
    <s v="Instagram"/>
    <d v="2024-05-30T00:00:00"/>
    <s v="Story"/>
    <s v="Get into the groove with our new drop!"/>
    <n v="2448"/>
    <n v="464"/>
    <n v="98"/>
    <n v="25737"/>
    <n v="48545"/>
    <n v="246"/>
    <x v="1"/>
    <s v="Wrapped2024"/>
  </r>
  <r>
    <s v="SP267"/>
    <s v="YouTube"/>
    <d v="2024-11-08T00:00:00"/>
    <s v="Text"/>
    <s v="Top trending tracks updated daily!"/>
    <n v="2471"/>
    <n v="166"/>
    <n v="320"/>
    <n v="48254"/>
    <n v="46900"/>
    <n v="111"/>
    <x v="2"/>
    <s v="IndieWave"/>
  </r>
  <r>
    <s v="SP267"/>
    <s v="YouTube"/>
    <d v="2024-11-08T00:00:00"/>
    <s v="Text"/>
    <s v="Top trending tracks updated daily!"/>
    <n v="2471"/>
    <n v="166"/>
    <n v="320"/>
    <n v="48254"/>
    <n v="46900"/>
    <n v="111"/>
    <x v="4"/>
    <s v="IndieWave"/>
  </r>
  <r>
    <s v="SP268"/>
    <s v="YouTube"/>
    <d v="2024-03-17T00:00:00"/>
    <s v="Reel"/>
    <s v="Explore the latest podcasts now."/>
    <n v="2692"/>
    <n v="446"/>
    <n v="216"/>
    <n v="45818"/>
    <n v="62723"/>
    <n v="85"/>
    <x v="2"/>
    <s v="SummerBeats"/>
  </r>
  <r>
    <s v="SP268"/>
    <s v="YouTube"/>
    <d v="2024-03-17T00:00:00"/>
    <s v="Reel"/>
    <s v="Explore the latest podcasts now."/>
    <n v="2692"/>
    <n v="446"/>
    <n v="216"/>
    <n v="45818"/>
    <n v="62723"/>
    <n v="85"/>
    <x v="0"/>
    <s v="SummerBeats"/>
  </r>
  <r>
    <s v="SP269"/>
    <s v="YouTube"/>
    <d v="2024-06-21T00:00:00"/>
    <s v="Reel"/>
    <s v="Music that moves youâ€”only on Spotify."/>
    <n v="4621"/>
    <n v="374"/>
    <n v="298"/>
    <n v="56979"/>
    <n v="24098"/>
    <n v="205"/>
    <x v="2"/>
    <s v="SummerBeats"/>
  </r>
  <r>
    <s v="SP269"/>
    <s v="YouTube"/>
    <d v="2024-06-21T00:00:00"/>
    <s v="Reel"/>
    <s v="Music that moves youâ€”only on Spotify."/>
    <n v="4621"/>
    <n v="374"/>
    <n v="298"/>
    <n v="56979"/>
    <n v="24098"/>
    <n v="205"/>
    <x v="0"/>
    <s v="SummerBeats"/>
  </r>
  <r>
    <s v="SP270"/>
    <s v="Twitter"/>
    <d v="2024-11-13T00:00:00"/>
    <s v="Story"/>
    <s v="New music just dropped. Hit play!"/>
    <n v="1409"/>
    <n v="466"/>
    <n v="105"/>
    <n v="58923"/>
    <n v="38753"/>
    <n v="265"/>
    <x v="2"/>
    <s v="ChillVibes"/>
  </r>
  <r>
    <s v="SP270"/>
    <s v="Twitter"/>
    <d v="2024-11-13T00:00:00"/>
    <s v="Story"/>
    <s v="New music just dropped. Hit play!"/>
    <n v="1409"/>
    <n v="466"/>
    <n v="105"/>
    <n v="58923"/>
    <n v="38753"/>
    <n v="265"/>
    <x v="3"/>
    <s v="ChillVibes"/>
  </r>
  <r>
    <s v="SP271"/>
    <s v="Twitter"/>
    <d v="2025-02-05T00:00:00"/>
    <s v="Story"/>
    <s v="Discover fresh beats on Spotify!"/>
    <n v="3029"/>
    <n v="440"/>
    <n v="66"/>
    <n v="23815"/>
    <n v="47895"/>
    <n v="210"/>
    <x v="2"/>
    <s v="ChillVibes"/>
  </r>
  <r>
    <s v="SP271"/>
    <s v="Twitter"/>
    <d v="2025-02-05T00:00:00"/>
    <s v="Story"/>
    <s v="Discover fresh beats on Spotify!"/>
    <n v="3029"/>
    <n v="440"/>
    <n v="66"/>
    <n v="23815"/>
    <n v="47895"/>
    <n v="210"/>
    <x v="3"/>
    <s v="ChillVibes"/>
  </r>
  <r>
    <s v="SP272"/>
    <s v="Twitter"/>
    <d v="2024-11-07T00:00:00"/>
    <s v="Text"/>
    <s v="Explore the latest podcasts now."/>
    <n v="2229"/>
    <n v="395"/>
    <n v="328"/>
    <n v="56921"/>
    <n v="37176"/>
    <n v="126"/>
    <x v="0"/>
    <s v="IndieWave"/>
  </r>
  <r>
    <s v="SP273"/>
    <s v="Twitter"/>
    <d v="2024-02-12T00:00:00"/>
    <s v="Text"/>
    <s v="Explore the latest podcasts now."/>
    <n v="2691"/>
    <n v="486"/>
    <n v="206"/>
    <n v="51133"/>
    <n v="44583"/>
    <n v="276"/>
    <x v="1"/>
    <s v="ChillVibes"/>
  </r>
  <r>
    <s v="SP274"/>
    <s v="Instagram"/>
    <d v="2024-10-08T00:00:00"/>
    <s v="Text"/>
    <s v="Explore the latest podcasts now."/>
    <n v="2110"/>
    <n v="384"/>
    <n v="236"/>
    <n v="49965"/>
    <n v="61555"/>
    <n v="195"/>
    <x v="2"/>
    <s v="IndieWave"/>
  </r>
  <r>
    <s v="SP275"/>
    <s v="Instagram"/>
    <d v="2024-02-19T00:00:00"/>
    <s v="Text"/>
    <s v="Wrapped is here! Relive your top tracks ðŸŽ§"/>
    <n v="4752"/>
    <n v="449"/>
    <n v="309"/>
    <n v="58530"/>
    <n v="26630"/>
    <n v="234"/>
    <x v="2"/>
    <s v="IndieWave"/>
  </r>
  <r>
    <s v="SP276"/>
    <s v="Twitter"/>
    <d v="2025-03-04T00:00:00"/>
    <s v="Text"/>
    <s v="Discover fresh beats on Spotify!"/>
    <n v="2177"/>
    <n v="258"/>
    <n v="292"/>
    <n v="47276"/>
    <n v="51324"/>
    <n v="143"/>
    <x v="1"/>
    <s v="ChillVibes"/>
  </r>
  <r>
    <s v="SP277"/>
    <s v="Instagram"/>
    <d v="2025-02-03T00:00:00"/>
    <s v="Story"/>
    <s v="New music just dropped. Hit play!"/>
    <n v="1205"/>
    <n v="486"/>
    <n v="269"/>
    <n v="23341"/>
    <n v="42411"/>
    <n v="184"/>
    <x v="1"/>
    <s v="Wrapped2024"/>
  </r>
  <r>
    <s v="SP278"/>
    <s v="Instagram"/>
    <d v="2024-12-02T00:00:00"/>
    <s v="Text"/>
    <s v="Top trending tracks updated daily!"/>
    <n v="3194"/>
    <n v="292"/>
    <n v="245"/>
    <n v="56371"/>
    <n v="65597"/>
    <n v="163"/>
    <x v="0"/>
    <s v="ChillVibes"/>
  </r>
  <r>
    <s v="SP278"/>
    <s v="Instagram"/>
    <d v="2024-12-02T00:00:00"/>
    <s v="Text"/>
    <s v="Top trending tracks updated daily!"/>
    <n v="3194"/>
    <n v="292"/>
    <n v="245"/>
    <n v="56371"/>
    <n v="65597"/>
    <n v="163"/>
    <x v="1"/>
    <s v="ChillVibes"/>
  </r>
  <r>
    <s v="SP279"/>
    <s v="Twitter"/>
    <d v="2025-01-19T00:00:00"/>
    <s v="Story"/>
    <s v="New music just dropped. Hit play!"/>
    <n v="3507"/>
    <n v="295"/>
    <n v="371"/>
    <n v="20410"/>
    <n v="53965"/>
    <n v="212"/>
    <x v="0"/>
    <s v="ChillVibes"/>
  </r>
  <r>
    <s v="SP279"/>
    <s v="Twitter"/>
    <d v="2025-01-19T00:00:00"/>
    <s v="Story"/>
    <s v="New music just dropped. Hit play!"/>
    <n v="3507"/>
    <n v="295"/>
    <n v="371"/>
    <n v="20410"/>
    <n v="53965"/>
    <n v="212"/>
    <x v="1"/>
    <s v="ChillVibes"/>
  </r>
  <r>
    <s v="SP280"/>
    <s v="Twitter"/>
    <d v="2024-09-28T00:00:00"/>
    <s v="Story"/>
    <s v="Wrapped is here! Relive your top tracks ðŸŽ§"/>
    <n v="4471"/>
    <n v="317"/>
    <n v="249"/>
    <n v="44862"/>
    <n v="33365"/>
    <n v="184"/>
    <x v="2"/>
    <s v="ChillVibes"/>
  </r>
  <r>
    <s v="SP280"/>
    <s v="Twitter"/>
    <d v="2024-09-28T00:00:00"/>
    <s v="Story"/>
    <s v="Wrapped is here! Relive your top tracks ðŸŽ§"/>
    <n v="4471"/>
    <n v="317"/>
    <n v="249"/>
    <n v="44862"/>
    <n v="33365"/>
    <n v="184"/>
    <x v="3"/>
    <s v="ChillVibes"/>
  </r>
  <r>
    <s v="SP281"/>
    <s v="Instagram"/>
    <d v="2024-01-07T00:00:00"/>
    <s v="Text"/>
    <s v="Top trending tracks updated daily!"/>
    <n v="4931"/>
    <n v="469"/>
    <n v="193"/>
    <n v="56701"/>
    <n v="69437"/>
    <n v="291"/>
    <x v="0"/>
    <s v="ChillVibes"/>
  </r>
  <r>
    <s v="SP281"/>
    <s v="Instagram"/>
    <d v="2024-01-07T00:00:00"/>
    <s v="Text"/>
    <s v="Top trending tracks updated daily!"/>
    <n v="4931"/>
    <n v="469"/>
    <n v="193"/>
    <n v="56701"/>
    <n v="69437"/>
    <n v="291"/>
    <x v="1"/>
    <s v="ChillVibes"/>
  </r>
  <r>
    <s v="SP282"/>
    <s v="Twitter"/>
    <d v="2024-02-21T00:00:00"/>
    <s v="Story"/>
    <s v="Get into the groove with our new drop!"/>
    <n v="2604"/>
    <n v="439"/>
    <n v="148"/>
    <n v="58468"/>
    <n v="39629"/>
    <n v="163"/>
    <x v="3"/>
    <s v="ChillVibes"/>
  </r>
  <r>
    <s v="SP282"/>
    <s v="Twitter"/>
    <d v="2024-02-21T00:00:00"/>
    <s v="Story"/>
    <s v="Get into the groove with our new drop!"/>
    <n v="2604"/>
    <n v="439"/>
    <n v="148"/>
    <n v="58468"/>
    <n v="39629"/>
    <n v="163"/>
    <x v="1"/>
    <s v="ChillVibes"/>
  </r>
  <r>
    <s v="SP283"/>
    <s v="Instagram"/>
    <d v="2024-08-27T00:00:00"/>
    <s v="Text"/>
    <s v="Music that moves youâ€”only on Spotify."/>
    <n v="4197"/>
    <n v="359"/>
    <n v="280"/>
    <n v="56048"/>
    <n v="70930"/>
    <n v="295"/>
    <x v="2"/>
    <s v="IndieWave"/>
  </r>
  <r>
    <s v="SP284"/>
    <s v="Instagram"/>
    <d v="2024-10-24T00:00:00"/>
    <s v="Story"/>
    <s v="Top trending tracks updated daily!"/>
    <n v="1914"/>
    <n v="255"/>
    <n v="156"/>
    <n v="27660"/>
    <n v="47776"/>
    <n v="111"/>
    <x v="1"/>
    <s v="Wrapped2024"/>
  </r>
  <r>
    <s v="SP285"/>
    <s v="YouTube"/>
    <d v="2025-01-29T00:00:00"/>
    <s v="Text"/>
    <s v="New music just dropped. Hit play!"/>
    <n v="1334"/>
    <n v="357"/>
    <n v="257"/>
    <n v="56910"/>
    <n v="70606"/>
    <n v="228"/>
    <x v="2"/>
    <s v="IndieWave"/>
  </r>
  <r>
    <s v="SP285"/>
    <s v="YouTube"/>
    <d v="2025-01-29T00:00:00"/>
    <s v="Text"/>
    <s v="New music just dropped. Hit play!"/>
    <n v="1334"/>
    <n v="357"/>
    <n v="257"/>
    <n v="56910"/>
    <n v="70606"/>
    <n v="228"/>
    <x v="4"/>
    <s v="IndieWave"/>
  </r>
  <r>
    <s v="SP286"/>
    <s v="Instagram"/>
    <d v="2024-05-01T00:00:00"/>
    <s v="Text"/>
    <s v="Get into the groove with our new drop!"/>
    <n v="3359"/>
    <n v="137"/>
    <n v="387"/>
    <n v="33861"/>
    <n v="47257"/>
    <n v="198"/>
    <x v="2"/>
    <s v="IndieWave"/>
  </r>
  <r>
    <s v="SP287"/>
    <s v="YouTube"/>
    <d v="2024-06-25T00:00:00"/>
    <s v="Text"/>
    <s v="Your weekend playlist is waiting."/>
    <n v="2172"/>
    <n v="338"/>
    <n v="70"/>
    <n v="30515"/>
    <n v="57853"/>
    <n v="156"/>
    <x v="2"/>
    <s v="IndieWave"/>
  </r>
  <r>
    <s v="SP287"/>
    <s v="YouTube"/>
    <d v="2024-06-25T00:00:00"/>
    <s v="Text"/>
    <s v="Your weekend playlist is waiting."/>
    <n v="2172"/>
    <n v="338"/>
    <n v="70"/>
    <n v="30515"/>
    <n v="57853"/>
    <n v="156"/>
    <x v="4"/>
    <s v="IndieWave"/>
  </r>
  <r>
    <s v="SP288"/>
    <s v="Twitter"/>
    <d v="2024-08-09T00:00:00"/>
    <s v="Story"/>
    <s v="From pop to podcasts, itâ€™s all here."/>
    <n v="4877"/>
    <n v="442"/>
    <n v="236"/>
    <n v="52673"/>
    <n v="48241"/>
    <n v="114"/>
    <x v="2"/>
    <s v="ChillVibes"/>
  </r>
  <r>
    <s v="SP288"/>
    <s v="Twitter"/>
    <d v="2024-08-09T00:00:00"/>
    <s v="Story"/>
    <s v="From pop to podcasts, itâ€™s all here."/>
    <n v="4877"/>
    <n v="442"/>
    <n v="236"/>
    <n v="52673"/>
    <n v="48241"/>
    <n v="114"/>
    <x v="3"/>
    <s v="ChillVibes"/>
  </r>
  <r>
    <s v="SP289"/>
    <s v="Instagram"/>
    <d v="2025-01-21T00:00:00"/>
    <s v="Story"/>
    <s v="New music just dropped. Hit play!"/>
    <n v="4918"/>
    <n v="440"/>
    <n v="149"/>
    <n v="53269"/>
    <n v="64370"/>
    <n v="269"/>
    <x v="1"/>
    <s v="Wrapped2024"/>
  </r>
  <r>
    <s v="SP290"/>
    <s v="Twitter"/>
    <d v="2024-08-13T00:00:00"/>
    <s v="Text"/>
    <s v="Explore the latest podcasts now."/>
    <n v="3418"/>
    <n v="107"/>
    <n v="221"/>
    <n v="23927"/>
    <n v="26182"/>
    <n v="155"/>
    <x v="0"/>
    <s v="IndieWave"/>
  </r>
  <r>
    <s v="SP291"/>
    <s v="Instagram"/>
    <d v="2024-06-29T00:00:00"/>
    <s v="Text"/>
    <s v="Your weekend playlist is waiting."/>
    <n v="2088"/>
    <n v="490"/>
    <n v="124"/>
    <n v="46544"/>
    <n v="69346"/>
    <n v="178"/>
    <x v="0"/>
    <s v="ChillVibes"/>
  </r>
  <r>
    <s v="SP291"/>
    <s v="Instagram"/>
    <d v="2024-06-29T00:00:00"/>
    <s v="Text"/>
    <s v="Your weekend playlist is waiting."/>
    <n v="2088"/>
    <n v="490"/>
    <n v="124"/>
    <n v="46544"/>
    <n v="69346"/>
    <n v="178"/>
    <x v="1"/>
    <s v="ChillVibes"/>
  </r>
  <r>
    <s v="SP292"/>
    <s v="Twitter"/>
    <d v="2024-11-03T00:00:00"/>
    <s v="Story"/>
    <s v="Explore the latest podcasts now."/>
    <n v="3061"/>
    <n v="320"/>
    <n v="76"/>
    <n v="26640"/>
    <n v="24306"/>
    <n v="112"/>
    <x v="3"/>
    <s v="ChillVibes"/>
  </r>
  <r>
    <s v="SP292"/>
    <s v="Twitter"/>
    <d v="2024-11-03T00:00:00"/>
    <s v="Story"/>
    <s v="Explore the latest podcasts now."/>
    <n v="3061"/>
    <n v="320"/>
    <n v="76"/>
    <n v="26640"/>
    <n v="24306"/>
    <n v="112"/>
    <x v="1"/>
    <s v="ChillVibes"/>
  </r>
  <r>
    <s v="SP293"/>
    <s v="YouTube"/>
    <d v="2025-04-18T00:00:00"/>
    <s v="Reel"/>
    <s v="Your weekend playlist is waiting."/>
    <n v="1265"/>
    <n v="230"/>
    <n v="364"/>
    <n v="41312"/>
    <n v="50382"/>
    <n v="106"/>
    <x v="2"/>
    <s v="SummerBeats"/>
  </r>
  <r>
    <s v="SP293"/>
    <s v="YouTube"/>
    <d v="2025-04-18T00:00:00"/>
    <s v="Reel"/>
    <s v="Your weekend playlist is waiting."/>
    <n v="1265"/>
    <n v="230"/>
    <n v="364"/>
    <n v="41312"/>
    <n v="50382"/>
    <n v="106"/>
    <x v="0"/>
    <s v="SummerBeats"/>
  </r>
  <r>
    <s v="SP294"/>
    <s v="Instagram"/>
    <d v="2024-12-27T00:00:00"/>
    <s v="Text"/>
    <s v="From pop to podcasts, itâ€™s all here."/>
    <n v="1436"/>
    <n v="219"/>
    <n v="229"/>
    <n v="58488"/>
    <n v="24314"/>
    <n v="147"/>
    <x v="2"/>
    <s v="IndieWave"/>
  </r>
  <r>
    <s v="SP295"/>
    <s v="Instagram"/>
    <d v="2025-03-08T00:00:00"/>
    <s v="Story"/>
    <s v="Top trending tracks updated daily!"/>
    <n v="2244"/>
    <n v="392"/>
    <n v="231"/>
    <n v="25834"/>
    <n v="50906"/>
    <n v="165"/>
    <x v="1"/>
    <s v="Wrapped2024"/>
  </r>
  <r>
    <s v="SP296"/>
    <s v="Twitter"/>
    <d v="2025-03-20T00:00:00"/>
    <s v="Story"/>
    <s v="Your weekend playlist is waiting."/>
    <n v="3393"/>
    <n v="104"/>
    <n v="79"/>
    <n v="30025"/>
    <n v="21593"/>
    <n v="165"/>
    <x v="3"/>
    <s v="ChillVibes"/>
  </r>
  <r>
    <s v="SP296"/>
    <s v="Twitter"/>
    <d v="2025-03-20T00:00:00"/>
    <s v="Story"/>
    <s v="Your weekend playlist is waiting."/>
    <n v="3393"/>
    <n v="104"/>
    <n v="79"/>
    <n v="30025"/>
    <n v="21593"/>
    <n v="165"/>
    <x v="1"/>
    <s v="ChillVibes"/>
  </r>
  <r>
    <s v="SP297"/>
    <s v="Twitter"/>
    <d v="2024-11-16T00:00:00"/>
    <s v="Text"/>
    <s v="Explore the latest podcasts now."/>
    <n v="2901"/>
    <n v="108"/>
    <n v="86"/>
    <n v="51777"/>
    <n v="23773"/>
    <n v="160"/>
    <x v="0"/>
    <s v="IndieWave"/>
  </r>
  <r>
    <s v="SP298"/>
    <s v="Twitter"/>
    <d v="2025-06-30T00:00:00"/>
    <s v="Text"/>
    <s v="Whatâ€™s your vibe today? #SpotifyHits"/>
    <n v="2275"/>
    <n v="285"/>
    <n v="125"/>
    <n v="43970"/>
    <n v="74761"/>
    <n v="83"/>
    <x v="1"/>
    <s v="ChillVibes"/>
  </r>
  <r>
    <s v="SP299"/>
    <s v="Twitter"/>
    <d v="2024-01-12T00:00:00"/>
    <s v="Story"/>
    <s v="Wrapped is here! Relive your top tracks ðŸŽ§"/>
    <n v="2227"/>
    <n v="494"/>
    <n v="161"/>
    <n v="51651"/>
    <n v="68074"/>
    <n v="240"/>
    <x v="2"/>
    <s v="ChillVibes"/>
  </r>
  <r>
    <s v="SP299"/>
    <s v="Twitter"/>
    <d v="2024-01-12T00:00:00"/>
    <s v="Story"/>
    <s v="Wrapped is here! Relive your top tracks ðŸŽ§"/>
    <n v="2227"/>
    <n v="494"/>
    <n v="161"/>
    <n v="51651"/>
    <n v="68074"/>
    <n v="240"/>
    <x v="3"/>
    <s v="ChillVibes"/>
  </r>
  <r>
    <s v="SP300"/>
    <s v="Instagram"/>
    <d v="2024-02-07T00:00:00"/>
    <s v="Text"/>
    <s v="Music that moves youâ€”only on Spotify."/>
    <n v="1883"/>
    <n v="432"/>
    <n v="397"/>
    <n v="28759"/>
    <n v="18691"/>
    <n v="270"/>
    <x v="0"/>
    <s v="ChillVibes"/>
  </r>
  <r>
    <s v="SP300"/>
    <s v="Instagram"/>
    <d v="2024-02-07T00:00:00"/>
    <s v="Text"/>
    <s v="Music that moves youâ€”only on Spotify."/>
    <n v="1883"/>
    <n v="432"/>
    <n v="397"/>
    <n v="28759"/>
    <n v="18691"/>
    <n v="270"/>
    <x v="1"/>
    <s v="ChillVibes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x v="0"/>
    <d v="2025-05-04T00:00:00"/>
    <x v="0"/>
    <s v="Discover fresh beats on Spotify!"/>
    <n v="2414"/>
    <n v="245"/>
    <n v="137"/>
    <n v="21181"/>
    <n v="45292"/>
    <n v="133"/>
    <x v="0"/>
    <s v="ChillVibes"/>
    <x v="0"/>
  </r>
  <r>
    <s v="SP001"/>
    <x v="0"/>
    <d v="2025-05-04T00:00:00"/>
    <x v="0"/>
    <s v="Discover fresh beats on Spotify!"/>
    <n v="2414"/>
    <n v="245"/>
    <n v="137"/>
    <n v="21181"/>
    <n v="45292"/>
    <n v="133"/>
    <x v="1"/>
    <s v="ChillVibes"/>
    <x v="0"/>
  </r>
  <r>
    <s v="SP002"/>
    <x v="0"/>
    <d v="2025-02-01T00:00:00"/>
    <x v="0"/>
    <s v="Explore the latest podcasts now."/>
    <n v="1934"/>
    <n v="210"/>
    <n v="393"/>
    <n v="29129"/>
    <n v="73287"/>
    <n v="273"/>
    <x v="2"/>
    <s v="IndieWave"/>
    <x v="1"/>
  </r>
  <r>
    <s v="SP003"/>
    <x v="1"/>
    <d v="2024-12-03T00:00:00"/>
    <x v="1"/>
    <s v="New music just dropped. Hit play!"/>
    <n v="3092"/>
    <n v="177"/>
    <n v="81"/>
    <n v="47533"/>
    <n v="29220"/>
    <n v="121"/>
    <x v="3"/>
    <s v="ChillVibes"/>
    <x v="2"/>
  </r>
  <r>
    <s v="SP003"/>
    <x v="1"/>
    <d v="2024-12-03T00:00:00"/>
    <x v="1"/>
    <s v="New music just dropped. Hit play!"/>
    <n v="3092"/>
    <n v="177"/>
    <n v="81"/>
    <n v="47533"/>
    <n v="29220"/>
    <n v="121"/>
    <x v="1"/>
    <s v="ChillVibes"/>
    <x v="2"/>
  </r>
  <r>
    <s v="SP004"/>
    <x v="0"/>
    <d v="2024-12-03T00:00:00"/>
    <x v="0"/>
    <s v="Wrapped is here! Relive your top tracks ðŸŽ§"/>
    <n v="3173"/>
    <n v="229"/>
    <n v="197"/>
    <n v="29604"/>
    <n v="21809"/>
    <n v="272"/>
    <x v="0"/>
    <s v="ChillVibes"/>
    <x v="3"/>
  </r>
  <r>
    <s v="SP004"/>
    <x v="0"/>
    <d v="2024-12-03T00:00:00"/>
    <x v="0"/>
    <s v="Wrapped is here! Relive your top tracks ðŸŽ§"/>
    <n v="3173"/>
    <n v="229"/>
    <n v="197"/>
    <n v="29604"/>
    <n v="21809"/>
    <n v="272"/>
    <x v="1"/>
    <s v="ChillVibes"/>
    <x v="3"/>
  </r>
  <r>
    <s v="SP005"/>
    <x v="2"/>
    <d v="2024-04-06T00:00:00"/>
    <x v="0"/>
    <s v="Music that moves youâ€”only on Spotify."/>
    <n v="2748"/>
    <n v="145"/>
    <n v="315"/>
    <n v="24401"/>
    <n v="61182"/>
    <n v="200"/>
    <x v="2"/>
    <s v="IndieWave"/>
    <x v="4"/>
  </r>
  <r>
    <s v="SP005"/>
    <x v="2"/>
    <d v="2024-04-06T00:00:00"/>
    <x v="0"/>
    <s v="Music that moves youâ€”only on Spotify."/>
    <n v="2748"/>
    <n v="145"/>
    <n v="315"/>
    <n v="24401"/>
    <n v="61182"/>
    <n v="200"/>
    <x v="4"/>
    <s v="IndieWave"/>
    <x v="4"/>
  </r>
  <r>
    <s v="SP006"/>
    <x v="2"/>
    <d v="2024-06-13T00:00:00"/>
    <x v="0"/>
    <s v="Whatâ€™s your vibe today? #SpotifyHits"/>
    <n v="3882"/>
    <n v="239"/>
    <n v="275"/>
    <n v="58748"/>
    <n v="44646"/>
    <n v="149"/>
    <x v="2"/>
    <s v="IndieWave"/>
    <x v="5"/>
  </r>
  <r>
    <s v="SP006"/>
    <x v="2"/>
    <d v="2024-06-13T00:00:00"/>
    <x v="0"/>
    <s v="Whatâ€™s your vibe today? #SpotifyHits"/>
    <n v="3882"/>
    <n v="239"/>
    <n v="275"/>
    <n v="58748"/>
    <n v="44646"/>
    <n v="149"/>
    <x v="4"/>
    <s v="IndieWave"/>
    <x v="5"/>
  </r>
  <r>
    <s v="SP007"/>
    <x v="1"/>
    <d v="2024-12-19T00:00:00"/>
    <x v="1"/>
    <s v="Get into the groove with our new drop!"/>
    <n v="4674"/>
    <n v="409"/>
    <n v="327"/>
    <n v="20756"/>
    <n v="63599"/>
    <n v="212"/>
    <x v="0"/>
    <s v="ChillVibes"/>
    <x v="6"/>
  </r>
  <r>
    <s v="SP007"/>
    <x v="1"/>
    <d v="2024-12-19T00:00:00"/>
    <x v="1"/>
    <s v="Get into the groove with our new drop!"/>
    <n v="4674"/>
    <n v="409"/>
    <n v="327"/>
    <n v="20756"/>
    <n v="63599"/>
    <n v="212"/>
    <x v="1"/>
    <s v="ChillVibes"/>
    <x v="6"/>
  </r>
  <r>
    <s v="SP008"/>
    <x v="1"/>
    <d v="2024-05-09T00:00:00"/>
    <x v="1"/>
    <s v="Wrapped is here! Relive your top tracks ðŸŽ§"/>
    <n v="1428"/>
    <n v="347"/>
    <n v="67"/>
    <n v="21148"/>
    <n v="19712"/>
    <n v="120"/>
    <x v="2"/>
    <s v="ChillVibes"/>
    <x v="7"/>
  </r>
  <r>
    <s v="SP008"/>
    <x v="1"/>
    <d v="2024-05-09T00:00:00"/>
    <x v="1"/>
    <s v="Wrapped is here! Relive your top tracks ðŸŽ§"/>
    <n v="1428"/>
    <n v="347"/>
    <n v="67"/>
    <n v="21148"/>
    <n v="19712"/>
    <n v="120"/>
    <x v="3"/>
    <s v="ChillVibes"/>
    <x v="7"/>
  </r>
  <r>
    <s v="SP009"/>
    <x v="1"/>
    <d v="2025-06-15T00:00:00"/>
    <x v="0"/>
    <s v="Top trending tracks updated daily!"/>
    <n v="4432"/>
    <n v="223"/>
    <n v="299"/>
    <n v="59016"/>
    <n v="21742"/>
    <n v="171"/>
    <x v="1"/>
    <s v="ChillVibes"/>
    <x v="8"/>
  </r>
  <r>
    <s v="SP010"/>
    <x v="1"/>
    <d v="2024-12-04T00:00:00"/>
    <x v="0"/>
    <s v="Wrapped is here! Relive your top tracks ðŸŽ§"/>
    <n v="2357"/>
    <n v="274"/>
    <n v="172"/>
    <n v="21566"/>
    <n v="66829"/>
    <n v="284"/>
    <x v="1"/>
    <s v="ChillVibes"/>
    <x v="9"/>
  </r>
  <r>
    <s v="SP011"/>
    <x v="1"/>
    <d v="2024-03-06T00:00:00"/>
    <x v="0"/>
    <s v="Discover fresh beats on Spotify!"/>
    <n v="1971"/>
    <n v="370"/>
    <n v="306"/>
    <n v="31316"/>
    <n v="27897"/>
    <n v="88"/>
    <x v="0"/>
    <s v="IndieWave"/>
    <x v="10"/>
  </r>
  <r>
    <s v="SP012"/>
    <x v="0"/>
    <d v="2024-05-14T00:00:00"/>
    <x v="0"/>
    <s v="Discover fresh beats on Spotify!"/>
    <n v="1485"/>
    <n v="353"/>
    <n v="244"/>
    <n v="38419"/>
    <n v="38556"/>
    <n v="86"/>
    <x v="0"/>
    <s v="ChillVibes"/>
    <x v="11"/>
  </r>
  <r>
    <s v="SP012"/>
    <x v="0"/>
    <d v="2024-05-14T00:00:00"/>
    <x v="0"/>
    <s v="Discover fresh beats on Spotify!"/>
    <n v="1485"/>
    <n v="353"/>
    <n v="244"/>
    <n v="38419"/>
    <n v="38556"/>
    <n v="86"/>
    <x v="1"/>
    <s v="ChillVibes"/>
    <x v="11"/>
  </r>
  <r>
    <s v="SP013"/>
    <x v="1"/>
    <d v="2025-06-18T00:00:00"/>
    <x v="1"/>
    <s v="Discover fresh beats on Spotify!"/>
    <n v="3956"/>
    <n v="319"/>
    <n v="61"/>
    <n v="58162"/>
    <n v="28720"/>
    <n v="213"/>
    <x v="3"/>
    <s v="ChillVibes"/>
    <x v="12"/>
  </r>
  <r>
    <s v="SP013"/>
    <x v="1"/>
    <d v="2025-06-18T00:00:00"/>
    <x v="1"/>
    <s v="Discover fresh beats on Spotify!"/>
    <n v="3956"/>
    <n v="319"/>
    <n v="61"/>
    <n v="58162"/>
    <n v="28720"/>
    <n v="213"/>
    <x v="1"/>
    <s v="ChillVibes"/>
    <x v="12"/>
  </r>
  <r>
    <s v="SP014"/>
    <x v="1"/>
    <d v="2024-10-08T00:00:00"/>
    <x v="0"/>
    <s v="From pop to podcasts, itâ€™s all here."/>
    <n v="2460"/>
    <n v="409"/>
    <n v="253"/>
    <n v="36702"/>
    <n v="46122"/>
    <n v="264"/>
    <x v="1"/>
    <s v="ChillVibes"/>
    <x v="13"/>
  </r>
  <r>
    <s v="SP015"/>
    <x v="1"/>
    <d v="2024-05-06T00:00:00"/>
    <x v="0"/>
    <s v="Your weekend playlist is waiting."/>
    <n v="3476"/>
    <n v="355"/>
    <n v="396"/>
    <n v="37492"/>
    <n v="27285"/>
    <n v="179"/>
    <x v="1"/>
    <s v="ChillVibes"/>
    <x v="14"/>
  </r>
  <r>
    <s v="SP016"/>
    <x v="1"/>
    <d v="2024-12-29T00:00:00"/>
    <x v="1"/>
    <s v="New music just dropped. Hit play!"/>
    <n v="4049"/>
    <n v="377"/>
    <n v="94"/>
    <n v="48182"/>
    <n v="42875"/>
    <n v="172"/>
    <x v="3"/>
    <s v="ChillVibes"/>
    <x v="15"/>
  </r>
  <r>
    <s v="SP016"/>
    <x v="1"/>
    <d v="2024-12-29T00:00:00"/>
    <x v="1"/>
    <s v="New music just dropped. Hit play!"/>
    <n v="4049"/>
    <n v="377"/>
    <n v="94"/>
    <n v="48182"/>
    <n v="42875"/>
    <n v="172"/>
    <x v="1"/>
    <s v="ChillVibes"/>
    <x v="15"/>
  </r>
  <r>
    <s v="SP017"/>
    <x v="1"/>
    <d v="2024-06-10T00:00:00"/>
    <x v="0"/>
    <s v="Whatâ€™s your vibe today? #SpotifyHits"/>
    <n v="1514"/>
    <n v="164"/>
    <n v="275"/>
    <n v="41364"/>
    <n v="44389"/>
    <n v="83"/>
    <x v="1"/>
    <s v="ChillVibes"/>
    <x v="16"/>
  </r>
  <r>
    <s v="SP018"/>
    <x v="0"/>
    <d v="2024-02-03T00:00:00"/>
    <x v="1"/>
    <s v="Music that moves youâ€”only on Spotify."/>
    <n v="4281"/>
    <n v="101"/>
    <n v="163"/>
    <n v="32278"/>
    <n v="53382"/>
    <n v="235"/>
    <x v="1"/>
    <s v="Wrapped2024"/>
    <x v="17"/>
  </r>
  <r>
    <s v="SP019"/>
    <x v="2"/>
    <d v="2024-06-15T00:00:00"/>
    <x v="2"/>
    <s v="Get into the groove with our new drop!"/>
    <n v="1751"/>
    <n v="143"/>
    <n v="151"/>
    <n v="31826"/>
    <n v="47729"/>
    <n v="95"/>
    <x v="2"/>
    <s v="SummerBeats"/>
    <x v="18"/>
  </r>
  <r>
    <s v="SP019"/>
    <x v="2"/>
    <d v="2024-06-15T00:00:00"/>
    <x v="2"/>
    <s v="Get into the groove with our new drop!"/>
    <n v="1751"/>
    <n v="143"/>
    <n v="151"/>
    <n v="31826"/>
    <n v="47729"/>
    <n v="95"/>
    <x v="0"/>
    <s v="SummerBeats"/>
    <x v="18"/>
  </r>
  <r>
    <s v="SP020"/>
    <x v="0"/>
    <d v="2024-07-05T00:00:00"/>
    <x v="0"/>
    <s v="Your weekend playlist is waiting."/>
    <n v="3753"/>
    <n v="411"/>
    <n v="308"/>
    <n v="29138"/>
    <n v="27678"/>
    <n v="90"/>
    <x v="2"/>
    <s v="IndieWave"/>
    <x v="19"/>
  </r>
  <r>
    <s v="SP021"/>
    <x v="0"/>
    <d v="2024-11-07T00:00:00"/>
    <x v="1"/>
    <s v="Wrapped is here! Relive your top tracks ðŸŽ§"/>
    <n v="1678"/>
    <n v="423"/>
    <n v="323"/>
    <n v="55668"/>
    <n v="37945"/>
    <n v="230"/>
    <x v="1"/>
    <s v="Wrapped2024"/>
    <x v="20"/>
  </r>
  <r>
    <s v="SP022"/>
    <x v="0"/>
    <d v="2025-06-15T00:00:00"/>
    <x v="0"/>
    <s v="Whatâ€™s your vibe today? #SpotifyHits"/>
    <n v="4896"/>
    <n v="466"/>
    <n v="233"/>
    <n v="28621"/>
    <n v="34270"/>
    <n v="84"/>
    <x v="0"/>
    <s v="ChillVibes"/>
    <x v="21"/>
  </r>
  <r>
    <s v="SP022"/>
    <x v="0"/>
    <d v="2025-06-15T00:00:00"/>
    <x v="0"/>
    <s v="Whatâ€™s your vibe today? #SpotifyHits"/>
    <n v="4896"/>
    <n v="466"/>
    <n v="233"/>
    <n v="28621"/>
    <n v="34270"/>
    <n v="84"/>
    <x v="1"/>
    <s v="ChillVibes"/>
    <x v="21"/>
  </r>
  <r>
    <s v="SP023"/>
    <x v="2"/>
    <d v="2024-06-09T00:00:00"/>
    <x v="2"/>
    <s v="From pop to podcasts, itâ€™s all here."/>
    <n v="2786"/>
    <n v="368"/>
    <n v="208"/>
    <n v="42000"/>
    <n v="39967"/>
    <n v="103"/>
    <x v="2"/>
    <s v="SummerBeats"/>
    <x v="22"/>
  </r>
  <r>
    <s v="SP023"/>
    <x v="2"/>
    <d v="2024-06-09T00:00:00"/>
    <x v="2"/>
    <s v="From pop to podcasts, itâ€™s all here."/>
    <n v="2786"/>
    <n v="368"/>
    <n v="208"/>
    <n v="42000"/>
    <n v="39967"/>
    <n v="103"/>
    <x v="0"/>
    <s v="SummerBeats"/>
    <x v="22"/>
  </r>
  <r>
    <s v="SP024"/>
    <x v="1"/>
    <d v="2024-10-18T00:00:00"/>
    <x v="0"/>
    <s v="New music just dropped. Hit play!"/>
    <n v="2607"/>
    <n v="379"/>
    <n v="180"/>
    <n v="28712"/>
    <n v="61620"/>
    <n v="174"/>
    <x v="0"/>
    <s v="IndieWave"/>
    <x v="23"/>
  </r>
  <r>
    <s v="SP025"/>
    <x v="2"/>
    <d v="2024-10-10T00:00:00"/>
    <x v="2"/>
    <s v="From pop to podcasts, itâ€™s all here."/>
    <n v="4013"/>
    <n v="320"/>
    <n v="92"/>
    <n v="54605"/>
    <n v="60169"/>
    <n v="232"/>
    <x v="2"/>
    <s v="SummerBeats"/>
    <x v="24"/>
  </r>
  <r>
    <s v="SP025"/>
    <x v="2"/>
    <d v="2024-10-10T00:00:00"/>
    <x v="2"/>
    <s v="From pop to podcasts, itâ€™s all here."/>
    <n v="4013"/>
    <n v="320"/>
    <n v="92"/>
    <n v="54605"/>
    <n v="60169"/>
    <n v="232"/>
    <x v="0"/>
    <s v="SummerBeats"/>
    <x v="24"/>
  </r>
  <r>
    <s v="SP026"/>
    <x v="1"/>
    <d v="2025-05-14T00:00:00"/>
    <x v="1"/>
    <s v="From pop to podcasts, itâ€™s all here."/>
    <n v="2707"/>
    <n v="103"/>
    <n v="51"/>
    <n v="55302"/>
    <n v="18801"/>
    <n v="147"/>
    <x v="2"/>
    <s v="ChillVibes"/>
    <x v="25"/>
  </r>
  <r>
    <s v="SP026"/>
    <x v="1"/>
    <d v="2025-05-14T00:00:00"/>
    <x v="1"/>
    <s v="From pop to podcasts, itâ€™s all here."/>
    <n v="2707"/>
    <n v="103"/>
    <n v="51"/>
    <n v="55302"/>
    <n v="18801"/>
    <n v="147"/>
    <x v="3"/>
    <s v="ChillVibes"/>
    <x v="25"/>
  </r>
  <r>
    <s v="SP027"/>
    <x v="0"/>
    <d v="2024-11-29T00:00:00"/>
    <x v="0"/>
    <s v="Whatâ€™s your vibe today? #SpotifyHits"/>
    <n v="2824"/>
    <n v="425"/>
    <n v="274"/>
    <n v="31004"/>
    <n v="53488"/>
    <n v="268"/>
    <x v="0"/>
    <s v="ChillVibes"/>
    <x v="26"/>
  </r>
  <r>
    <s v="SP027"/>
    <x v="0"/>
    <d v="2024-11-29T00:00:00"/>
    <x v="0"/>
    <s v="Whatâ€™s your vibe today? #SpotifyHits"/>
    <n v="2824"/>
    <n v="425"/>
    <n v="274"/>
    <n v="31004"/>
    <n v="53488"/>
    <n v="268"/>
    <x v="1"/>
    <s v="ChillVibes"/>
    <x v="26"/>
  </r>
  <r>
    <s v="SP028"/>
    <x v="2"/>
    <d v="2024-03-05T00:00:00"/>
    <x v="2"/>
    <s v="Explore the latest podcasts now."/>
    <n v="3558"/>
    <n v="314"/>
    <n v="199"/>
    <n v="49612"/>
    <n v="53929"/>
    <n v="206"/>
    <x v="2"/>
    <s v="SummerBeats"/>
    <x v="27"/>
  </r>
  <r>
    <s v="SP028"/>
    <x v="2"/>
    <d v="2024-03-05T00:00:00"/>
    <x v="2"/>
    <s v="Explore the latest podcasts now."/>
    <n v="3558"/>
    <n v="314"/>
    <n v="199"/>
    <n v="49612"/>
    <n v="53929"/>
    <n v="206"/>
    <x v="0"/>
    <s v="SummerBeats"/>
    <x v="27"/>
  </r>
  <r>
    <s v="SP029"/>
    <x v="1"/>
    <d v="2025-03-18T00:00:00"/>
    <x v="1"/>
    <s v="Explore the latest podcasts now."/>
    <n v="3418"/>
    <n v="188"/>
    <n v="387"/>
    <n v="57431"/>
    <n v="36933"/>
    <n v="202"/>
    <x v="3"/>
    <s v="ChillVibes"/>
    <x v="28"/>
  </r>
  <r>
    <s v="SP029"/>
    <x v="1"/>
    <d v="2025-03-18T00:00:00"/>
    <x v="1"/>
    <s v="Explore the latest podcasts now."/>
    <n v="3418"/>
    <n v="188"/>
    <n v="387"/>
    <n v="57431"/>
    <n v="36933"/>
    <n v="202"/>
    <x v="1"/>
    <s v="ChillVibes"/>
    <x v="28"/>
  </r>
  <r>
    <s v="SP030"/>
    <x v="1"/>
    <d v="2025-04-26T00:00:00"/>
    <x v="0"/>
    <s v="Discover fresh beats on Spotify!"/>
    <n v="2411"/>
    <n v="194"/>
    <n v="168"/>
    <n v="26665"/>
    <n v="71699"/>
    <n v="197"/>
    <x v="1"/>
    <s v="ChillVibes"/>
    <x v="29"/>
  </r>
  <r>
    <s v="SP031"/>
    <x v="0"/>
    <d v="2025-01-01T00:00:00"/>
    <x v="0"/>
    <s v="New music just dropped. Hit play!"/>
    <n v="4036"/>
    <n v="112"/>
    <n v="382"/>
    <n v="56284"/>
    <n v="29440"/>
    <n v="279"/>
    <x v="0"/>
    <s v="ChillVibes"/>
    <x v="30"/>
  </r>
  <r>
    <s v="SP031"/>
    <x v="0"/>
    <d v="2025-01-01T00:00:00"/>
    <x v="0"/>
    <s v="New music just dropped. Hit play!"/>
    <n v="4036"/>
    <n v="112"/>
    <n v="382"/>
    <n v="56284"/>
    <n v="29440"/>
    <n v="279"/>
    <x v="1"/>
    <s v="ChillVibes"/>
    <x v="30"/>
  </r>
  <r>
    <s v="SP032"/>
    <x v="1"/>
    <d v="2024-05-07T00:00:00"/>
    <x v="1"/>
    <s v="Explore the latest podcasts now."/>
    <n v="2776"/>
    <n v="307"/>
    <n v="178"/>
    <n v="43365"/>
    <n v="48408"/>
    <n v="138"/>
    <x v="0"/>
    <s v="ChillVibes"/>
    <x v="31"/>
  </r>
  <r>
    <s v="SP032"/>
    <x v="1"/>
    <d v="2024-05-07T00:00:00"/>
    <x v="1"/>
    <s v="Explore the latest podcasts now."/>
    <n v="2776"/>
    <n v="307"/>
    <n v="178"/>
    <n v="43365"/>
    <n v="48408"/>
    <n v="138"/>
    <x v="1"/>
    <s v="ChillVibes"/>
    <x v="31"/>
  </r>
  <r>
    <s v="SP033"/>
    <x v="1"/>
    <d v="2024-10-09T00:00:00"/>
    <x v="1"/>
    <s v="Discover fresh beats on Spotify!"/>
    <n v="4929"/>
    <n v="182"/>
    <n v="95"/>
    <n v="32181"/>
    <n v="31084"/>
    <n v="289"/>
    <x v="2"/>
    <s v="ChillVibes"/>
    <x v="32"/>
  </r>
  <r>
    <s v="SP033"/>
    <x v="1"/>
    <d v="2024-10-09T00:00:00"/>
    <x v="1"/>
    <s v="Discover fresh beats on Spotify!"/>
    <n v="4929"/>
    <n v="182"/>
    <n v="95"/>
    <n v="32181"/>
    <n v="31084"/>
    <n v="289"/>
    <x v="3"/>
    <s v="ChillVibes"/>
    <x v="32"/>
  </r>
  <r>
    <s v="SP034"/>
    <x v="0"/>
    <d v="2025-01-09T00:00:00"/>
    <x v="0"/>
    <s v="New music just dropped. Hit play!"/>
    <n v="1015"/>
    <n v="366"/>
    <n v="308"/>
    <n v="38127"/>
    <n v="63790"/>
    <n v="287"/>
    <x v="0"/>
    <s v="ChillVibes"/>
    <x v="33"/>
  </r>
  <r>
    <s v="SP034"/>
    <x v="0"/>
    <d v="2025-01-09T00:00:00"/>
    <x v="0"/>
    <s v="New music just dropped. Hit play!"/>
    <n v="1015"/>
    <n v="366"/>
    <n v="308"/>
    <n v="38127"/>
    <n v="63790"/>
    <n v="287"/>
    <x v="1"/>
    <s v="ChillVibes"/>
    <x v="33"/>
  </r>
  <r>
    <s v="SP035"/>
    <x v="1"/>
    <d v="2025-05-08T00:00:00"/>
    <x v="1"/>
    <s v="Your weekend playlist is waiting."/>
    <n v="3316"/>
    <n v="332"/>
    <n v="268"/>
    <n v="40095"/>
    <n v="36913"/>
    <n v="265"/>
    <x v="3"/>
    <s v="ChillVibes"/>
    <x v="34"/>
  </r>
  <r>
    <s v="SP035"/>
    <x v="1"/>
    <d v="2025-05-08T00:00:00"/>
    <x v="1"/>
    <s v="Your weekend playlist is waiting."/>
    <n v="3316"/>
    <n v="332"/>
    <n v="268"/>
    <n v="40095"/>
    <n v="36913"/>
    <n v="265"/>
    <x v="1"/>
    <s v="ChillVibes"/>
    <x v="34"/>
  </r>
  <r>
    <s v="SP036"/>
    <x v="0"/>
    <d v="2024-05-04T00:00:00"/>
    <x v="0"/>
    <s v="Wrapped is here! Relive your top tracks ðŸŽ§"/>
    <n v="2274"/>
    <n v="243"/>
    <n v="222"/>
    <n v="43066"/>
    <n v="59174"/>
    <n v="80"/>
    <x v="2"/>
    <s v="IndieWave"/>
    <x v="35"/>
  </r>
  <r>
    <s v="SP037"/>
    <x v="1"/>
    <d v="2025-05-27T00:00:00"/>
    <x v="1"/>
    <s v="Explore the latest podcasts now."/>
    <n v="4095"/>
    <n v="385"/>
    <n v="400"/>
    <n v="45300"/>
    <n v="31795"/>
    <n v="80"/>
    <x v="3"/>
    <s v="ChillVibes"/>
    <x v="36"/>
  </r>
  <r>
    <s v="SP037"/>
    <x v="1"/>
    <d v="2025-05-27T00:00:00"/>
    <x v="1"/>
    <s v="Explore the latest podcasts now."/>
    <n v="4095"/>
    <n v="385"/>
    <n v="400"/>
    <n v="45300"/>
    <n v="31795"/>
    <n v="80"/>
    <x v="1"/>
    <s v="ChillVibes"/>
    <x v="36"/>
  </r>
  <r>
    <s v="SP038"/>
    <x v="0"/>
    <d v="2024-09-10T00:00:00"/>
    <x v="1"/>
    <s v="New music just dropped. Hit play!"/>
    <n v="1230"/>
    <n v="309"/>
    <n v="207"/>
    <n v="44629"/>
    <n v="40699"/>
    <n v="195"/>
    <x v="1"/>
    <s v="Wrapped2024"/>
    <x v="37"/>
  </r>
  <r>
    <s v="SP039"/>
    <x v="0"/>
    <d v="2024-11-25T00:00:00"/>
    <x v="0"/>
    <s v="From pop to podcasts, itâ€™s all here."/>
    <n v="1341"/>
    <n v="472"/>
    <n v="238"/>
    <n v="51386"/>
    <n v="51706"/>
    <n v="133"/>
    <x v="2"/>
    <s v="IndieWave"/>
    <x v="38"/>
  </r>
  <r>
    <s v="SP040"/>
    <x v="1"/>
    <d v="2025-06-10T00:00:00"/>
    <x v="0"/>
    <s v="Explore the latest podcasts now."/>
    <n v="3615"/>
    <n v="192"/>
    <n v="162"/>
    <n v="27492"/>
    <n v="35341"/>
    <n v="125"/>
    <x v="1"/>
    <s v="ChillVibes"/>
    <x v="39"/>
  </r>
  <r>
    <s v="SP041"/>
    <x v="0"/>
    <d v="2024-04-19T00:00:00"/>
    <x v="0"/>
    <s v="New music just dropped. Hit play!"/>
    <n v="4001"/>
    <n v="353"/>
    <n v="129"/>
    <n v="41265"/>
    <n v="37279"/>
    <n v="275"/>
    <x v="0"/>
    <s v="ChillVibes"/>
    <x v="40"/>
  </r>
  <r>
    <s v="SP041"/>
    <x v="0"/>
    <d v="2024-04-19T00:00:00"/>
    <x v="0"/>
    <s v="New music just dropped. Hit play!"/>
    <n v="4001"/>
    <n v="353"/>
    <n v="129"/>
    <n v="41265"/>
    <n v="37279"/>
    <n v="275"/>
    <x v="1"/>
    <s v="ChillVibes"/>
    <x v="40"/>
  </r>
  <r>
    <s v="SP042"/>
    <x v="0"/>
    <d v="2025-01-26T00:00:00"/>
    <x v="1"/>
    <s v="Whatâ€™s your vibe today? #SpotifyHits"/>
    <n v="3451"/>
    <n v="363"/>
    <n v="393"/>
    <n v="44853"/>
    <n v="69032"/>
    <n v="211"/>
    <x v="1"/>
    <s v="Wrapped2024"/>
    <x v="41"/>
  </r>
  <r>
    <s v="SP043"/>
    <x v="0"/>
    <d v="2025-02-14T00:00:00"/>
    <x v="0"/>
    <s v="Top trending tracks updated daily!"/>
    <n v="4891"/>
    <n v="450"/>
    <n v="387"/>
    <n v="48746"/>
    <n v="37312"/>
    <n v="154"/>
    <x v="0"/>
    <s v="ChillVibes"/>
    <x v="42"/>
  </r>
  <r>
    <s v="SP043"/>
    <x v="0"/>
    <d v="2025-02-14T00:00:00"/>
    <x v="0"/>
    <s v="Top trending tracks updated daily!"/>
    <n v="4891"/>
    <n v="450"/>
    <n v="387"/>
    <n v="48746"/>
    <n v="37312"/>
    <n v="154"/>
    <x v="1"/>
    <s v="ChillVibes"/>
    <x v="42"/>
  </r>
  <r>
    <s v="SP044"/>
    <x v="0"/>
    <d v="2024-09-06T00:00:00"/>
    <x v="0"/>
    <s v="New music just dropped. Hit play!"/>
    <n v="1452"/>
    <n v="281"/>
    <n v="326"/>
    <n v="51556"/>
    <n v="62599"/>
    <n v="290"/>
    <x v="2"/>
    <s v="IndieWave"/>
    <x v="43"/>
  </r>
  <r>
    <s v="SP045"/>
    <x v="2"/>
    <d v="2024-07-14T00:00:00"/>
    <x v="0"/>
    <s v="Your weekend playlist is waiting."/>
    <n v="3806"/>
    <n v="114"/>
    <n v="278"/>
    <n v="36148"/>
    <n v="24209"/>
    <n v="201"/>
    <x v="2"/>
    <s v="IndieWave"/>
    <x v="44"/>
  </r>
  <r>
    <s v="SP045"/>
    <x v="2"/>
    <d v="2024-07-14T00:00:00"/>
    <x v="0"/>
    <s v="Your weekend playlist is waiting."/>
    <n v="3806"/>
    <n v="114"/>
    <n v="278"/>
    <n v="36148"/>
    <n v="24209"/>
    <n v="201"/>
    <x v="4"/>
    <s v="IndieWave"/>
    <x v="44"/>
  </r>
  <r>
    <s v="SP046"/>
    <x v="0"/>
    <d v="2024-02-12T00:00:00"/>
    <x v="0"/>
    <s v="Explore the latest podcasts now."/>
    <n v="2923"/>
    <n v="330"/>
    <n v="250"/>
    <n v="23993"/>
    <n v="74590"/>
    <n v="92"/>
    <x v="2"/>
    <s v="IndieWave"/>
    <x v="45"/>
  </r>
  <r>
    <s v="SP047"/>
    <x v="2"/>
    <d v="2024-03-14T00:00:00"/>
    <x v="2"/>
    <s v="From pop to podcasts, itâ€™s all here."/>
    <n v="3361"/>
    <n v="188"/>
    <n v="358"/>
    <n v="39838"/>
    <n v="24536"/>
    <n v="120"/>
    <x v="2"/>
    <s v="SummerBeats"/>
    <x v="46"/>
  </r>
  <r>
    <s v="SP047"/>
    <x v="2"/>
    <d v="2024-03-14T00:00:00"/>
    <x v="2"/>
    <s v="From pop to podcasts, itâ€™s all here."/>
    <n v="3361"/>
    <n v="188"/>
    <n v="358"/>
    <n v="39838"/>
    <n v="24536"/>
    <n v="120"/>
    <x v="0"/>
    <s v="SummerBeats"/>
    <x v="46"/>
  </r>
  <r>
    <s v="SP048"/>
    <x v="0"/>
    <d v="2025-02-05T00:00:00"/>
    <x v="1"/>
    <s v="Music that moves youâ€”only on Spotify."/>
    <n v="3074"/>
    <n v="371"/>
    <n v="348"/>
    <n v="24104"/>
    <n v="57803"/>
    <n v="213"/>
    <x v="1"/>
    <s v="Wrapped2024"/>
    <x v="47"/>
  </r>
  <r>
    <s v="SP049"/>
    <x v="1"/>
    <d v="2024-08-29T00:00:00"/>
    <x v="1"/>
    <s v="Get into the groove with our new drop!"/>
    <n v="4276"/>
    <n v="227"/>
    <n v="223"/>
    <n v="43443"/>
    <n v="41005"/>
    <n v="191"/>
    <x v="2"/>
    <s v="ChillVibes"/>
    <x v="48"/>
  </r>
  <r>
    <s v="SP049"/>
    <x v="1"/>
    <d v="2024-08-29T00:00:00"/>
    <x v="1"/>
    <s v="Get into the groove with our new drop!"/>
    <n v="4276"/>
    <n v="227"/>
    <n v="223"/>
    <n v="43443"/>
    <n v="41005"/>
    <n v="191"/>
    <x v="3"/>
    <s v="ChillVibes"/>
    <x v="48"/>
  </r>
  <r>
    <s v="SP050"/>
    <x v="1"/>
    <d v="2025-04-22T00:00:00"/>
    <x v="0"/>
    <s v="Discover fresh beats on Spotify!"/>
    <n v="4401"/>
    <n v="421"/>
    <n v="216"/>
    <n v="24890"/>
    <n v="54361"/>
    <n v="148"/>
    <x v="1"/>
    <s v="ChillVibes"/>
    <x v="49"/>
  </r>
  <r>
    <s v="SP051"/>
    <x v="2"/>
    <d v="2024-05-13T00:00:00"/>
    <x v="2"/>
    <s v="Explore the latest podcasts now."/>
    <n v="4161"/>
    <n v="481"/>
    <n v="61"/>
    <n v="45884"/>
    <n v="48955"/>
    <n v="215"/>
    <x v="2"/>
    <s v="SummerBeats"/>
    <x v="50"/>
  </r>
  <r>
    <s v="SP051"/>
    <x v="2"/>
    <d v="2024-05-13T00:00:00"/>
    <x v="2"/>
    <s v="Explore the latest podcasts now."/>
    <n v="4161"/>
    <n v="481"/>
    <n v="61"/>
    <n v="45884"/>
    <n v="48955"/>
    <n v="215"/>
    <x v="0"/>
    <s v="SummerBeats"/>
    <x v="50"/>
  </r>
  <r>
    <s v="SP052"/>
    <x v="1"/>
    <d v="2024-09-04T00:00:00"/>
    <x v="1"/>
    <s v="New music just dropped. Hit play!"/>
    <n v="2613"/>
    <n v="455"/>
    <n v="228"/>
    <n v="21645"/>
    <n v="61334"/>
    <n v="261"/>
    <x v="2"/>
    <s v="ChillVibes"/>
    <x v="51"/>
  </r>
  <r>
    <s v="SP052"/>
    <x v="1"/>
    <d v="2024-09-04T00:00:00"/>
    <x v="1"/>
    <s v="New music just dropped. Hit play!"/>
    <n v="2613"/>
    <n v="455"/>
    <n v="228"/>
    <n v="21645"/>
    <n v="61334"/>
    <n v="261"/>
    <x v="3"/>
    <s v="ChillVibes"/>
    <x v="51"/>
  </r>
  <r>
    <s v="SP053"/>
    <x v="1"/>
    <d v="2024-08-12T00:00:00"/>
    <x v="1"/>
    <s v="Whatâ€™s your vibe today? #SpotifyHits"/>
    <n v="2842"/>
    <n v="213"/>
    <n v="331"/>
    <n v="57660"/>
    <n v="68606"/>
    <n v="87"/>
    <x v="3"/>
    <s v="ChillVibes"/>
    <x v="52"/>
  </r>
  <r>
    <s v="SP053"/>
    <x v="1"/>
    <d v="2024-08-12T00:00:00"/>
    <x v="1"/>
    <s v="Whatâ€™s your vibe today? #SpotifyHits"/>
    <n v="2842"/>
    <n v="213"/>
    <n v="331"/>
    <n v="57660"/>
    <n v="68606"/>
    <n v="87"/>
    <x v="1"/>
    <s v="ChillVibes"/>
    <x v="52"/>
  </r>
  <r>
    <s v="SP054"/>
    <x v="0"/>
    <d v="2025-03-06T00:00:00"/>
    <x v="0"/>
    <s v="Get into the groove with our new drop!"/>
    <n v="4851"/>
    <n v="460"/>
    <n v="212"/>
    <n v="58075"/>
    <n v="59574"/>
    <n v="239"/>
    <x v="2"/>
    <s v="IndieWave"/>
    <x v="53"/>
  </r>
  <r>
    <s v="SP055"/>
    <x v="1"/>
    <d v="2024-05-08T00:00:00"/>
    <x v="0"/>
    <s v="Explore the latest podcasts now."/>
    <n v="1828"/>
    <n v="450"/>
    <n v="214"/>
    <n v="52115"/>
    <n v="19166"/>
    <n v="190"/>
    <x v="1"/>
    <s v="ChillVibes"/>
    <x v="54"/>
  </r>
  <r>
    <s v="SP056"/>
    <x v="0"/>
    <d v="2025-02-19T00:00:00"/>
    <x v="1"/>
    <s v="From pop to podcasts, itâ€™s all here."/>
    <n v="2422"/>
    <n v="455"/>
    <n v="376"/>
    <n v="23428"/>
    <n v="46775"/>
    <n v="259"/>
    <x v="1"/>
    <s v="Wrapped2024"/>
    <x v="55"/>
  </r>
  <r>
    <s v="SP057"/>
    <x v="0"/>
    <d v="2024-01-08T00:00:00"/>
    <x v="0"/>
    <s v="Top trending tracks updated daily!"/>
    <n v="2683"/>
    <n v="405"/>
    <n v="223"/>
    <n v="31233"/>
    <n v="58106"/>
    <n v="291"/>
    <x v="2"/>
    <s v="IndieWave"/>
    <x v="56"/>
  </r>
  <r>
    <s v="SP058"/>
    <x v="2"/>
    <d v="2024-07-17T00:00:00"/>
    <x v="0"/>
    <s v="Top trending tracks updated daily!"/>
    <n v="3135"/>
    <n v="110"/>
    <n v="215"/>
    <n v="39192"/>
    <n v="24744"/>
    <n v="177"/>
    <x v="2"/>
    <s v="IndieWave"/>
    <x v="57"/>
  </r>
  <r>
    <s v="SP058"/>
    <x v="2"/>
    <d v="2024-07-17T00:00:00"/>
    <x v="0"/>
    <s v="Top trending tracks updated daily!"/>
    <n v="3135"/>
    <n v="110"/>
    <n v="215"/>
    <n v="39192"/>
    <n v="24744"/>
    <n v="177"/>
    <x v="4"/>
    <s v="IndieWave"/>
    <x v="57"/>
  </r>
  <r>
    <s v="SP059"/>
    <x v="2"/>
    <d v="2024-08-10T00:00:00"/>
    <x v="0"/>
    <s v="From pop to podcasts, itâ€™s all here."/>
    <n v="1105"/>
    <n v="181"/>
    <n v="55"/>
    <n v="53581"/>
    <n v="74048"/>
    <n v="220"/>
    <x v="2"/>
    <s v="IndieWave"/>
    <x v="58"/>
  </r>
  <r>
    <s v="SP059"/>
    <x v="2"/>
    <d v="2024-08-10T00:00:00"/>
    <x v="0"/>
    <s v="From pop to podcasts, itâ€™s all here."/>
    <n v="1105"/>
    <n v="181"/>
    <n v="55"/>
    <n v="53581"/>
    <n v="74048"/>
    <n v="220"/>
    <x v="4"/>
    <s v="IndieWave"/>
    <x v="58"/>
  </r>
  <r>
    <s v="SP060"/>
    <x v="2"/>
    <d v="2024-04-16T00:00:00"/>
    <x v="0"/>
    <s v="Discover fresh beats on Spotify!"/>
    <n v="4674"/>
    <n v="326"/>
    <n v="62"/>
    <n v="45503"/>
    <n v="46814"/>
    <n v="116"/>
    <x v="2"/>
    <s v="IndieWave"/>
    <x v="59"/>
  </r>
  <r>
    <s v="SP060"/>
    <x v="2"/>
    <d v="2024-04-16T00:00:00"/>
    <x v="0"/>
    <s v="Discover fresh beats on Spotify!"/>
    <n v="4674"/>
    <n v="326"/>
    <n v="62"/>
    <n v="45503"/>
    <n v="46814"/>
    <n v="116"/>
    <x v="4"/>
    <s v="IndieWave"/>
    <x v="59"/>
  </r>
  <r>
    <s v="SP061"/>
    <x v="2"/>
    <d v="2024-01-01T00:00:00"/>
    <x v="2"/>
    <s v="Explore the latest podcasts now."/>
    <n v="3437"/>
    <n v="129"/>
    <n v="359"/>
    <n v="44558"/>
    <n v="30854"/>
    <n v="171"/>
    <x v="2"/>
    <s v="SummerBeats"/>
    <x v="60"/>
  </r>
  <r>
    <s v="SP061"/>
    <x v="2"/>
    <d v="2024-01-01T00:00:00"/>
    <x v="2"/>
    <s v="Explore the latest podcasts now."/>
    <n v="3437"/>
    <n v="129"/>
    <n v="359"/>
    <n v="44558"/>
    <n v="30854"/>
    <n v="171"/>
    <x v="0"/>
    <s v="SummerBeats"/>
    <x v="60"/>
  </r>
  <r>
    <s v="SP062"/>
    <x v="1"/>
    <d v="2024-11-03T00:00:00"/>
    <x v="1"/>
    <s v="Wrapped is here! Relive your top tracks ðŸŽ§"/>
    <n v="1959"/>
    <n v="316"/>
    <n v="82"/>
    <n v="54036"/>
    <n v="69015"/>
    <n v="182"/>
    <x v="3"/>
    <s v="ChillVibes"/>
    <x v="61"/>
  </r>
  <r>
    <s v="SP062"/>
    <x v="1"/>
    <d v="2024-11-03T00:00:00"/>
    <x v="1"/>
    <s v="Wrapped is here! Relive your top tracks ðŸŽ§"/>
    <n v="1959"/>
    <n v="316"/>
    <n v="82"/>
    <n v="54036"/>
    <n v="69015"/>
    <n v="182"/>
    <x v="1"/>
    <s v="ChillVibes"/>
    <x v="61"/>
  </r>
  <r>
    <s v="SP063"/>
    <x v="1"/>
    <d v="2024-07-07T00:00:00"/>
    <x v="0"/>
    <s v="New music just dropped. Hit play!"/>
    <n v="1035"/>
    <n v="137"/>
    <n v="184"/>
    <n v="37302"/>
    <n v="68953"/>
    <n v="237"/>
    <x v="0"/>
    <s v="IndieWave"/>
    <x v="62"/>
  </r>
  <r>
    <s v="SP064"/>
    <x v="1"/>
    <d v="2025-01-22T00:00:00"/>
    <x v="1"/>
    <s v="New music just dropped. Hit play!"/>
    <n v="4478"/>
    <n v="101"/>
    <n v="121"/>
    <n v="51035"/>
    <n v="58207"/>
    <n v="205"/>
    <x v="3"/>
    <s v="ChillVibes"/>
    <x v="63"/>
  </r>
  <r>
    <s v="SP064"/>
    <x v="1"/>
    <d v="2025-01-22T00:00:00"/>
    <x v="1"/>
    <s v="New music just dropped. Hit play!"/>
    <n v="4478"/>
    <n v="101"/>
    <n v="121"/>
    <n v="51035"/>
    <n v="58207"/>
    <n v="205"/>
    <x v="1"/>
    <s v="ChillVibes"/>
    <x v="63"/>
  </r>
  <r>
    <s v="SP065"/>
    <x v="2"/>
    <d v="2024-05-26T00:00:00"/>
    <x v="0"/>
    <s v="From pop to podcasts, itâ€™s all here."/>
    <n v="1488"/>
    <n v="327"/>
    <n v="110"/>
    <n v="53805"/>
    <n v="30239"/>
    <n v="109"/>
    <x v="2"/>
    <s v="IndieWave"/>
    <x v="64"/>
  </r>
  <r>
    <s v="SP065"/>
    <x v="2"/>
    <d v="2024-05-26T00:00:00"/>
    <x v="0"/>
    <s v="From pop to podcasts, itâ€™s all here."/>
    <n v="1488"/>
    <n v="327"/>
    <n v="110"/>
    <n v="53805"/>
    <n v="30239"/>
    <n v="109"/>
    <x v="4"/>
    <s v="IndieWave"/>
    <x v="64"/>
  </r>
  <r>
    <s v="SP066"/>
    <x v="0"/>
    <d v="2025-04-16T00:00:00"/>
    <x v="0"/>
    <s v="Wrapped is here! Relive your top tracks ðŸŽ§"/>
    <n v="4836"/>
    <n v="331"/>
    <n v="140"/>
    <n v="58792"/>
    <n v="47711"/>
    <n v="227"/>
    <x v="0"/>
    <s v="ChillVibes"/>
    <x v="65"/>
  </r>
  <r>
    <s v="SP066"/>
    <x v="0"/>
    <d v="2025-04-16T00:00:00"/>
    <x v="0"/>
    <s v="Wrapped is here! Relive your top tracks ðŸŽ§"/>
    <n v="4836"/>
    <n v="331"/>
    <n v="140"/>
    <n v="58792"/>
    <n v="47711"/>
    <n v="227"/>
    <x v="1"/>
    <s v="ChillVibes"/>
    <x v="65"/>
  </r>
  <r>
    <s v="SP067"/>
    <x v="2"/>
    <d v="2024-04-02T00:00:00"/>
    <x v="2"/>
    <s v="Your weekend playlist is waiting."/>
    <n v="4563"/>
    <n v="488"/>
    <n v="356"/>
    <n v="30619"/>
    <n v="23328"/>
    <n v="267"/>
    <x v="2"/>
    <s v="SummerBeats"/>
    <x v="66"/>
  </r>
  <r>
    <s v="SP067"/>
    <x v="2"/>
    <d v="2024-04-02T00:00:00"/>
    <x v="2"/>
    <s v="Your weekend playlist is waiting."/>
    <n v="4563"/>
    <n v="488"/>
    <n v="356"/>
    <n v="30619"/>
    <n v="23328"/>
    <n v="267"/>
    <x v="0"/>
    <s v="SummerBeats"/>
    <x v="66"/>
  </r>
  <r>
    <s v="SP068"/>
    <x v="1"/>
    <d v="2024-03-28T00:00:00"/>
    <x v="0"/>
    <s v="Music that moves youâ€”only on Spotify."/>
    <n v="3276"/>
    <n v="421"/>
    <n v="114"/>
    <n v="20580"/>
    <n v="30324"/>
    <n v="221"/>
    <x v="0"/>
    <s v="IndieWave"/>
    <x v="67"/>
  </r>
  <r>
    <s v="SP069"/>
    <x v="1"/>
    <d v="2024-12-17T00:00:00"/>
    <x v="1"/>
    <s v="Music that moves youâ€”only on Spotify."/>
    <n v="1316"/>
    <n v="472"/>
    <n v="286"/>
    <n v="44692"/>
    <n v="53343"/>
    <n v="227"/>
    <x v="2"/>
    <s v="ChillVibes"/>
    <x v="68"/>
  </r>
  <r>
    <s v="SP069"/>
    <x v="1"/>
    <d v="2024-12-17T00:00:00"/>
    <x v="1"/>
    <s v="Music that moves youâ€”only on Spotify."/>
    <n v="1316"/>
    <n v="472"/>
    <n v="286"/>
    <n v="44692"/>
    <n v="53343"/>
    <n v="227"/>
    <x v="3"/>
    <s v="ChillVibes"/>
    <x v="68"/>
  </r>
  <r>
    <s v="SP070"/>
    <x v="1"/>
    <d v="2025-01-05T00:00:00"/>
    <x v="0"/>
    <s v="Wrapped is here! Relive your top tracks ðŸŽ§"/>
    <n v="4811"/>
    <n v="473"/>
    <n v="254"/>
    <n v="51964"/>
    <n v="68795"/>
    <n v="107"/>
    <x v="1"/>
    <s v="ChillVibes"/>
    <x v="69"/>
  </r>
  <r>
    <s v="SP071"/>
    <x v="1"/>
    <d v="2024-01-11T00:00:00"/>
    <x v="0"/>
    <s v="Whatâ€™s your vibe today? #SpotifyHits"/>
    <n v="4218"/>
    <n v="247"/>
    <n v="183"/>
    <n v="28914"/>
    <n v="18310"/>
    <n v="135"/>
    <x v="0"/>
    <s v="IndieWave"/>
    <x v="70"/>
  </r>
  <r>
    <s v="SP072"/>
    <x v="0"/>
    <d v="2024-10-11T00:00:00"/>
    <x v="0"/>
    <s v="From pop to podcasts, itâ€™s all here."/>
    <n v="1360"/>
    <n v="249"/>
    <n v="52"/>
    <n v="20368"/>
    <n v="42152"/>
    <n v="193"/>
    <x v="2"/>
    <s v="IndieWave"/>
    <x v="71"/>
  </r>
  <r>
    <s v="SP073"/>
    <x v="2"/>
    <d v="2025-05-06T00:00:00"/>
    <x v="2"/>
    <s v="Discover fresh beats on Spotify!"/>
    <n v="1085"/>
    <n v="496"/>
    <n v="320"/>
    <n v="36528"/>
    <n v="38599"/>
    <n v="270"/>
    <x v="2"/>
    <s v="SummerBeats"/>
    <x v="72"/>
  </r>
  <r>
    <s v="SP073"/>
    <x v="2"/>
    <d v="2025-05-06T00:00:00"/>
    <x v="2"/>
    <s v="Discover fresh beats on Spotify!"/>
    <n v="1085"/>
    <n v="496"/>
    <n v="320"/>
    <n v="36528"/>
    <n v="38599"/>
    <n v="270"/>
    <x v="0"/>
    <s v="SummerBeats"/>
    <x v="72"/>
  </r>
  <r>
    <s v="SP074"/>
    <x v="1"/>
    <d v="2024-05-19T00:00:00"/>
    <x v="1"/>
    <s v="Get into the groove with our new drop!"/>
    <n v="1763"/>
    <n v="206"/>
    <n v="187"/>
    <n v="53342"/>
    <n v="25095"/>
    <n v="88"/>
    <x v="2"/>
    <s v="ChillVibes"/>
    <x v="73"/>
  </r>
  <r>
    <s v="SP074"/>
    <x v="1"/>
    <d v="2024-05-19T00:00:00"/>
    <x v="1"/>
    <s v="Get into the groove with our new drop!"/>
    <n v="1763"/>
    <n v="206"/>
    <n v="187"/>
    <n v="53342"/>
    <n v="25095"/>
    <n v="88"/>
    <x v="3"/>
    <s v="ChillVibes"/>
    <x v="73"/>
  </r>
  <r>
    <s v="SP075"/>
    <x v="1"/>
    <d v="2024-01-22T00:00:00"/>
    <x v="1"/>
    <s v="From pop to podcasts, itâ€™s all here."/>
    <n v="1554"/>
    <n v="455"/>
    <n v="158"/>
    <n v="41947"/>
    <n v="48578"/>
    <n v="101"/>
    <x v="0"/>
    <s v="ChillVibes"/>
    <x v="74"/>
  </r>
  <r>
    <s v="SP075"/>
    <x v="1"/>
    <d v="2024-01-22T00:00:00"/>
    <x v="1"/>
    <s v="From pop to podcasts, itâ€™s all here."/>
    <n v="1554"/>
    <n v="455"/>
    <n v="158"/>
    <n v="41947"/>
    <n v="48578"/>
    <n v="101"/>
    <x v="1"/>
    <s v="ChillVibes"/>
    <x v="74"/>
  </r>
  <r>
    <s v="SP076"/>
    <x v="0"/>
    <d v="2024-07-14T00:00:00"/>
    <x v="0"/>
    <s v="Wrapped is here! Relive your top tracks ðŸŽ§"/>
    <n v="2464"/>
    <n v="401"/>
    <n v="78"/>
    <n v="38665"/>
    <n v="73593"/>
    <n v="207"/>
    <x v="2"/>
    <s v="IndieWave"/>
    <x v="75"/>
  </r>
  <r>
    <s v="SP077"/>
    <x v="1"/>
    <d v="2025-05-28T00:00:00"/>
    <x v="0"/>
    <s v="From pop to podcasts, itâ€™s all here."/>
    <n v="2418"/>
    <n v="161"/>
    <n v="360"/>
    <n v="30589"/>
    <n v="41383"/>
    <n v="88"/>
    <x v="1"/>
    <s v="ChillVibes"/>
    <x v="76"/>
  </r>
  <r>
    <s v="SP078"/>
    <x v="1"/>
    <d v="2025-01-21T00:00:00"/>
    <x v="1"/>
    <s v="Discover fresh beats on Spotify!"/>
    <n v="2494"/>
    <n v="494"/>
    <n v="55"/>
    <n v="22580"/>
    <n v="22214"/>
    <n v="109"/>
    <x v="3"/>
    <s v="ChillVibes"/>
    <x v="77"/>
  </r>
  <r>
    <s v="SP078"/>
    <x v="1"/>
    <d v="2025-01-21T00:00:00"/>
    <x v="1"/>
    <s v="Discover fresh beats on Spotify!"/>
    <n v="2494"/>
    <n v="494"/>
    <n v="55"/>
    <n v="22580"/>
    <n v="22214"/>
    <n v="109"/>
    <x v="1"/>
    <s v="ChillVibes"/>
    <x v="77"/>
  </r>
  <r>
    <s v="SP079"/>
    <x v="2"/>
    <d v="2024-01-13T00:00:00"/>
    <x v="2"/>
    <s v="New music just dropped. Hit play!"/>
    <n v="4781"/>
    <n v="191"/>
    <n v="122"/>
    <n v="35535"/>
    <n v="50777"/>
    <n v="128"/>
    <x v="2"/>
    <s v="SummerBeats"/>
    <x v="78"/>
  </r>
  <r>
    <s v="SP079"/>
    <x v="2"/>
    <d v="2024-01-13T00:00:00"/>
    <x v="2"/>
    <s v="New music just dropped. Hit play!"/>
    <n v="4781"/>
    <n v="191"/>
    <n v="122"/>
    <n v="35535"/>
    <n v="50777"/>
    <n v="128"/>
    <x v="0"/>
    <s v="SummerBeats"/>
    <x v="78"/>
  </r>
  <r>
    <s v="SP080"/>
    <x v="0"/>
    <d v="2025-06-17T00:00:00"/>
    <x v="0"/>
    <s v="Music that moves youâ€”only on Spotify."/>
    <n v="2284"/>
    <n v="187"/>
    <n v="260"/>
    <n v="37400"/>
    <n v="65014"/>
    <n v="157"/>
    <x v="0"/>
    <s v="ChillVibes"/>
    <x v="79"/>
  </r>
  <r>
    <s v="SP080"/>
    <x v="0"/>
    <d v="2025-06-17T00:00:00"/>
    <x v="0"/>
    <s v="Music that moves youâ€”only on Spotify."/>
    <n v="2284"/>
    <n v="187"/>
    <n v="260"/>
    <n v="37400"/>
    <n v="65014"/>
    <n v="157"/>
    <x v="1"/>
    <s v="ChillVibes"/>
    <x v="79"/>
  </r>
  <r>
    <s v="SP081"/>
    <x v="1"/>
    <d v="2025-03-07T00:00:00"/>
    <x v="0"/>
    <s v="Get into the groove with our new drop!"/>
    <n v="4234"/>
    <n v="486"/>
    <n v="276"/>
    <n v="56623"/>
    <n v="41343"/>
    <n v="184"/>
    <x v="0"/>
    <s v="IndieWave"/>
    <x v="80"/>
  </r>
  <r>
    <s v="SP082"/>
    <x v="0"/>
    <d v="2024-08-26T00:00:00"/>
    <x v="0"/>
    <s v="Your weekend playlist is waiting."/>
    <n v="2102"/>
    <n v="181"/>
    <n v="306"/>
    <n v="43650"/>
    <n v="50079"/>
    <n v="182"/>
    <x v="2"/>
    <s v="IndieWave"/>
    <x v="81"/>
  </r>
  <r>
    <s v="SP083"/>
    <x v="1"/>
    <d v="2025-01-03T00:00:00"/>
    <x v="1"/>
    <s v="Get into the groove with our new drop!"/>
    <n v="4845"/>
    <n v="158"/>
    <n v="84"/>
    <n v="34578"/>
    <n v="51480"/>
    <n v="180"/>
    <x v="0"/>
    <s v="ChillVibes"/>
    <x v="82"/>
  </r>
  <r>
    <s v="SP083"/>
    <x v="1"/>
    <d v="2025-01-03T00:00:00"/>
    <x v="1"/>
    <s v="Get into the groove with our new drop!"/>
    <n v="4845"/>
    <n v="158"/>
    <n v="84"/>
    <n v="34578"/>
    <n v="51480"/>
    <n v="180"/>
    <x v="1"/>
    <s v="ChillVibes"/>
    <x v="82"/>
  </r>
  <r>
    <s v="SP084"/>
    <x v="1"/>
    <d v="2024-08-03T00:00:00"/>
    <x v="0"/>
    <s v="Your weekend playlist is waiting."/>
    <n v="4247"/>
    <n v="390"/>
    <n v="213"/>
    <n v="29785"/>
    <n v="57768"/>
    <n v="122"/>
    <x v="1"/>
    <s v="ChillVibes"/>
    <x v="83"/>
  </r>
  <r>
    <s v="SP085"/>
    <x v="0"/>
    <d v="2024-08-18T00:00:00"/>
    <x v="0"/>
    <s v="Explore the latest podcasts now."/>
    <n v="2965"/>
    <n v="328"/>
    <n v="171"/>
    <n v="57685"/>
    <n v="67536"/>
    <n v="264"/>
    <x v="0"/>
    <s v="ChillVibes"/>
    <x v="84"/>
  </r>
  <r>
    <s v="SP085"/>
    <x v="0"/>
    <d v="2024-08-18T00:00:00"/>
    <x v="0"/>
    <s v="Explore the latest podcasts now."/>
    <n v="2965"/>
    <n v="328"/>
    <n v="171"/>
    <n v="57685"/>
    <n v="67536"/>
    <n v="264"/>
    <x v="1"/>
    <s v="ChillVibes"/>
    <x v="84"/>
  </r>
  <r>
    <s v="SP086"/>
    <x v="1"/>
    <d v="2025-05-14T00:00:00"/>
    <x v="1"/>
    <s v="Wrapped is here! Relive your top tracks ðŸŽ§"/>
    <n v="1371"/>
    <n v="139"/>
    <n v="96"/>
    <n v="36140"/>
    <n v="39395"/>
    <n v="169"/>
    <x v="0"/>
    <s v="ChillVibes"/>
    <x v="85"/>
  </r>
  <r>
    <s v="SP086"/>
    <x v="1"/>
    <d v="2025-05-14T00:00:00"/>
    <x v="1"/>
    <s v="Wrapped is here! Relive your top tracks ðŸŽ§"/>
    <n v="1371"/>
    <n v="139"/>
    <n v="96"/>
    <n v="36140"/>
    <n v="39395"/>
    <n v="169"/>
    <x v="1"/>
    <s v="ChillVibes"/>
    <x v="85"/>
  </r>
  <r>
    <s v="SP087"/>
    <x v="1"/>
    <d v="2024-04-23T00:00:00"/>
    <x v="1"/>
    <s v="Discover fresh beats on Spotify!"/>
    <n v="2683"/>
    <n v="496"/>
    <n v="89"/>
    <n v="53435"/>
    <n v="30334"/>
    <n v="160"/>
    <x v="0"/>
    <s v="ChillVibes"/>
    <x v="86"/>
  </r>
  <r>
    <s v="SP087"/>
    <x v="1"/>
    <d v="2024-04-23T00:00:00"/>
    <x v="1"/>
    <s v="Discover fresh beats on Spotify!"/>
    <n v="2683"/>
    <n v="496"/>
    <n v="89"/>
    <n v="53435"/>
    <n v="30334"/>
    <n v="160"/>
    <x v="1"/>
    <s v="ChillVibes"/>
    <x v="86"/>
  </r>
  <r>
    <s v="SP088"/>
    <x v="1"/>
    <d v="2025-02-17T00:00:00"/>
    <x v="1"/>
    <s v="Whatâ€™s your vibe today? #SpotifyHits"/>
    <n v="4796"/>
    <n v="427"/>
    <n v="339"/>
    <n v="30752"/>
    <n v="33870"/>
    <n v="298"/>
    <x v="0"/>
    <s v="ChillVibes"/>
    <x v="87"/>
  </r>
  <r>
    <s v="SP088"/>
    <x v="1"/>
    <d v="2025-02-17T00:00:00"/>
    <x v="1"/>
    <s v="Whatâ€™s your vibe today? #SpotifyHits"/>
    <n v="4796"/>
    <n v="427"/>
    <n v="339"/>
    <n v="30752"/>
    <n v="33870"/>
    <n v="298"/>
    <x v="1"/>
    <s v="ChillVibes"/>
    <x v="87"/>
  </r>
  <r>
    <s v="SP089"/>
    <x v="0"/>
    <d v="2024-12-04T00:00:00"/>
    <x v="0"/>
    <s v="Wrapped is here! Relive your top tracks ðŸŽ§"/>
    <n v="2601"/>
    <n v="336"/>
    <n v="260"/>
    <n v="32368"/>
    <n v="49028"/>
    <n v="120"/>
    <x v="0"/>
    <s v="ChillVibes"/>
    <x v="88"/>
  </r>
  <r>
    <s v="SP089"/>
    <x v="0"/>
    <d v="2024-12-04T00:00:00"/>
    <x v="0"/>
    <s v="Wrapped is here! Relive your top tracks ðŸŽ§"/>
    <n v="2601"/>
    <n v="336"/>
    <n v="260"/>
    <n v="32368"/>
    <n v="49028"/>
    <n v="120"/>
    <x v="1"/>
    <s v="ChillVibes"/>
    <x v="88"/>
  </r>
  <r>
    <s v="SP090"/>
    <x v="1"/>
    <d v="2024-07-22T00:00:00"/>
    <x v="1"/>
    <s v="Wrapped is here! Relive your top tracks ðŸŽ§"/>
    <n v="3336"/>
    <n v="229"/>
    <n v="337"/>
    <n v="22117"/>
    <n v="26205"/>
    <n v="160"/>
    <x v="3"/>
    <s v="ChillVibes"/>
    <x v="89"/>
  </r>
  <r>
    <s v="SP090"/>
    <x v="1"/>
    <d v="2024-07-22T00:00:00"/>
    <x v="1"/>
    <s v="Wrapped is here! Relive your top tracks ðŸŽ§"/>
    <n v="3336"/>
    <n v="229"/>
    <n v="337"/>
    <n v="22117"/>
    <n v="26205"/>
    <n v="160"/>
    <x v="1"/>
    <s v="ChillVibes"/>
    <x v="89"/>
  </r>
  <r>
    <s v="SP091"/>
    <x v="1"/>
    <d v="2025-04-27T00:00:00"/>
    <x v="0"/>
    <s v="Explore the latest podcasts now."/>
    <n v="1165"/>
    <n v="294"/>
    <n v="163"/>
    <n v="20659"/>
    <n v="45926"/>
    <n v="111"/>
    <x v="0"/>
    <s v="IndieWave"/>
    <x v="90"/>
  </r>
  <r>
    <s v="SP092"/>
    <x v="2"/>
    <d v="2024-03-25T00:00:00"/>
    <x v="2"/>
    <s v="Explore the latest podcasts now."/>
    <n v="1948"/>
    <n v="155"/>
    <n v="315"/>
    <n v="30321"/>
    <n v="57121"/>
    <n v="82"/>
    <x v="2"/>
    <s v="SummerBeats"/>
    <x v="91"/>
  </r>
  <r>
    <s v="SP092"/>
    <x v="2"/>
    <d v="2024-03-25T00:00:00"/>
    <x v="2"/>
    <s v="Explore the latest podcasts now."/>
    <n v="1948"/>
    <n v="155"/>
    <n v="315"/>
    <n v="30321"/>
    <n v="57121"/>
    <n v="82"/>
    <x v="0"/>
    <s v="SummerBeats"/>
    <x v="91"/>
  </r>
  <r>
    <s v="SP093"/>
    <x v="0"/>
    <d v="2024-02-29T00:00:00"/>
    <x v="0"/>
    <s v="From pop to podcasts, itâ€™s all here."/>
    <n v="1100"/>
    <n v="229"/>
    <n v="312"/>
    <n v="25641"/>
    <n v="34601"/>
    <n v="169"/>
    <x v="2"/>
    <s v="IndieWave"/>
    <x v="92"/>
  </r>
  <r>
    <s v="SP094"/>
    <x v="1"/>
    <d v="2024-11-13T00:00:00"/>
    <x v="1"/>
    <s v="Top trending tracks updated daily!"/>
    <n v="4628"/>
    <n v="257"/>
    <n v="397"/>
    <n v="36686"/>
    <n v="54683"/>
    <n v="98"/>
    <x v="0"/>
    <s v="ChillVibes"/>
    <x v="93"/>
  </r>
  <r>
    <s v="SP094"/>
    <x v="1"/>
    <d v="2024-11-13T00:00:00"/>
    <x v="1"/>
    <s v="Top trending tracks updated daily!"/>
    <n v="4628"/>
    <n v="257"/>
    <n v="397"/>
    <n v="36686"/>
    <n v="54683"/>
    <n v="98"/>
    <x v="1"/>
    <s v="ChillVibes"/>
    <x v="93"/>
  </r>
  <r>
    <s v="SP095"/>
    <x v="0"/>
    <d v="2024-03-22T00:00:00"/>
    <x v="1"/>
    <s v="Discover fresh beats on Spotify!"/>
    <n v="2319"/>
    <n v="484"/>
    <n v="193"/>
    <n v="21202"/>
    <n v="18091"/>
    <n v="241"/>
    <x v="1"/>
    <s v="Wrapped2024"/>
    <x v="94"/>
  </r>
  <r>
    <s v="SP096"/>
    <x v="1"/>
    <d v="2024-03-16T00:00:00"/>
    <x v="1"/>
    <s v="Wrapped is here! Relive your top tracks ðŸŽ§"/>
    <n v="2895"/>
    <n v="292"/>
    <n v="90"/>
    <n v="24223"/>
    <n v="54626"/>
    <n v="114"/>
    <x v="0"/>
    <s v="ChillVibes"/>
    <x v="95"/>
  </r>
  <r>
    <s v="SP096"/>
    <x v="1"/>
    <d v="2024-03-16T00:00:00"/>
    <x v="1"/>
    <s v="Wrapped is here! Relive your top tracks ðŸŽ§"/>
    <n v="2895"/>
    <n v="292"/>
    <n v="90"/>
    <n v="24223"/>
    <n v="54626"/>
    <n v="114"/>
    <x v="1"/>
    <s v="ChillVibes"/>
    <x v="95"/>
  </r>
  <r>
    <s v="SP097"/>
    <x v="0"/>
    <d v="2024-01-26T00:00:00"/>
    <x v="0"/>
    <s v="Whatâ€™s your vibe today? #SpotifyHits"/>
    <n v="3878"/>
    <n v="431"/>
    <n v="97"/>
    <n v="41763"/>
    <n v="29729"/>
    <n v="191"/>
    <x v="2"/>
    <s v="IndieWave"/>
    <x v="96"/>
  </r>
  <r>
    <s v="SP098"/>
    <x v="1"/>
    <d v="2024-03-15T00:00:00"/>
    <x v="1"/>
    <s v="Get into the groove with our new drop!"/>
    <n v="4969"/>
    <n v="433"/>
    <n v="237"/>
    <n v="59552"/>
    <n v="23885"/>
    <n v="157"/>
    <x v="2"/>
    <s v="ChillVibes"/>
    <x v="97"/>
  </r>
  <r>
    <s v="SP098"/>
    <x v="1"/>
    <d v="2024-03-15T00:00:00"/>
    <x v="1"/>
    <s v="Get into the groove with our new drop!"/>
    <n v="4969"/>
    <n v="433"/>
    <n v="237"/>
    <n v="59552"/>
    <n v="23885"/>
    <n v="157"/>
    <x v="3"/>
    <s v="ChillVibes"/>
    <x v="97"/>
  </r>
  <r>
    <s v="SP099"/>
    <x v="1"/>
    <d v="2024-10-15T00:00:00"/>
    <x v="0"/>
    <s v="Wrapped is here! Relive your top tracks ðŸŽ§"/>
    <n v="1984"/>
    <n v="481"/>
    <n v="356"/>
    <n v="40681"/>
    <n v="63111"/>
    <n v="258"/>
    <x v="1"/>
    <s v="ChillVibes"/>
    <x v="98"/>
  </r>
  <r>
    <s v="SP100"/>
    <x v="0"/>
    <d v="2024-07-21T00:00:00"/>
    <x v="0"/>
    <s v="Discover fresh beats on Spotify!"/>
    <n v="3004"/>
    <n v="415"/>
    <n v="218"/>
    <n v="36090"/>
    <n v="37073"/>
    <n v="181"/>
    <x v="2"/>
    <s v="IndieWave"/>
    <x v="99"/>
  </r>
  <r>
    <s v="SP101"/>
    <x v="1"/>
    <d v="2024-10-12T00:00:00"/>
    <x v="0"/>
    <s v="Get into the groove with our new drop!"/>
    <n v="3169"/>
    <n v="386"/>
    <n v="175"/>
    <n v="45012"/>
    <n v="38508"/>
    <n v="218"/>
    <x v="1"/>
    <s v="ChillVibes"/>
    <x v="100"/>
  </r>
  <r>
    <s v="SP102"/>
    <x v="1"/>
    <d v="2024-10-26T00:00:00"/>
    <x v="0"/>
    <s v="Discover fresh beats on Spotify!"/>
    <n v="3036"/>
    <n v="293"/>
    <n v="115"/>
    <n v="23776"/>
    <n v="46386"/>
    <n v="282"/>
    <x v="1"/>
    <s v="ChillVibes"/>
    <x v="101"/>
  </r>
  <r>
    <s v="SP103"/>
    <x v="0"/>
    <d v="2024-02-14T00:00:00"/>
    <x v="0"/>
    <s v="Music that moves youâ€”only on Spotify."/>
    <n v="1830"/>
    <n v="112"/>
    <n v="181"/>
    <n v="31870"/>
    <n v="55742"/>
    <n v="263"/>
    <x v="0"/>
    <s v="ChillVibes"/>
    <x v="102"/>
  </r>
  <r>
    <s v="SP103"/>
    <x v="0"/>
    <d v="2024-02-14T00:00:00"/>
    <x v="0"/>
    <s v="Music that moves youâ€”only on Spotify."/>
    <n v="1830"/>
    <n v="112"/>
    <n v="181"/>
    <n v="31870"/>
    <n v="55742"/>
    <n v="263"/>
    <x v="1"/>
    <s v="ChillVibes"/>
    <x v="102"/>
  </r>
  <r>
    <s v="SP104"/>
    <x v="1"/>
    <d v="2024-05-01T00:00:00"/>
    <x v="1"/>
    <s v="Whatâ€™s your vibe today? #SpotifyHits"/>
    <n v="2587"/>
    <n v="447"/>
    <n v="183"/>
    <n v="36266"/>
    <n v="32877"/>
    <n v="132"/>
    <x v="2"/>
    <s v="ChillVibes"/>
    <x v="103"/>
  </r>
  <r>
    <s v="SP104"/>
    <x v="1"/>
    <d v="2024-05-01T00:00:00"/>
    <x v="1"/>
    <s v="Whatâ€™s your vibe today? #SpotifyHits"/>
    <n v="2587"/>
    <n v="447"/>
    <n v="183"/>
    <n v="36266"/>
    <n v="32877"/>
    <n v="132"/>
    <x v="3"/>
    <s v="ChillVibes"/>
    <x v="103"/>
  </r>
  <r>
    <s v="SP105"/>
    <x v="1"/>
    <d v="2024-09-18T00:00:00"/>
    <x v="0"/>
    <s v="Discover fresh beats on Spotify!"/>
    <n v="2878"/>
    <n v="265"/>
    <n v="91"/>
    <n v="52090"/>
    <n v="28924"/>
    <n v="133"/>
    <x v="1"/>
    <s v="ChillVibes"/>
    <x v="104"/>
  </r>
  <r>
    <s v="SP106"/>
    <x v="1"/>
    <d v="2025-01-20T00:00:00"/>
    <x v="1"/>
    <s v="New music just dropped. Hit play!"/>
    <n v="4619"/>
    <n v="272"/>
    <n v="57"/>
    <n v="21334"/>
    <n v="46292"/>
    <n v="91"/>
    <x v="0"/>
    <s v="ChillVibes"/>
    <x v="105"/>
  </r>
  <r>
    <s v="SP106"/>
    <x v="1"/>
    <d v="2025-01-20T00:00:00"/>
    <x v="1"/>
    <s v="New music just dropped. Hit play!"/>
    <n v="4619"/>
    <n v="272"/>
    <n v="57"/>
    <n v="21334"/>
    <n v="46292"/>
    <n v="91"/>
    <x v="1"/>
    <s v="ChillVibes"/>
    <x v="105"/>
  </r>
  <r>
    <s v="SP107"/>
    <x v="1"/>
    <d v="2025-01-13T00:00:00"/>
    <x v="0"/>
    <s v="Music that moves youâ€”only on Spotify."/>
    <n v="4090"/>
    <n v="209"/>
    <n v="278"/>
    <n v="52853"/>
    <n v="57084"/>
    <n v="102"/>
    <x v="0"/>
    <s v="IndieWave"/>
    <x v="106"/>
  </r>
  <r>
    <s v="SP108"/>
    <x v="2"/>
    <d v="2024-09-07T00:00:00"/>
    <x v="2"/>
    <s v="Music that moves youâ€”only on Spotify."/>
    <n v="3882"/>
    <n v="342"/>
    <n v="374"/>
    <n v="41991"/>
    <n v="48554"/>
    <n v="118"/>
    <x v="2"/>
    <s v="SummerBeats"/>
    <x v="107"/>
  </r>
  <r>
    <s v="SP108"/>
    <x v="2"/>
    <d v="2024-09-07T00:00:00"/>
    <x v="2"/>
    <s v="Music that moves youâ€”only on Spotify."/>
    <n v="3882"/>
    <n v="342"/>
    <n v="374"/>
    <n v="41991"/>
    <n v="48554"/>
    <n v="118"/>
    <x v="0"/>
    <s v="SummerBeats"/>
    <x v="107"/>
  </r>
  <r>
    <s v="SP109"/>
    <x v="0"/>
    <d v="2024-11-21T00:00:00"/>
    <x v="0"/>
    <s v="Music that moves youâ€”only on Spotify."/>
    <n v="4581"/>
    <n v="181"/>
    <n v="112"/>
    <n v="35221"/>
    <n v="28797"/>
    <n v="164"/>
    <x v="0"/>
    <s v="ChillVibes"/>
    <x v="108"/>
  </r>
  <r>
    <s v="SP109"/>
    <x v="0"/>
    <d v="2024-11-21T00:00:00"/>
    <x v="0"/>
    <s v="Music that moves youâ€”only on Spotify."/>
    <n v="4581"/>
    <n v="181"/>
    <n v="112"/>
    <n v="35221"/>
    <n v="28797"/>
    <n v="164"/>
    <x v="1"/>
    <s v="ChillVibes"/>
    <x v="108"/>
  </r>
  <r>
    <s v="SP110"/>
    <x v="0"/>
    <d v="2024-06-26T00:00:00"/>
    <x v="0"/>
    <s v="New music just dropped. Hit play!"/>
    <n v="3253"/>
    <n v="483"/>
    <n v="336"/>
    <n v="25397"/>
    <n v="51485"/>
    <n v="131"/>
    <x v="2"/>
    <s v="IndieWave"/>
    <x v="109"/>
  </r>
  <r>
    <s v="SP111"/>
    <x v="2"/>
    <d v="2024-07-20T00:00:00"/>
    <x v="2"/>
    <s v="Music that moves youâ€”only on Spotify."/>
    <n v="4955"/>
    <n v="299"/>
    <n v="345"/>
    <n v="33644"/>
    <n v="43547"/>
    <n v="194"/>
    <x v="2"/>
    <s v="SummerBeats"/>
    <x v="110"/>
  </r>
  <r>
    <s v="SP111"/>
    <x v="2"/>
    <d v="2024-07-20T00:00:00"/>
    <x v="2"/>
    <s v="Music that moves youâ€”only on Spotify."/>
    <n v="4955"/>
    <n v="299"/>
    <n v="345"/>
    <n v="33644"/>
    <n v="43547"/>
    <n v="194"/>
    <x v="0"/>
    <s v="SummerBeats"/>
    <x v="110"/>
  </r>
  <r>
    <s v="SP112"/>
    <x v="0"/>
    <d v="2025-02-16T00:00:00"/>
    <x v="0"/>
    <s v="Your weekend playlist is waiting."/>
    <n v="1333"/>
    <n v="286"/>
    <n v="298"/>
    <n v="36174"/>
    <n v="34517"/>
    <n v="170"/>
    <x v="0"/>
    <s v="ChillVibes"/>
    <x v="111"/>
  </r>
  <r>
    <s v="SP112"/>
    <x v="0"/>
    <d v="2025-02-16T00:00:00"/>
    <x v="0"/>
    <s v="Your weekend playlist is waiting."/>
    <n v="1333"/>
    <n v="286"/>
    <n v="298"/>
    <n v="36174"/>
    <n v="34517"/>
    <n v="170"/>
    <x v="1"/>
    <s v="ChillVibes"/>
    <x v="111"/>
  </r>
  <r>
    <s v="SP113"/>
    <x v="0"/>
    <d v="2024-09-09T00:00:00"/>
    <x v="0"/>
    <s v="New music just dropped. Hit play!"/>
    <n v="1616"/>
    <n v="360"/>
    <n v="180"/>
    <n v="54342"/>
    <n v="18796"/>
    <n v="282"/>
    <x v="0"/>
    <s v="ChillVibes"/>
    <x v="73"/>
  </r>
  <r>
    <s v="SP113"/>
    <x v="0"/>
    <d v="2024-09-09T00:00:00"/>
    <x v="0"/>
    <s v="New music just dropped. Hit play!"/>
    <n v="1616"/>
    <n v="360"/>
    <n v="180"/>
    <n v="54342"/>
    <n v="18796"/>
    <n v="282"/>
    <x v="1"/>
    <s v="ChillVibes"/>
    <x v="73"/>
  </r>
  <r>
    <s v="SP114"/>
    <x v="1"/>
    <d v="2024-07-16T00:00:00"/>
    <x v="0"/>
    <s v="Top trending tracks updated daily!"/>
    <n v="1803"/>
    <n v="273"/>
    <n v="287"/>
    <n v="46176"/>
    <n v="25488"/>
    <n v="141"/>
    <x v="1"/>
    <s v="ChillVibes"/>
    <x v="112"/>
  </r>
  <r>
    <s v="SP115"/>
    <x v="0"/>
    <d v="2025-04-15T00:00:00"/>
    <x v="0"/>
    <s v="Explore the latest podcasts now."/>
    <n v="4177"/>
    <n v="489"/>
    <n v="331"/>
    <n v="57451"/>
    <n v="73793"/>
    <n v="251"/>
    <x v="2"/>
    <s v="IndieWave"/>
    <x v="113"/>
  </r>
  <r>
    <s v="SP116"/>
    <x v="0"/>
    <d v="2025-05-04T00:00:00"/>
    <x v="1"/>
    <s v="New music just dropped. Hit play!"/>
    <n v="1311"/>
    <n v="181"/>
    <n v="361"/>
    <n v="37148"/>
    <n v="44875"/>
    <n v="245"/>
    <x v="1"/>
    <s v="Wrapped2024"/>
    <x v="114"/>
  </r>
  <r>
    <s v="SP117"/>
    <x v="0"/>
    <d v="2024-02-18T00:00:00"/>
    <x v="1"/>
    <s v="From pop to podcasts, itâ€™s all here."/>
    <n v="1516"/>
    <n v="215"/>
    <n v="332"/>
    <n v="58981"/>
    <n v="36118"/>
    <n v="211"/>
    <x v="1"/>
    <s v="Wrapped2024"/>
    <x v="115"/>
  </r>
  <r>
    <s v="SP118"/>
    <x v="1"/>
    <d v="2024-05-16T00:00:00"/>
    <x v="1"/>
    <s v="Music that moves youâ€”only on Spotify."/>
    <n v="2023"/>
    <n v="124"/>
    <n v="99"/>
    <n v="54524"/>
    <n v="34790"/>
    <n v="195"/>
    <x v="2"/>
    <s v="ChillVibes"/>
    <x v="116"/>
  </r>
  <r>
    <s v="SP118"/>
    <x v="1"/>
    <d v="2024-05-16T00:00:00"/>
    <x v="1"/>
    <s v="Music that moves youâ€”only on Spotify."/>
    <n v="2023"/>
    <n v="124"/>
    <n v="99"/>
    <n v="54524"/>
    <n v="34790"/>
    <n v="195"/>
    <x v="3"/>
    <s v="ChillVibes"/>
    <x v="116"/>
  </r>
  <r>
    <s v="SP119"/>
    <x v="1"/>
    <d v="2025-05-29T00:00:00"/>
    <x v="1"/>
    <s v="Music that moves youâ€”only on Spotify."/>
    <n v="2134"/>
    <n v="322"/>
    <n v="114"/>
    <n v="44338"/>
    <n v="52165"/>
    <n v="176"/>
    <x v="3"/>
    <s v="ChillVibes"/>
    <x v="117"/>
  </r>
  <r>
    <s v="SP119"/>
    <x v="1"/>
    <d v="2025-05-29T00:00:00"/>
    <x v="1"/>
    <s v="Music that moves youâ€”only on Spotify."/>
    <n v="2134"/>
    <n v="322"/>
    <n v="114"/>
    <n v="44338"/>
    <n v="52165"/>
    <n v="176"/>
    <x v="1"/>
    <s v="ChillVibes"/>
    <x v="117"/>
  </r>
  <r>
    <s v="SP120"/>
    <x v="0"/>
    <d v="2025-01-17T00:00:00"/>
    <x v="0"/>
    <s v="Top trending tracks updated daily!"/>
    <n v="2266"/>
    <n v="126"/>
    <n v="140"/>
    <n v="53759"/>
    <n v="46834"/>
    <n v="277"/>
    <x v="2"/>
    <s v="IndieWave"/>
    <x v="118"/>
  </r>
  <r>
    <s v="SP121"/>
    <x v="0"/>
    <d v="2025-04-30T00:00:00"/>
    <x v="1"/>
    <s v="New music just dropped. Hit play!"/>
    <n v="3916"/>
    <n v="459"/>
    <n v="229"/>
    <n v="48989"/>
    <n v="39768"/>
    <n v="200"/>
    <x v="1"/>
    <s v="Wrapped2024"/>
    <x v="119"/>
  </r>
  <r>
    <s v="SP122"/>
    <x v="1"/>
    <d v="2024-02-24T00:00:00"/>
    <x v="1"/>
    <s v="Music that moves youâ€”only on Spotify."/>
    <n v="1022"/>
    <n v="463"/>
    <n v="360"/>
    <n v="51468"/>
    <n v="24279"/>
    <n v="230"/>
    <x v="2"/>
    <s v="ChillVibes"/>
    <x v="120"/>
  </r>
  <r>
    <s v="SP122"/>
    <x v="1"/>
    <d v="2024-02-24T00:00:00"/>
    <x v="1"/>
    <s v="Music that moves youâ€”only on Spotify."/>
    <n v="1022"/>
    <n v="463"/>
    <n v="360"/>
    <n v="51468"/>
    <n v="24279"/>
    <n v="230"/>
    <x v="3"/>
    <s v="ChillVibes"/>
    <x v="120"/>
  </r>
  <r>
    <s v="SP123"/>
    <x v="2"/>
    <d v="2024-05-12T00:00:00"/>
    <x v="0"/>
    <s v="From pop to podcasts, itâ€™s all here."/>
    <n v="2911"/>
    <n v="467"/>
    <n v="94"/>
    <n v="59083"/>
    <n v="49762"/>
    <n v="236"/>
    <x v="2"/>
    <s v="IndieWave"/>
    <x v="121"/>
  </r>
  <r>
    <s v="SP123"/>
    <x v="2"/>
    <d v="2024-05-12T00:00:00"/>
    <x v="0"/>
    <s v="From pop to podcasts, itâ€™s all here."/>
    <n v="2911"/>
    <n v="467"/>
    <n v="94"/>
    <n v="59083"/>
    <n v="49762"/>
    <n v="236"/>
    <x v="4"/>
    <s v="IndieWave"/>
    <x v="121"/>
  </r>
  <r>
    <s v="SP124"/>
    <x v="1"/>
    <d v="2024-05-09T00:00:00"/>
    <x v="1"/>
    <s v="New music just dropped. Hit play!"/>
    <n v="3277"/>
    <n v="423"/>
    <n v="259"/>
    <n v="46328"/>
    <n v="44293"/>
    <n v="299"/>
    <x v="0"/>
    <s v="ChillVibes"/>
    <x v="122"/>
  </r>
  <r>
    <s v="SP124"/>
    <x v="1"/>
    <d v="2024-05-09T00:00:00"/>
    <x v="1"/>
    <s v="New music just dropped. Hit play!"/>
    <n v="3277"/>
    <n v="423"/>
    <n v="259"/>
    <n v="46328"/>
    <n v="44293"/>
    <n v="299"/>
    <x v="1"/>
    <s v="ChillVibes"/>
    <x v="122"/>
  </r>
  <r>
    <s v="SP125"/>
    <x v="1"/>
    <d v="2024-11-06T00:00:00"/>
    <x v="0"/>
    <s v="From pop to podcasts, itâ€™s all here."/>
    <n v="2956"/>
    <n v="381"/>
    <n v="345"/>
    <n v="33347"/>
    <n v="22558"/>
    <n v="173"/>
    <x v="1"/>
    <s v="ChillVibes"/>
    <x v="123"/>
  </r>
  <r>
    <s v="SP126"/>
    <x v="1"/>
    <d v="2024-01-04T00:00:00"/>
    <x v="1"/>
    <s v="Whatâ€™s your vibe today? #SpotifyHits"/>
    <n v="3208"/>
    <n v="476"/>
    <n v="277"/>
    <n v="56072"/>
    <n v="21061"/>
    <n v="113"/>
    <x v="3"/>
    <s v="ChillVibes"/>
    <x v="124"/>
  </r>
  <r>
    <s v="SP126"/>
    <x v="1"/>
    <d v="2024-01-04T00:00:00"/>
    <x v="1"/>
    <s v="Whatâ€™s your vibe today? #SpotifyHits"/>
    <n v="3208"/>
    <n v="476"/>
    <n v="277"/>
    <n v="56072"/>
    <n v="21061"/>
    <n v="113"/>
    <x v="1"/>
    <s v="ChillVibes"/>
    <x v="124"/>
  </r>
  <r>
    <s v="SP127"/>
    <x v="1"/>
    <d v="2024-01-28T00:00:00"/>
    <x v="0"/>
    <s v="Music that moves youâ€”only on Spotify."/>
    <n v="1456"/>
    <n v="265"/>
    <n v="137"/>
    <n v="53485"/>
    <n v="59729"/>
    <n v="145"/>
    <x v="0"/>
    <s v="IndieWave"/>
    <x v="125"/>
  </r>
  <r>
    <s v="SP128"/>
    <x v="0"/>
    <d v="2024-02-22T00:00:00"/>
    <x v="0"/>
    <s v="New music just dropped. Hit play!"/>
    <n v="1902"/>
    <n v="394"/>
    <n v="279"/>
    <n v="24615"/>
    <n v="51330"/>
    <n v="176"/>
    <x v="0"/>
    <s v="ChillVibes"/>
    <x v="126"/>
  </r>
  <r>
    <s v="SP128"/>
    <x v="0"/>
    <d v="2024-02-22T00:00:00"/>
    <x v="0"/>
    <s v="New music just dropped. Hit play!"/>
    <n v="1902"/>
    <n v="394"/>
    <n v="279"/>
    <n v="24615"/>
    <n v="51330"/>
    <n v="176"/>
    <x v="1"/>
    <s v="ChillVibes"/>
    <x v="126"/>
  </r>
  <r>
    <s v="SP129"/>
    <x v="1"/>
    <d v="2025-07-01T00:00:00"/>
    <x v="1"/>
    <s v="Explore the latest podcasts now."/>
    <n v="3219"/>
    <n v="424"/>
    <n v="267"/>
    <n v="48879"/>
    <n v="37691"/>
    <n v="224"/>
    <x v="2"/>
    <s v="ChillVibes"/>
    <x v="127"/>
  </r>
  <r>
    <s v="SP129"/>
    <x v="1"/>
    <d v="2025-07-01T00:00:00"/>
    <x v="1"/>
    <s v="Explore the latest podcasts now."/>
    <n v="3219"/>
    <n v="424"/>
    <n v="267"/>
    <n v="48879"/>
    <n v="37691"/>
    <n v="224"/>
    <x v="3"/>
    <s v="ChillVibes"/>
    <x v="127"/>
  </r>
  <r>
    <s v="SP130"/>
    <x v="2"/>
    <d v="2024-01-10T00:00:00"/>
    <x v="0"/>
    <s v="Explore the latest podcasts now."/>
    <n v="1261"/>
    <n v="190"/>
    <n v="233"/>
    <n v="59888"/>
    <n v="51449"/>
    <n v="205"/>
    <x v="2"/>
    <s v="IndieWave"/>
    <x v="128"/>
  </r>
  <r>
    <s v="SP130"/>
    <x v="2"/>
    <d v="2024-01-10T00:00:00"/>
    <x v="0"/>
    <s v="Explore the latest podcasts now."/>
    <n v="1261"/>
    <n v="190"/>
    <n v="233"/>
    <n v="59888"/>
    <n v="51449"/>
    <n v="205"/>
    <x v="4"/>
    <s v="IndieWave"/>
    <x v="128"/>
  </r>
  <r>
    <s v="SP131"/>
    <x v="1"/>
    <d v="2025-03-20T00:00:00"/>
    <x v="0"/>
    <s v="Your weekend playlist is waiting."/>
    <n v="1564"/>
    <n v="362"/>
    <n v="371"/>
    <n v="42075"/>
    <n v="66659"/>
    <n v="205"/>
    <x v="0"/>
    <s v="IndieWave"/>
    <x v="129"/>
  </r>
  <r>
    <s v="SP132"/>
    <x v="1"/>
    <d v="2024-09-28T00:00:00"/>
    <x v="0"/>
    <s v="Whatâ€™s your vibe today? #SpotifyHits"/>
    <n v="4006"/>
    <n v="420"/>
    <n v="194"/>
    <n v="49964"/>
    <n v="20685"/>
    <n v="148"/>
    <x v="1"/>
    <s v="ChillVibes"/>
    <x v="130"/>
  </r>
  <r>
    <s v="SP133"/>
    <x v="2"/>
    <d v="2024-01-27T00:00:00"/>
    <x v="0"/>
    <s v="Your weekend playlist is waiting."/>
    <n v="1976"/>
    <n v="262"/>
    <n v="218"/>
    <n v="51696"/>
    <n v="44846"/>
    <n v="139"/>
    <x v="2"/>
    <s v="IndieWave"/>
    <x v="131"/>
  </r>
  <r>
    <s v="SP133"/>
    <x v="2"/>
    <d v="2024-01-27T00:00:00"/>
    <x v="0"/>
    <s v="Your weekend playlist is waiting."/>
    <n v="1976"/>
    <n v="262"/>
    <n v="218"/>
    <n v="51696"/>
    <n v="44846"/>
    <n v="139"/>
    <x v="4"/>
    <s v="IndieWave"/>
    <x v="131"/>
  </r>
  <r>
    <s v="SP134"/>
    <x v="1"/>
    <d v="2025-05-15T00:00:00"/>
    <x v="0"/>
    <s v="New music just dropped. Hit play!"/>
    <n v="1583"/>
    <n v="433"/>
    <n v="249"/>
    <n v="30256"/>
    <n v="47066"/>
    <n v="196"/>
    <x v="1"/>
    <s v="ChillVibes"/>
    <x v="132"/>
  </r>
  <r>
    <s v="SP135"/>
    <x v="1"/>
    <d v="2024-10-04T00:00:00"/>
    <x v="1"/>
    <s v="Explore the latest podcasts now."/>
    <n v="2870"/>
    <n v="380"/>
    <n v="393"/>
    <n v="37621"/>
    <n v="71794"/>
    <n v="127"/>
    <x v="3"/>
    <s v="ChillVibes"/>
    <x v="133"/>
  </r>
  <r>
    <s v="SP135"/>
    <x v="1"/>
    <d v="2024-10-04T00:00:00"/>
    <x v="1"/>
    <s v="Explore the latest podcasts now."/>
    <n v="2870"/>
    <n v="380"/>
    <n v="393"/>
    <n v="37621"/>
    <n v="71794"/>
    <n v="127"/>
    <x v="1"/>
    <s v="ChillVibes"/>
    <x v="133"/>
  </r>
  <r>
    <s v="SP136"/>
    <x v="1"/>
    <d v="2024-11-19T00:00:00"/>
    <x v="0"/>
    <s v="Top trending tracks updated daily!"/>
    <n v="3728"/>
    <n v="271"/>
    <n v="275"/>
    <n v="22827"/>
    <n v="37034"/>
    <n v="199"/>
    <x v="1"/>
    <s v="ChillVibes"/>
    <x v="134"/>
  </r>
  <r>
    <s v="SP137"/>
    <x v="1"/>
    <d v="2024-04-05T00:00:00"/>
    <x v="1"/>
    <s v="New music just dropped. Hit play!"/>
    <n v="4965"/>
    <n v="175"/>
    <n v="307"/>
    <n v="32793"/>
    <n v="43412"/>
    <n v="296"/>
    <x v="0"/>
    <s v="ChillVibes"/>
    <x v="135"/>
  </r>
  <r>
    <s v="SP137"/>
    <x v="1"/>
    <d v="2024-04-05T00:00:00"/>
    <x v="1"/>
    <s v="New music just dropped. Hit play!"/>
    <n v="4965"/>
    <n v="175"/>
    <n v="307"/>
    <n v="32793"/>
    <n v="43412"/>
    <n v="296"/>
    <x v="1"/>
    <s v="ChillVibes"/>
    <x v="135"/>
  </r>
  <r>
    <s v="SP138"/>
    <x v="1"/>
    <d v="2024-11-28T00:00:00"/>
    <x v="1"/>
    <s v="New music just dropped. Hit play!"/>
    <n v="1131"/>
    <n v="100"/>
    <n v="116"/>
    <n v="48437"/>
    <n v="72704"/>
    <n v="236"/>
    <x v="2"/>
    <s v="ChillVibes"/>
    <x v="136"/>
  </r>
  <r>
    <s v="SP138"/>
    <x v="1"/>
    <d v="2024-11-28T00:00:00"/>
    <x v="1"/>
    <s v="New music just dropped. Hit play!"/>
    <n v="1131"/>
    <n v="100"/>
    <n v="116"/>
    <n v="48437"/>
    <n v="72704"/>
    <n v="236"/>
    <x v="3"/>
    <s v="ChillVibes"/>
    <x v="136"/>
  </r>
  <r>
    <s v="SP139"/>
    <x v="1"/>
    <d v="2025-03-09T00:00:00"/>
    <x v="0"/>
    <s v="Your weekend playlist is waiting."/>
    <n v="2754"/>
    <n v="215"/>
    <n v="264"/>
    <n v="27762"/>
    <n v="70203"/>
    <n v="289"/>
    <x v="1"/>
    <s v="ChillVibes"/>
    <x v="137"/>
  </r>
  <r>
    <s v="SP140"/>
    <x v="1"/>
    <d v="2024-08-27T00:00:00"/>
    <x v="1"/>
    <s v="New music just dropped. Hit play!"/>
    <n v="1856"/>
    <n v="357"/>
    <n v="348"/>
    <n v="29428"/>
    <n v="70206"/>
    <n v="236"/>
    <x v="3"/>
    <s v="ChillVibes"/>
    <x v="138"/>
  </r>
  <r>
    <s v="SP140"/>
    <x v="1"/>
    <d v="2024-08-27T00:00:00"/>
    <x v="1"/>
    <s v="New music just dropped. Hit play!"/>
    <n v="1856"/>
    <n v="357"/>
    <n v="348"/>
    <n v="29428"/>
    <n v="70206"/>
    <n v="236"/>
    <x v="1"/>
    <s v="ChillVibes"/>
    <x v="138"/>
  </r>
  <r>
    <s v="SP141"/>
    <x v="2"/>
    <d v="2024-10-01T00:00:00"/>
    <x v="2"/>
    <s v="Explore the latest podcasts now."/>
    <n v="3543"/>
    <n v="334"/>
    <n v="218"/>
    <n v="58007"/>
    <n v="24792"/>
    <n v="273"/>
    <x v="2"/>
    <s v="SummerBeats"/>
    <x v="139"/>
  </r>
  <r>
    <s v="SP141"/>
    <x v="2"/>
    <d v="2024-10-01T00:00:00"/>
    <x v="2"/>
    <s v="Explore the latest podcasts now."/>
    <n v="3543"/>
    <n v="334"/>
    <n v="218"/>
    <n v="58007"/>
    <n v="24792"/>
    <n v="273"/>
    <x v="0"/>
    <s v="SummerBeats"/>
    <x v="139"/>
  </r>
  <r>
    <s v="SP142"/>
    <x v="0"/>
    <d v="2024-12-21T00:00:00"/>
    <x v="1"/>
    <s v="New music just dropped. Hit play!"/>
    <n v="4563"/>
    <n v="398"/>
    <n v="163"/>
    <n v="43679"/>
    <n v="48760"/>
    <n v="92"/>
    <x v="1"/>
    <s v="Wrapped2024"/>
    <x v="140"/>
  </r>
  <r>
    <s v="SP143"/>
    <x v="0"/>
    <d v="2024-06-17T00:00:00"/>
    <x v="0"/>
    <s v="Discover fresh beats on Spotify!"/>
    <n v="4283"/>
    <n v="471"/>
    <n v="156"/>
    <n v="53004"/>
    <n v="25678"/>
    <n v="105"/>
    <x v="2"/>
    <s v="IndieWave"/>
    <x v="141"/>
  </r>
  <r>
    <s v="SP144"/>
    <x v="0"/>
    <d v="2025-02-14T00:00:00"/>
    <x v="0"/>
    <s v="Discover fresh beats on Spotify!"/>
    <n v="2329"/>
    <n v="373"/>
    <n v="291"/>
    <n v="49577"/>
    <n v="28002"/>
    <n v="82"/>
    <x v="0"/>
    <s v="ChillVibes"/>
    <x v="142"/>
  </r>
  <r>
    <s v="SP144"/>
    <x v="0"/>
    <d v="2025-02-14T00:00:00"/>
    <x v="0"/>
    <s v="Discover fresh beats on Spotify!"/>
    <n v="2329"/>
    <n v="373"/>
    <n v="291"/>
    <n v="49577"/>
    <n v="28002"/>
    <n v="82"/>
    <x v="1"/>
    <s v="ChillVibes"/>
    <x v="142"/>
  </r>
  <r>
    <s v="SP145"/>
    <x v="1"/>
    <d v="2025-05-28T00:00:00"/>
    <x v="1"/>
    <s v="Top trending tracks updated daily!"/>
    <n v="4287"/>
    <n v="273"/>
    <n v="122"/>
    <n v="40792"/>
    <n v="23878"/>
    <n v="277"/>
    <x v="3"/>
    <s v="ChillVibes"/>
    <x v="143"/>
  </r>
  <r>
    <s v="SP145"/>
    <x v="1"/>
    <d v="2025-05-28T00:00:00"/>
    <x v="1"/>
    <s v="Top trending tracks updated daily!"/>
    <n v="4287"/>
    <n v="273"/>
    <n v="122"/>
    <n v="40792"/>
    <n v="23878"/>
    <n v="277"/>
    <x v="1"/>
    <s v="ChillVibes"/>
    <x v="143"/>
  </r>
  <r>
    <s v="SP146"/>
    <x v="0"/>
    <d v="2025-05-22T00:00:00"/>
    <x v="0"/>
    <s v="Discover fresh beats on Spotify!"/>
    <n v="2633"/>
    <n v="318"/>
    <n v="380"/>
    <n v="40869"/>
    <n v="64474"/>
    <n v="245"/>
    <x v="2"/>
    <s v="IndieWave"/>
    <x v="144"/>
  </r>
  <r>
    <s v="SP147"/>
    <x v="1"/>
    <d v="2024-01-21T00:00:00"/>
    <x v="1"/>
    <s v="Discover fresh beats on Spotify!"/>
    <n v="2383"/>
    <n v="136"/>
    <n v="302"/>
    <n v="39187"/>
    <n v="22133"/>
    <n v="208"/>
    <x v="3"/>
    <s v="ChillVibes"/>
    <x v="98"/>
  </r>
  <r>
    <s v="SP147"/>
    <x v="1"/>
    <d v="2024-01-21T00:00:00"/>
    <x v="1"/>
    <s v="Discover fresh beats on Spotify!"/>
    <n v="2383"/>
    <n v="136"/>
    <n v="302"/>
    <n v="39187"/>
    <n v="22133"/>
    <n v="208"/>
    <x v="1"/>
    <s v="ChillVibes"/>
    <x v="98"/>
  </r>
  <r>
    <s v="SP148"/>
    <x v="1"/>
    <d v="2025-02-08T00:00:00"/>
    <x v="1"/>
    <s v="Your weekend playlist is waiting."/>
    <n v="4752"/>
    <n v="334"/>
    <n v="56"/>
    <n v="48017"/>
    <n v="55534"/>
    <n v="270"/>
    <x v="2"/>
    <s v="ChillVibes"/>
    <x v="145"/>
  </r>
  <r>
    <s v="SP148"/>
    <x v="1"/>
    <d v="2025-02-08T00:00:00"/>
    <x v="1"/>
    <s v="Your weekend playlist is waiting."/>
    <n v="4752"/>
    <n v="334"/>
    <n v="56"/>
    <n v="48017"/>
    <n v="55534"/>
    <n v="270"/>
    <x v="3"/>
    <s v="ChillVibes"/>
    <x v="145"/>
  </r>
  <r>
    <s v="SP149"/>
    <x v="1"/>
    <d v="2025-04-13T00:00:00"/>
    <x v="0"/>
    <s v="From pop to podcasts, itâ€™s all here."/>
    <n v="3890"/>
    <n v="408"/>
    <n v="338"/>
    <n v="56994"/>
    <n v="32621"/>
    <n v="286"/>
    <x v="0"/>
    <s v="IndieWave"/>
    <x v="146"/>
  </r>
  <r>
    <s v="SP150"/>
    <x v="1"/>
    <d v="2024-05-30T00:00:00"/>
    <x v="1"/>
    <s v="Your weekend playlist is waiting."/>
    <n v="2311"/>
    <n v="207"/>
    <n v="363"/>
    <n v="30349"/>
    <n v="32925"/>
    <n v="88"/>
    <x v="3"/>
    <s v="ChillVibes"/>
    <x v="147"/>
  </r>
  <r>
    <s v="SP150"/>
    <x v="1"/>
    <d v="2024-05-30T00:00:00"/>
    <x v="1"/>
    <s v="Your weekend playlist is waiting."/>
    <n v="2311"/>
    <n v="207"/>
    <n v="363"/>
    <n v="30349"/>
    <n v="32925"/>
    <n v="88"/>
    <x v="1"/>
    <s v="ChillVibes"/>
    <x v="147"/>
  </r>
  <r>
    <s v="SP151"/>
    <x v="0"/>
    <d v="2024-08-12T00:00:00"/>
    <x v="1"/>
    <s v="Discover fresh beats on Spotify!"/>
    <n v="2962"/>
    <n v="400"/>
    <n v="280"/>
    <n v="52508"/>
    <n v="58329"/>
    <n v="219"/>
    <x v="1"/>
    <s v="Wrapped2024"/>
    <x v="148"/>
  </r>
  <r>
    <s v="SP152"/>
    <x v="0"/>
    <d v="2024-09-27T00:00:00"/>
    <x v="0"/>
    <s v="Discover fresh beats on Spotify!"/>
    <n v="3118"/>
    <n v="116"/>
    <n v="195"/>
    <n v="37100"/>
    <n v="62629"/>
    <n v="272"/>
    <x v="2"/>
    <s v="IndieWave"/>
    <x v="149"/>
  </r>
  <r>
    <s v="SP153"/>
    <x v="1"/>
    <d v="2025-06-11T00:00:00"/>
    <x v="1"/>
    <s v="Explore the latest podcasts now."/>
    <n v="3805"/>
    <n v="453"/>
    <n v="63"/>
    <n v="52395"/>
    <n v="72934"/>
    <n v="87"/>
    <x v="2"/>
    <s v="ChillVibes"/>
    <x v="150"/>
  </r>
  <r>
    <s v="SP153"/>
    <x v="1"/>
    <d v="2025-06-11T00:00:00"/>
    <x v="1"/>
    <s v="Explore the latest podcasts now."/>
    <n v="3805"/>
    <n v="453"/>
    <n v="63"/>
    <n v="52395"/>
    <n v="72934"/>
    <n v="87"/>
    <x v="3"/>
    <s v="ChillVibes"/>
    <x v="150"/>
  </r>
  <r>
    <s v="SP154"/>
    <x v="0"/>
    <d v="2024-11-19T00:00:00"/>
    <x v="0"/>
    <s v="Whatâ€™s your vibe today? #SpotifyHits"/>
    <n v="2525"/>
    <n v="272"/>
    <n v="294"/>
    <n v="51875"/>
    <n v="24732"/>
    <n v="92"/>
    <x v="2"/>
    <s v="IndieWave"/>
    <x v="151"/>
  </r>
  <r>
    <s v="SP155"/>
    <x v="0"/>
    <d v="2024-04-25T00:00:00"/>
    <x v="0"/>
    <s v="Music that moves youâ€”only on Spotify."/>
    <n v="3563"/>
    <n v="483"/>
    <n v="227"/>
    <n v="41085"/>
    <n v="26393"/>
    <n v="236"/>
    <x v="0"/>
    <s v="ChillVibes"/>
    <x v="152"/>
  </r>
  <r>
    <s v="SP155"/>
    <x v="0"/>
    <d v="2024-04-25T00:00:00"/>
    <x v="0"/>
    <s v="Music that moves youâ€”only on Spotify."/>
    <n v="3563"/>
    <n v="483"/>
    <n v="227"/>
    <n v="41085"/>
    <n v="26393"/>
    <n v="236"/>
    <x v="1"/>
    <s v="ChillVibes"/>
    <x v="152"/>
  </r>
  <r>
    <s v="SP156"/>
    <x v="2"/>
    <d v="2024-09-03T00:00:00"/>
    <x v="2"/>
    <s v="Whatâ€™s your vibe today? #SpotifyHits"/>
    <n v="1437"/>
    <n v="494"/>
    <n v="129"/>
    <n v="53048"/>
    <n v="44090"/>
    <n v="230"/>
    <x v="2"/>
    <s v="SummerBeats"/>
    <x v="153"/>
  </r>
  <r>
    <s v="SP156"/>
    <x v="2"/>
    <d v="2024-09-03T00:00:00"/>
    <x v="2"/>
    <s v="Whatâ€™s your vibe today? #SpotifyHits"/>
    <n v="1437"/>
    <n v="494"/>
    <n v="129"/>
    <n v="53048"/>
    <n v="44090"/>
    <n v="230"/>
    <x v="0"/>
    <s v="SummerBeats"/>
    <x v="153"/>
  </r>
  <r>
    <s v="SP157"/>
    <x v="2"/>
    <d v="2025-03-02T00:00:00"/>
    <x v="0"/>
    <s v="From pop to podcasts, itâ€™s all here."/>
    <n v="4425"/>
    <n v="185"/>
    <n v="162"/>
    <n v="24610"/>
    <n v="21342"/>
    <n v="158"/>
    <x v="2"/>
    <s v="IndieWave"/>
    <x v="154"/>
  </r>
  <r>
    <s v="SP157"/>
    <x v="2"/>
    <d v="2025-03-02T00:00:00"/>
    <x v="0"/>
    <s v="From pop to podcasts, itâ€™s all here."/>
    <n v="4425"/>
    <n v="185"/>
    <n v="162"/>
    <n v="24610"/>
    <n v="21342"/>
    <n v="158"/>
    <x v="4"/>
    <s v="IndieWave"/>
    <x v="154"/>
  </r>
  <r>
    <s v="SP158"/>
    <x v="1"/>
    <d v="2025-03-21T00:00:00"/>
    <x v="1"/>
    <s v="New music just dropped. Hit play!"/>
    <n v="4609"/>
    <n v="427"/>
    <n v="395"/>
    <n v="33698"/>
    <n v="29259"/>
    <n v="216"/>
    <x v="2"/>
    <s v="ChillVibes"/>
    <x v="155"/>
  </r>
  <r>
    <s v="SP158"/>
    <x v="1"/>
    <d v="2025-03-21T00:00:00"/>
    <x v="1"/>
    <s v="New music just dropped. Hit play!"/>
    <n v="4609"/>
    <n v="427"/>
    <n v="395"/>
    <n v="33698"/>
    <n v="29259"/>
    <n v="216"/>
    <x v="3"/>
    <s v="ChillVibes"/>
    <x v="155"/>
  </r>
  <r>
    <s v="SP159"/>
    <x v="0"/>
    <d v="2024-04-12T00:00:00"/>
    <x v="1"/>
    <s v="Get into the groove with our new drop!"/>
    <n v="1558"/>
    <n v="352"/>
    <n v="202"/>
    <n v="25405"/>
    <n v="69941"/>
    <n v="219"/>
    <x v="1"/>
    <s v="Wrapped2024"/>
    <x v="156"/>
  </r>
  <r>
    <s v="SP160"/>
    <x v="2"/>
    <d v="2024-02-08T00:00:00"/>
    <x v="2"/>
    <s v="Top trending tracks updated daily!"/>
    <n v="1889"/>
    <n v="298"/>
    <n v="122"/>
    <n v="46225"/>
    <n v="74305"/>
    <n v="293"/>
    <x v="2"/>
    <s v="SummerBeats"/>
    <x v="157"/>
  </r>
  <r>
    <s v="SP160"/>
    <x v="2"/>
    <d v="2024-02-08T00:00:00"/>
    <x v="2"/>
    <s v="Top trending tracks updated daily!"/>
    <n v="1889"/>
    <n v="298"/>
    <n v="122"/>
    <n v="46225"/>
    <n v="74305"/>
    <n v="293"/>
    <x v="0"/>
    <s v="SummerBeats"/>
    <x v="157"/>
  </r>
  <r>
    <s v="SP161"/>
    <x v="0"/>
    <d v="2025-05-26T00:00:00"/>
    <x v="0"/>
    <s v="Discover fresh beats on Spotify!"/>
    <n v="3086"/>
    <n v="148"/>
    <n v="310"/>
    <n v="22824"/>
    <n v="58103"/>
    <n v="275"/>
    <x v="2"/>
    <s v="IndieWave"/>
    <x v="158"/>
  </r>
  <r>
    <s v="SP162"/>
    <x v="0"/>
    <d v="2024-11-14T00:00:00"/>
    <x v="0"/>
    <s v="Music that moves youâ€”only on Spotify."/>
    <n v="2422"/>
    <n v="318"/>
    <n v="118"/>
    <n v="25386"/>
    <n v="20873"/>
    <n v="100"/>
    <x v="0"/>
    <s v="ChillVibes"/>
    <x v="159"/>
  </r>
  <r>
    <s v="SP162"/>
    <x v="0"/>
    <d v="2024-11-14T00:00:00"/>
    <x v="0"/>
    <s v="Music that moves youâ€”only on Spotify."/>
    <n v="2422"/>
    <n v="318"/>
    <n v="118"/>
    <n v="25386"/>
    <n v="20873"/>
    <n v="100"/>
    <x v="1"/>
    <s v="ChillVibes"/>
    <x v="159"/>
  </r>
  <r>
    <s v="SP163"/>
    <x v="2"/>
    <d v="2024-08-09T00:00:00"/>
    <x v="2"/>
    <s v="From pop to podcasts, itâ€™s all here."/>
    <n v="3414"/>
    <n v="154"/>
    <n v="204"/>
    <n v="34146"/>
    <n v="44633"/>
    <n v="256"/>
    <x v="2"/>
    <s v="SummerBeats"/>
    <x v="160"/>
  </r>
  <r>
    <s v="SP163"/>
    <x v="2"/>
    <d v="2024-08-09T00:00:00"/>
    <x v="2"/>
    <s v="From pop to podcasts, itâ€™s all here."/>
    <n v="3414"/>
    <n v="154"/>
    <n v="204"/>
    <n v="34146"/>
    <n v="44633"/>
    <n v="256"/>
    <x v="0"/>
    <s v="SummerBeats"/>
    <x v="160"/>
  </r>
  <r>
    <s v="SP164"/>
    <x v="0"/>
    <d v="2025-06-27T00:00:00"/>
    <x v="1"/>
    <s v="Whatâ€™s your vibe today? #SpotifyHits"/>
    <n v="1342"/>
    <n v="332"/>
    <n v="163"/>
    <n v="51712"/>
    <n v="57922"/>
    <n v="168"/>
    <x v="1"/>
    <s v="Wrapped2024"/>
    <x v="161"/>
  </r>
  <r>
    <s v="SP165"/>
    <x v="0"/>
    <d v="2024-05-08T00:00:00"/>
    <x v="1"/>
    <s v="Music that moves youâ€”only on Spotify."/>
    <n v="2414"/>
    <n v="220"/>
    <n v="280"/>
    <n v="27355"/>
    <n v="50562"/>
    <n v="258"/>
    <x v="1"/>
    <s v="Wrapped2024"/>
    <x v="162"/>
  </r>
  <r>
    <s v="SP166"/>
    <x v="0"/>
    <d v="2024-04-05T00:00:00"/>
    <x v="0"/>
    <s v="New music just dropped. Hit play!"/>
    <n v="4383"/>
    <n v="352"/>
    <n v="176"/>
    <n v="53239"/>
    <n v="34168"/>
    <n v="288"/>
    <x v="2"/>
    <s v="IndieWave"/>
    <x v="163"/>
  </r>
  <r>
    <s v="SP167"/>
    <x v="2"/>
    <d v="2025-01-27T00:00:00"/>
    <x v="0"/>
    <s v="Wrapped is here! Relive your top tracks ðŸŽ§"/>
    <n v="4294"/>
    <n v="423"/>
    <n v="93"/>
    <n v="29828"/>
    <n v="73144"/>
    <n v="298"/>
    <x v="2"/>
    <s v="IndieWave"/>
    <x v="164"/>
  </r>
  <r>
    <s v="SP167"/>
    <x v="2"/>
    <d v="2025-01-27T00:00:00"/>
    <x v="0"/>
    <s v="Wrapped is here! Relive your top tracks ðŸŽ§"/>
    <n v="4294"/>
    <n v="423"/>
    <n v="93"/>
    <n v="29828"/>
    <n v="73144"/>
    <n v="298"/>
    <x v="4"/>
    <s v="IndieWave"/>
    <x v="164"/>
  </r>
  <r>
    <s v="SP168"/>
    <x v="0"/>
    <d v="2024-04-03T00:00:00"/>
    <x v="0"/>
    <s v="Top trending tracks updated daily!"/>
    <n v="2762"/>
    <n v="339"/>
    <n v="323"/>
    <n v="33757"/>
    <n v="68511"/>
    <n v="121"/>
    <x v="0"/>
    <s v="ChillVibes"/>
    <x v="165"/>
  </r>
  <r>
    <s v="SP168"/>
    <x v="0"/>
    <d v="2024-04-03T00:00:00"/>
    <x v="0"/>
    <s v="Top trending tracks updated daily!"/>
    <n v="2762"/>
    <n v="339"/>
    <n v="323"/>
    <n v="33757"/>
    <n v="68511"/>
    <n v="121"/>
    <x v="1"/>
    <s v="ChillVibes"/>
    <x v="165"/>
  </r>
  <r>
    <s v="SP169"/>
    <x v="2"/>
    <d v="2025-01-03T00:00:00"/>
    <x v="0"/>
    <s v="New music just dropped. Hit play!"/>
    <n v="3782"/>
    <n v="484"/>
    <n v="144"/>
    <n v="52172"/>
    <n v="59386"/>
    <n v="175"/>
    <x v="2"/>
    <s v="IndieWave"/>
    <x v="166"/>
  </r>
  <r>
    <s v="SP169"/>
    <x v="2"/>
    <d v="2025-01-03T00:00:00"/>
    <x v="0"/>
    <s v="New music just dropped. Hit play!"/>
    <n v="3782"/>
    <n v="484"/>
    <n v="144"/>
    <n v="52172"/>
    <n v="59386"/>
    <n v="175"/>
    <x v="4"/>
    <s v="IndieWave"/>
    <x v="166"/>
  </r>
  <r>
    <s v="SP170"/>
    <x v="1"/>
    <d v="2024-11-23T00:00:00"/>
    <x v="0"/>
    <s v="New music just dropped. Hit play!"/>
    <n v="4318"/>
    <n v="371"/>
    <n v="329"/>
    <n v="32347"/>
    <n v="68956"/>
    <n v="259"/>
    <x v="0"/>
    <s v="IndieWave"/>
    <x v="167"/>
  </r>
  <r>
    <s v="SP171"/>
    <x v="0"/>
    <d v="2024-09-01T00:00:00"/>
    <x v="1"/>
    <s v="Wrapped is here! Relive your top tracks ðŸŽ§"/>
    <n v="2335"/>
    <n v="150"/>
    <n v="75"/>
    <n v="26114"/>
    <n v="57549"/>
    <n v="135"/>
    <x v="1"/>
    <s v="Wrapped2024"/>
    <x v="168"/>
  </r>
  <r>
    <s v="SP172"/>
    <x v="2"/>
    <d v="2024-04-18T00:00:00"/>
    <x v="0"/>
    <s v="Explore the latest podcasts now."/>
    <n v="4023"/>
    <n v="293"/>
    <n v="91"/>
    <n v="26795"/>
    <n v="28924"/>
    <n v="278"/>
    <x v="2"/>
    <s v="IndieWave"/>
    <x v="169"/>
  </r>
  <r>
    <s v="SP172"/>
    <x v="2"/>
    <d v="2024-04-18T00:00:00"/>
    <x v="0"/>
    <s v="Explore the latest podcasts now."/>
    <n v="4023"/>
    <n v="293"/>
    <n v="91"/>
    <n v="26795"/>
    <n v="28924"/>
    <n v="278"/>
    <x v="4"/>
    <s v="IndieWave"/>
    <x v="169"/>
  </r>
  <r>
    <s v="SP173"/>
    <x v="0"/>
    <d v="2024-06-04T00:00:00"/>
    <x v="0"/>
    <s v="Get into the groove with our new drop!"/>
    <n v="3948"/>
    <n v="151"/>
    <n v="249"/>
    <n v="43147"/>
    <n v="63136"/>
    <n v="230"/>
    <x v="2"/>
    <s v="IndieWave"/>
    <x v="170"/>
  </r>
  <r>
    <s v="SP174"/>
    <x v="2"/>
    <d v="2025-04-02T00:00:00"/>
    <x v="0"/>
    <s v="Wrapped is here! Relive your top tracks ðŸŽ§"/>
    <n v="4598"/>
    <n v="455"/>
    <n v="378"/>
    <n v="52952"/>
    <n v="58504"/>
    <n v="269"/>
    <x v="2"/>
    <s v="IndieWave"/>
    <x v="155"/>
  </r>
  <r>
    <s v="SP174"/>
    <x v="2"/>
    <d v="2025-04-02T00:00:00"/>
    <x v="0"/>
    <s v="Wrapped is here! Relive your top tracks ðŸŽ§"/>
    <n v="4598"/>
    <n v="455"/>
    <n v="378"/>
    <n v="52952"/>
    <n v="58504"/>
    <n v="269"/>
    <x v="4"/>
    <s v="IndieWave"/>
    <x v="155"/>
  </r>
  <r>
    <s v="SP175"/>
    <x v="1"/>
    <d v="2025-04-01T00:00:00"/>
    <x v="1"/>
    <s v="Music that moves youâ€”only on Spotify."/>
    <n v="2665"/>
    <n v="143"/>
    <n v="315"/>
    <n v="54808"/>
    <n v="29818"/>
    <n v="98"/>
    <x v="2"/>
    <s v="ChillVibes"/>
    <x v="171"/>
  </r>
  <r>
    <s v="SP175"/>
    <x v="1"/>
    <d v="2025-04-01T00:00:00"/>
    <x v="1"/>
    <s v="Music that moves youâ€”only on Spotify."/>
    <n v="2665"/>
    <n v="143"/>
    <n v="315"/>
    <n v="54808"/>
    <n v="29818"/>
    <n v="98"/>
    <x v="3"/>
    <s v="ChillVibes"/>
    <x v="171"/>
  </r>
  <r>
    <s v="SP176"/>
    <x v="0"/>
    <d v="2024-07-02T00:00:00"/>
    <x v="0"/>
    <s v="Top trending tracks updated daily!"/>
    <n v="3469"/>
    <n v="371"/>
    <n v="76"/>
    <n v="46493"/>
    <n v="26906"/>
    <n v="150"/>
    <x v="0"/>
    <s v="ChillVibes"/>
    <x v="34"/>
  </r>
  <r>
    <s v="SP176"/>
    <x v="0"/>
    <d v="2024-07-02T00:00:00"/>
    <x v="0"/>
    <s v="Top trending tracks updated daily!"/>
    <n v="3469"/>
    <n v="371"/>
    <n v="76"/>
    <n v="46493"/>
    <n v="26906"/>
    <n v="150"/>
    <x v="1"/>
    <s v="ChillVibes"/>
    <x v="34"/>
  </r>
  <r>
    <s v="SP177"/>
    <x v="1"/>
    <d v="2024-11-10T00:00:00"/>
    <x v="0"/>
    <s v="Explore the latest podcasts now."/>
    <n v="4823"/>
    <n v="489"/>
    <n v="302"/>
    <n v="32470"/>
    <n v="31861"/>
    <n v="178"/>
    <x v="0"/>
    <s v="IndieWave"/>
    <x v="172"/>
  </r>
  <r>
    <s v="SP178"/>
    <x v="0"/>
    <d v="2024-12-14T00:00:00"/>
    <x v="1"/>
    <s v="From pop to podcasts, itâ€™s all here."/>
    <n v="3812"/>
    <n v="321"/>
    <n v="289"/>
    <n v="59838"/>
    <n v="36337"/>
    <n v="161"/>
    <x v="1"/>
    <s v="Wrapped2024"/>
    <x v="173"/>
  </r>
  <r>
    <s v="SP179"/>
    <x v="1"/>
    <d v="2024-11-19T00:00:00"/>
    <x v="0"/>
    <s v="Explore the latest podcasts now."/>
    <n v="2387"/>
    <n v="353"/>
    <n v="78"/>
    <n v="39745"/>
    <n v="69226"/>
    <n v="208"/>
    <x v="0"/>
    <s v="IndieWave"/>
    <x v="174"/>
  </r>
  <r>
    <s v="SP180"/>
    <x v="1"/>
    <d v="2025-04-30T00:00:00"/>
    <x v="1"/>
    <s v="Wrapped is here! Relive your top tracks ðŸŽ§"/>
    <n v="3929"/>
    <n v="275"/>
    <n v="330"/>
    <n v="58329"/>
    <n v="33196"/>
    <n v="85"/>
    <x v="3"/>
    <s v="ChillVibes"/>
    <x v="175"/>
  </r>
  <r>
    <s v="SP180"/>
    <x v="1"/>
    <d v="2025-04-30T00:00:00"/>
    <x v="1"/>
    <s v="Wrapped is here! Relive your top tracks ðŸŽ§"/>
    <n v="3929"/>
    <n v="275"/>
    <n v="330"/>
    <n v="58329"/>
    <n v="33196"/>
    <n v="85"/>
    <x v="1"/>
    <s v="ChillVibes"/>
    <x v="175"/>
  </r>
  <r>
    <s v="SP181"/>
    <x v="1"/>
    <d v="2024-03-19T00:00:00"/>
    <x v="0"/>
    <s v="From pop to podcasts, itâ€™s all here."/>
    <n v="2191"/>
    <n v="288"/>
    <n v="83"/>
    <n v="59606"/>
    <n v="24765"/>
    <n v="281"/>
    <x v="0"/>
    <s v="IndieWave"/>
    <x v="176"/>
  </r>
  <r>
    <s v="SP182"/>
    <x v="0"/>
    <d v="2024-03-19T00:00:00"/>
    <x v="0"/>
    <s v="From pop to podcasts, itâ€™s all here."/>
    <n v="2878"/>
    <n v="278"/>
    <n v="255"/>
    <n v="47235"/>
    <n v="57922"/>
    <n v="112"/>
    <x v="0"/>
    <s v="ChillVibes"/>
    <x v="177"/>
  </r>
  <r>
    <s v="SP182"/>
    <x v="0"/>
    <d v="2024-03-19T00:00:00"/>
    <x v="0"/>
    <s v="From pop to podcasts, itâ€™s all here."/>
    <n v="2878"/>
    <n v="278"/>
    <n v="255"/>
    <n v="47235"/>
    <n v="57922"/>
    <n v="112"/>
    <x v="1"/>
    <s v="ChillVibes"/>
    <x v="177"/>
  </r>
  <r>
    <s v="SP183"/>
    <x v="1"/>
    <d v="2024-07-23T00:00:00"/>
    <x v="0"/>
    <s v="Top trending tracks updated daily!"/>
    <n v="3204"/>
    <n v="398"/>
    <n v="85"/>
    <n v="22020"/>
    <n v="58353"/>
    <n v="286"/>
    <x v="0"/>
    <s v="IndieWave"/>
    <x v="178"/>
  </r>
  <r>
    <s v="SP184"/>
    <x v="1"/>
    <d v="2024-07-13T00:00:00"/>
    <x v="1"/>
    <s v="Get into the groove with our new drop!"/>
    <n v="2408"/>
    <n v="323"/>
    <n v="251"/>
    <n v="47599"/>
    <n v="35543"/>
    <n v="287"/>
    <x v="3"/>
    <s v="ChillVibes"/>
    <x v="179"/>
  </r>
  <r>
    <s v="SP184"/>
    <x v="1"/>
    <d v="2024-07-13T00:00:00"/>
    <x v="1"/>
    <s v="Get into the groove with our new drop!"/>
    <n v="2408"/>
    <n v="323"/>
    <n v="251"/>
    <n v="47599"/>
    <n v="35543"/>
    <n v="287"/>
    <x v="1"/>
    <s v="ChillVibes"/>
    <x v="179"/>
  </r>
  <r>
    <s v="SP185"/>
    <x v="2"/>
    <d v="2025-04-22T00:00:00"/>
    <x v="2"/>
    <s v="New music just dropped. Hit play!"/>
    <n v="2733"/>
    <n v="297"/>
    <n v="235"/>
    <n v="37980"/>
    <n v="33058"/>
    <n v="219"/>
    <x v="2"/>
    <s v="SummerBeats"/>
    <x v="180"/>
  </r>
  <r>
    <s v="SP185"/>
    <x v="2"/>
    <d v="2025-04-22T00:00:00"/>
    <x v="2"/>
    <s v="New music just dropped. Hit play!"/>
    <n v="2733"/>
    <n v="297"/>
    <n v="235"/>
    <n v="37980"/>
    <n v="33058"/>
    <n v="219"/>
    <x v="0"/>
    <s v="SummerBeats"/>
    <x v="180"/>
  </r>
  <r>
    <s v="SP186"/>
    <x v="1"/>
    <d v="2024-06-16T00:00:00"/>
    <x v="1"/>
    <s v="Explore the latest podcasts now."/>
    <n v="4618"/>
    <n v="312"/>
    <n v="254"/>
    <n v="22571"/>
    <n v="29453"/>
    <n v="197"/>
    <x v="3"/>
    <s v="ChillVibes"/>
    <x v="181"/>
  </r>
  <r>
    <s v="SP186"/>
    <x v="1"/>
    <d v="2024-06-16T00:00:00"/>
    <x v="1"/>
    <s v="Explore the latest podcasts now."/>
    <n v="4618"/>
    <n v="312"/>
    <n v="254"/>
    <n v="22571"/>
    <n v="29453"/>
    <n v="197"/>
    <x v="1"/>
    <s v="ChillVibes"/>
    <x v="181"/>
  </r>
  <r>
    <s v="SP187"/>
    <x v="2"/>
    <d v="2025-05-18T00:00:00"/>
    <x v="2"/>
    <s v="Wrapped is here! Relive your top tracks ðŸŽ§"/>
    <n v="4210"/>
    <n v="319"/>
    <n v="350"/>
    <n v="37762"/>
    <n v="55162"/>
    <n v="204"/>
    <x v="2"/>
    <s v="SummerBeats"/>
    <x v="182"/>
  </r>
  <r>
    <s v="SP187"/>
    <x v="2"/>
    <d v="2025-05-18T00:00:00"/>
    <x v="2"/>
    <s v="Wrapped is here! Relive your top tracks ðŸŽ§"/>
    <n v="4210"/>
    <n v="319"/>
    <n v="350"/>
    <n v="37762"/>
    <n v="55162"/>
    <n v="204"/>
    <x v="0"/>
    <s v="SummerBeats"/>
    <x v="182"/>
  </r>
  <r>
    <s v="SP188"/>
    <x v="0"/>
    <d v="2025-06-06T00:00:00"/>
    <x v="0"/>
    <s v="Wrapped is here! Relive your top tracks ðŸŽ§"/>
    <n v="3987"/>
    <n v="171"/>
    <n v="274"/>
    <n v="45122"/>
    <n v="65431"/>
    <n v="168"/>
    <x v="2"/>
    <s v="IndieWave"/>
    <x v="183"/>
  </r>
  <r>
    <s v="SP189"/>
    <x v="2"/>
    <d v="2025-02-20T00:00:00"/>
    <x v="2"/>
    <s v="Get into the groove with our new drop!"/>
    <n v="4957"/>
    <n v="262"/>
    <n v="365"/>
    <n v="49199"/>
    <n v="40314"/>
    <n v="216"/>
    <x v="2"/>
    <s v="SummerBeats"/>
    <x v="184"/>
  </r>
  <r>
    <s v="SP189"/>
    <x v="2"/>
    <d v="2025-02-20T00:00:00"/>
    <x v="2"/>
    <s v="Get into the groove with our new drop!"/>
    <n v="4957"/>
    <n v="262"/>
    <n v="365"/>
    <n v="49199"/>
    <n v="40314"/>
    <n v="216"/>
    <x v="0"/>
    <s v="SummerBeats"/>
    <x v="184"/>
  </r>
  <r>
    <s v="SP190"/>
    <x v="0"/>
    <d v="2025-01-16T00:00:00"/>
    <x v="0"/>
    <s v="Music that moves youâ€”only on Spotify."/>
    <n v="2605"/>
    <n v="282"/>
    <n v="148"/>
    <n v="32201"/>
    <n v="49583"/>
    <n v="241"/>
    <x v="0"/>
    <s v="ChillVibes"/>
    <x v="185"/>
  </r>
  <r>
    <s v="SP190"/>
    <x v="0"/>
    <d v="2025-01-16T00:00:00"/>
    <x v="0"/>
    <s v="Music that moves youâ€”only on Spotify."/>
    <n v="2605"/>
    <n v="282"/>
    <n v="148"/>
    <n v="32201"/>
    <n v="49583"/>
    <n v="241"/>
    <x v="1"/>
    <s v="ChillVibes"/>
    <x v="185"/>
  </r>
  <r>
    <s v="SP191"/>
    <x v="2"/>
    <d v="2024-02-24T00:00:00"/>
    <x v="2"/>
    <s v="Discover fresh beats on Spotify!"/>
    <n v="4221"/>
    <n v="307"/>
    <n v="58"/>
    <n v="45080"/>
    <n v="37214"/>
    <n v="240"/>
    <x v="2"/>
    <s v="SummerBeats"/>
    <x v="186"/>
  </r>
  <r>
    <s v="SP191"/>
    <x v="2"/>
    <d v="2024-02-24T00:00:00"/>
    <x v="2"/>
    <s v="Discover fresh beats on Spotify!"/>
    <n v="4221"/>
    <n v="307"/>
    <n v="58"/>
    <n v="45080"/>
    <n v="37214"/>
    <n v="240"/>
    <x v="0"/>
    <s v="SummerBeats"/>
    <x v="186"/>
  </r>
  <r>
    <s v="SP192"/>
    <x v="1"/>
    <d v="2024-09-16T00:00:00"/>
    <x v="1"/>
    <s v="Whatâ€™s your vibe today? #SpotifyHits"/>
    <n v="4422"/>
    <n v="434"/>
    <n v="156"/>
    <n v="56165"/>
    <n v="52431"/>
    <n v="173"/>
    <x v="2"/>
    <s v="ChillVibes"/>
    <x v="187"/>
  </r>
  <r>
    <s v="SP192"/>
    <x v="1"/>
    <d v="2024-09-16T00:00:00"/>
    <x v="1"/>
    <s v="Whatâ€™s your vibe today? #SpotifyHits"/>
    <n v="4422"/>
    <n v="434"/>
    <n v="156"/>
    <n v="56165"/>
    <n v="52431"/>
    <n v="173"/>
    <x v="3"/>
    <s v="ChillVibes"/>
    <x v="187"/>
  </r>
  <r>
    <s v="SP193"/>
    <x v="2"/>
    <d v="2024-06-04T00:00:00"/>
    <x v="2"/>
    <s v="Wrapped is here! Relive your top tracks ðŸŽ§"/>
    <n v="1211"/>
    <n v="431"/>
    <n v="83"/>
    <n v="26532"/>
    <n v="47305"/>
    <n v="232"/>
    <x v="2"/>
    <s v="SummerBeats"/>
    <x v="188"/>
  </r>
  <r>
    <s v="SP193"/>
    <x v="2"/>
    <d v="2024-06-04T00:00:00"/>
    <x v="2"/>
    <s v="Wrapped is here! Relive your top tracks ðŸŽ§"/>
    <n v="1211"/>
    <n v="431"/>
    <n v="83"/>
    <n v="26532"/>
    <n v="47305"/>
    <n v="232"/>
    <x v="0"/>
    <s v="SummerBeats"/>
    <x v="188"/>
  </r>
  <r>
    <s v="SP194"/>
    <x v="1"/>
    <d v="2024-05-10T00:00:00"/>
    <x v="1"/>
    <s v="Explore the latest podcasts now."/>
    <n v="2784"/>
    <n v="111"/>
    <n v="399"/>
    <n v="58366"/>
    <n v="69512"/>
    <n v="269"/>
    <x v="3"/>
    <s v="ChillVibes"/>
    <x v="189"/>
  </r>
  <r>
    <s v="SP194"/>
    <x v="1"/>
    <d v="2024-05-10T00:00:00"/>
    <x v="1"/>
    <s v="Explore the latest podcasts now."/>
    <n v="2784"/>
    <n v="111"/>
    <n v="399"/>
    <n v="58366"/>
    <n v="69512"/>
    <n v="269"/>
    <x v="1"/>
    <s v="ChillVibes"/>
    <x v="189"/>
  </r>
  <r>
    <s v="SP195"/>
    <x v="2"/>
    <d v="2024-01-14T00:00:00"/>
    <x v="0"/>
    <s v="New music just dropped. Hit play!"/>
    <n v="3634"/>
    <n v="280"/>
    <n v="399"/>
    <n v="40256"/>
    <n v="52605"/>
    <n v="213"/>
    <x v="2"/>
    <s v="IndieWave"/>
    <x v="190"/>
  </r>
  <r>
    <s v="SP195"/>
    <x v="2"/>
    <d v="2024-01-14T00:00:00"/>
    <x v="0"/>
    <s v="New music just dropped. Hit play!"/>
    <n v="3634"/>
    <n v="280"/>
    <n v="399"/>
    <n v="40256"/>
    <n v="52605"/>
    <n v="213"/>
    <x v="4"/>
    <s v="IndieWave"/>
    <x v="190"/>
  </r>
  <r>
    <s v="SP196"/>
    <x v="0"/>
    <d v="2025-01-12T00:00:00"/>
    <x v="0"/>
    <s v="From pop to podcasts, itâ€™s all here."/>
    <n v="1771"/>
    <n v="487"/>
    <n v="272"/>
    <n v="48810"/>
    <n v="48084"/>
    <n v="272"/>
    <x v="0"/>
    <s v="ChillVibes"/>
    <x v="191"/>
  </r>
  <r>
    <s v="SP196"/>
    <x v="0"/>
    <d v="2025-01-12T00:00:00"/>
    <x v="0"/>
    <s v="From pop to podcasts, itâ€™s all here."/>
    <n v="1771"/>
    <n v="487"/>
    <n v="272"/>
    <n v="48810"/>
    <n v="48084"/>
    <n v="272"/>
    <x v="1"/>
    <s v="ChillVibes"/>
    <x v="191"/>
  </r>
  <r>
    <s v="SP197"/>
    <x v="2"/>
    <d v="2024-12-08T00:00:00"/>
    <x v="0"/>
    <s v="Top trending tracks updated daily!"/>
    <n v="1424"/>
    <n v="396"/>
    <n v="312"/>
    <n v="59517"/>
    <n v="46102"/>
    <n v="239"/>
    <x v="2"/>
    <s v="IndieWave"/>
    <x v="192"/>
  </r>
  <r>
    <s v="SP197"/>
    <x v="2"/>
    <d v="2024-12-08T00:00:00"/>
    <x v="0"/>
    <s v="Top trending tracks updated daily!"/>
    <n v="1424"/>
    <n v="396"/>
    <n v="312"/>
    <n v="59517"/>
    <n v="46102"/>
    <n v="239"/>
    <x v="4"/>
    <s v="IndieWave"/>
    <x v="192"/>
  </r>
  <r>
    <s v="SP198"/>
    <x v="1"/>
    <d v="2025-02-01T00:00:00"/>
    <x v="1"/>
    <s v="Top trending tracks updated daily!"/>
    <n v="1079"/>
    <n v="265"/>
    <n v="190"/>
    <n v="43786"/>
    <n v="72428"/>
    <n v="222"/>
    <x v="0"/>
    <s v="ChillVibes"/>
    <x v="193"/>
  </r>
  <r>
    <s v="SP198"/>
    <x v="1"/>
    <d v="2025-02-01T00:00:00"/>
    <x v="1"/>
    <s v="Top trending tracks updated daily!"/>
    <n v="1079"/>
    <n v="265"/>
    <n v="190"/>
    <n v="43786"/>
    <n v="72428"/>
    <n v="222"/>
    <x v="1"/>
    <s v="ChillVibes"/>
    <x v="193"/>
  </r>
  <r>
    <s v="SP199"/>
    <x v="1"/>
    <d v="2024-07-11T00:00:00"/>
    <x v="1"/>
    <s v="Get into the groove with our new drop!"/>
    <n v="4247"/>
    <n v="179"/>
    <n v="175"/>
    <n v="32991"/>
    <n v="70120"/>
    <n v="276"/>
    <x v="0"/>
    <s v="ChillVibes"/>
    <x v="194"/>
  </r>
  <r>
    <s v="SP199"/>
    <x v="1"/>
    <d v="2024-07-11T00:00:00"/>
    <x v="1"/>
    <s v="Get into the groove with our new drop!"/>
    <n v="4247"/>
    <n v="179"/>
    <n v="175"/>
    <n v="32991"/>
    <n v="70120"/>
    <n v="276"/>
    <x v="1"/>
    <s v="ChillVibes"/>
    <x v="194"/>
  </r>
  <r>
    <s v="SP200"/>
    <x v="1"/>
    <d v="2024-03-18T00:00:00"/>
    <x v="0"/>
    <s v="New music just dropped. Hit play!"/>
    <n v="2033"/>
    <n v="420"/>
    <n v="94"/>
    <n v="56290"/>
    <n v="57391"/>
    <n v="196"/>
    <x v="1"/>
    <s v="ChillVibes"/>
    <x v="195"/>
  </r>
  <r>
    <s v="SP201"/>
    <x v="1"/>
    <d v="2024-09-12T00:00:00"/>
    <x v="1"/>
    <s v="Wrapped is here! Relive your top tracks ðŸŽ§"/>
    <n v="1839"/>
    <n v="223"/>
    <n v="171"/>
    <n v="35459"/>
    <n v="69988"/>
    <n v="114"/>
    <x v="3"/>
    <s v="ChillVibes"/>
    <x v="196"/>
  </r>
  <r>
    <s v="SP201"/>
    <x v="1"/>
    <d v="2024-09-12T00:00:00"/>
    <x v="1"/>
    <s v="Wrapped is here! Relive your top tracks ðŸŽ§"/>
    <n v="1839"/>
    <n v="223"/>
    <n v="171"/>
    <n v="35459"/>
    <n v="69988"/>
    <n v="114"/>
    <x v="1"/>
    <s v="ChillVibes"/>
    <x v="196"/>
  </r>
  <r>
    <s v="SP202"/>
    <x v="1"/>
    <d v="2024-01-11T00:00:00"/>
    <x v="1"/>
    <s v="Wrapped is here! Relive your top tracks ðŸŽ§"/>
    <n v="2340"/>
    <n v="141"/>
    <n v="206"/>
    <n v="24916"/>
    <n v="30582"/>
    <n v="157"/>
    <x v="0"/>
    <s v="ChillVibes"/>
    <x v="197"/>
  </r>
  <r>
    <s v="SP202"/>
    <x v="1"/>
    <d v="2024-01-11T00:00:00"/>
    <x v="1"/>
    <s v="Wrapped is here! Relive your top tracks ðŸŽ§"/>
    <n v="2340"/>
    <n v="141"/>
    <n v="206"/>
    <n v="24916"/>
    <n v="30582"/>
    <n v="157"/>
    <x v="1"/>
    <s v="ChillVibes"/>
    <x v="197"/>
  </r>
  <r>
    <s v="SP203"/>
    <x v="0"/>
    <d v="2024-10-06T00:00:00"/>
    <x v="0"/>
    <s v="Top trending tracks updated daily!"/>
    <n v="2080"/>
    <n v="389"/>
    <n v="92"/>
    <n v="30971"/>
    <n v="25347"/>
    <n v="111"/>
    <x v="2"/>
    <s v="IndieWave"/>
    <x v="138"/>
  </r>
  <r>
    <s v="SP204"/>
    <x v="1"/>
    <d v="2024-12-30T00:00:00"/>
    <x v="0"/>
    <s v="Get into the groove with our new drop!"/>
    <n v="4214"/>
    <n v="286"/>
    <n v="127"/>
    <n v="47293"/>
    <n v="27184"/>
    <n v="232"/>
    <x v="1"/>
    <s v="ChillVibes"/>
    <x v="198"/>
  </r>
  <r>
    <s v="SP205"/>
    <x v="1"/>
    <d v="2025-04-16T00:00:00"/>
    <x v="0"/>
    <s v="Wrapped is here! Relive your top tracks ðŸŽ§"/>
    <n v="3792"/>
    <n v="315"/>
    <n v="120"/>
    <n v="54592"/>
    <n v="67886"/>
    <n v="117"/>
    <x v="0"/>
    <s v="IndieWave"/>
    <x v="14"/>
  </r>
  <r>
    <s v="SP206"/>
    <x v="1"/>
    <d v="2024-08-21T00:00:00"/>
    <x v="1"/>
    <s v="Explore the latest podcasts now."/>
    <n v="3989"/>
    <n v="476"/>
    <n v="128"/>
    <n v="57569"/>
    <n v="40193"/>
    <n v="222"/>
    <x v="2"/>
    <s v="ChillVibes"/>
    <x v="199"/>
  </r>
  <r>
    <s v="SP206"/>
    <x v="1"/>
    <d v="2024-08-21T00:00:00"/>
    <x v="1"/>
    <s v="Explore the latest podcasts now."/>
    <n v="3989"/>
    <n v="476"/>
    <n v="128"/>
    <n v="57569"/>
    <n v="40193"/>
    <n v="222"/>
    <x v="3"/>
    <s v="ChillVibes"/>
    <x v="199"/>
  </r>
  <r>
    <s v="SP207"/>
    <x v="1"/>
    <d v="2024-04-05T00:00:00"/>
    <x v="1"/>
    <s v="Wrapped is here! Relive your top tracks ðŸŽ§"/>
    <n v="2857"/>
    <n v="443"/>
    <n v="359"/>
    <n v="51519"/>
    <n v="28256"/>
    <n v="155"/>
    <x v="0"/>
    <s v="ChillVibes"/>
    <x v="200"/>
  </r>
  <r>
    <s v="SP207"/>
    <x v="1"/>
    <d v="2024-04-05T00:00:00"/>
    <x v="1"/>
    <s v="Wrapped is here! Relive your top tracks ðŸŽ§"/>
    <n v="2857"/>
    <n v="443"/>
    <n v="359"/>
    <n v="51519"/>
    <n v="28256"/>
    <n v="155"/>
    <x v="1"/>
    <s v="ChillVibes"/>
    <x v="200"/>
  </r>
  <r>
    <s v="SP208"/>
    <x v="1"/>
    <d v="2025-04-07T00:00:00"/>
    <x v="0"/>
    <s v="From pop to podcasts, itâ€™s all here."/>
    <n v="1403"/>
    <n v="385"/>
    <n v="344"/>
    <n v="54223"/>
    <n v="72595"/>
    <n v="239"/>
    <x v="0"/>
    <s v="IndieWave"/>
    <x v="192"/>
  </r>
  <r>
    <s v="SP209"/>
    <x v="1"/>
    <d v="2024-07-19T00:00:00"/>
    <x v="1"/>
    <s v="Whatâ€™s your vibe today? #SpotifyHits"/>
    <n v="3071"/>
    <n v="126"/>
    <n v="200"/>
    <n v="44013"/>
    <n v="44679"/>
    <n v="118"/>
    <x v="2"/>
    <s v="ChillVibes"/>
    <x v="201"/>
  </r>
  <r>
    <s v="SP209"/>
    <x v="1"/>
    <d v="2024-07-19T00:00:00"/>
    <x v="1"/>
    <s v="Whatâ€™s your vibe today? #SpotifyHits"/>
    <n v="3071"/>
    <n v="126"/>
    <n v="200"/>
    <n v="44013"/>
    <n v="44679"/>
    <n v="118"/>
    <x v="3"/>
    <s v="ChillVibes"/>
    <x v="201"/>
  </r>
  <r>
    <s v="SP210"/>
    <x v="1"/>
    <d v="2025-05-03T00:00:00"/>
    <x v="1"/>
    <s v="Top trending tracks updated daily!"/>
    <n v="1010"/>
    <n v="361"/>
    <n v="240"/>
    <n v="47229"/>
    <n v="72573"/>
    <n v="275"/>
    <x v="0"/>
    <s v="ChillVibes"/>
    <x v="202"/>
  </r>
  <r>
    <s v="SP210"/>
    <x v="1"/>
    <d v="2025-05-03T00:00:00"/>
    <x v="1"/>
    <s v="Top trending tracks updated daily!"/>
    <n v="1010"/>
    <n v="361"/>
    <n v="240"/>
    <n v="47229"/>
    <n v="72573"/>
    <n v="275"/>
    <x v="1"/>
    <s v="ChillVibes"/>
    <x v="202"/>
  </r>
  <r>
    <s v="SP211"/>
    <x v="1"/>
    <d v="2024-04-14T00:00:00"/>
    <x v="1"/>
    <s v="Discover fresh beats on Spotify!"/>
    <n v="1295"/>
    <n v="153"/>
    <n v="81"/>
    <n v="48350"/>
    <n v="61033"/>
    <n v="232"/>
    <x v="2"/>
    <s v="ChillVibes"/>
    <x v="203"/>
  </r>
  <r>
    <s v="SP211"/>
    <x v="1"/>
    <d v="2024-04-14T00:00:00"/>
    <x v="1"/>
    <s v="Discover fresh beats on Spotify!"/>
    <n v="1295"/>
    <n v="153"/>
    <n v="81"/>
    <n v="48350"/>
    <n v="61033"/>
    <n v="232"/>
    <x v="3"/>
    <s v="ChillVibes"/>
    <x v="203"/>
  </r>
  <r>
    <s v="SP212"/>
    <x v="1"/>
    <d v="2025-06-19T00:00:00"/>
    <x v="1"/>
    <s v="Whatâ€™s your vibe today? #SpotifyHits"/>
    <n v="1433"/>
    <n v="452"/>
    <n v="305"/>
    <n v="54541"/>
    <n v="63700"/>
    <n v="296"/>
    <x v="2"/>
    <s v="ChillVibes"/>
    <x v="204"/>
  </r>
  <r>
    <s v="SP212"/>
    <x v="1"/>
    <d v="2025-06-19T00:00:00"/>
    <x v="1"/>
    <s v="Whatâ€™s your vibe today? #SpotifyHits"/>
    <n v="1433"/>
    <n v="452"/>
    <n v="305"/>
    <n v="54541"/>
    <n v="63700"/>
    <n v="296"/>
    <x v="3"/>
    <s v="ChillVibes"/>
    <x v="204"/>
  </r>
  <r>
    <s v="SP213"/>
    <x v="0"/>
    <d v="2025-06-24T00:00:00"/>
    <x v="1"/>
    <s v="Get into the groove with our new drop!"/>
    <n v="4902"/>
    <n v="422"/>
    <n v="376"/>
    <n v="31674"/>
    <n v="53225"/>
    <n v="147"/>
    <x v="1"/>
    <s v="Wrapped2024"/>
    <x v="205"/>
  </r>
  <r>
    <s v="SP214"/>
    <x v="1"/>
    <d v="2024-10-09T00:00:00"/>
    <x v="0"/>
    <s v="Wrapped is here! Relive your top tracks ðŸŽ§"/>
    <n v="2659"/>
    <n v="167"/>
    <n v="73"/>
    <n v="23090"/>
    <n v="25872"/>
    <n v="293"/>
    <x v="0"/>
    <s v="IndieWave"/>
    <x v="206"/>
  </r>
  <r>
    <s v="SP215"/>
    <x v="2"/>
    <d v="2025-01-15T00:00:00"/>
    <x v="0"/>
    <s v="Your weekend playlist is waiting."/>
    <n v="2599"/>
    <n v="324"/>
    <n v="182"/>
    <n v="37525"/>
    <n v="37216"/>
    <n v="186"/>
    <x v="2"/>
    <s v="IndieWave"/>
    <x v="207"/>
  </r>
  <r>
    <s v="SP215"/>
    <x v="2"/>
    <d v="2025-01-15T00:00:00"/>
    <x v="0"/>
    <s v="Your weekend playlist is waiting."/>
    <n v="2599"/>
    <n v="324"/>
    <n v="182"/>
    <n v="37525"/>
    <n v="37216"/>
    <n v="186"/>
    <x v="4"/>
    <s v="IndieWave"/>
    <x v="207"/>
  </r>
  <r>
    <s v="SP216"/>
    <x v="1"/>
    <d v="2025-01-12T00:00:00"/>
    <x v="0"/>
    <s v="Music that moves youâ€”only on Spotify."/>
    <n v="1765"/>
    <n v="285"/>
    <n v="100"/>
    <n v="41313"/>
    <n v="56575"/>
    <n v="174"/>
    <x v="0"/>
    <s v="IndieWave"/>
    <x v="208"/>
  </r>
  <r>
    <s v="SP217"/>
    <x v="0"/>
    <d v="2025-05-31T00:00:00"/>
    <x v="0"/>
    <s v="Whatâ€™s your vibe today? #SpotifyHits"/>
    <n v="2169"/>
    <n v="240"/>
    <n v="57"/>
    <n v="26109"/>
    <n v="46667"/>
    <n v="133"/>
    <x v="0"/>
    <s v="ChillVibes"/>
    <x v="209"/>
  </r>
  <r>
    <s v="SP217"/>
    <x v="0"/>
    <d v="2025-05-31T00:00:00"/>
    <x v="0"/>
    <s v="Whatâ€™s your vibe today? #SpotifyHits"/>
    <n v="2169"/>
    <n v="240"/>
    <n v="57"/>
    <n v="26109"/>
    <n v="46667"/>
    <n v="133"/>
    <x v="1"/>
    <s v="ChillVibes"/>
    <x v="209"/>
  </r>
  <r>
    <s v="SP218"/>
    <x v="1"/>
    <d v="2024-10-14T00:00:00"/>
    <x v="1"/>
    <s v="Explore the latest podcasts now."/>
    <n v="4303"/>
    <n v="306"/>
    <n v="302"/>
    <n v="39575"/>
    <n v="33762"/>
    <n v="265"/>
    <x v="2"/>
    <s v="ChillVibes"/>
    <x v="163"/>
  </r>
  <r>
    <s v="SP218"/>
    <x v="1"/>
    <d v="2024-10-14T00:00:00"/>
    <x v="1"/>
    <s v="Explore the latest podcasts now."/>
    <n v="4303"/>
    <n v="306"/>
    <n v="302"/>
    <n v="39575"/>
    <n v="33762"/>
    <n v="265"/>
    <x v="3"/>
    <s v="ChillVibes"/>
    <x v="163"/>
  </r>
  <r>
    <s v="SP219"/>
    <x v="1"/>
    <d v="2024-02-10T00:00:00"/>
    <x v="0"/>
    <s v="From pop to podcasts, itâ€™s all here."/>
    <n v="1519"/>
    <n v="456"/>
    <n v="379"/>
    <n v="51611"/>
    <n v="45880"/>
    <n v="176"/>
    <x v="0"/>
    <s v="IndieWave"/>
    <x v="210"/>
  </r>
  <r>
    <s v="SP220"/>
    <x v="2"/>
    <d v="2024-12-10T00:00:00"/>
    <x v="0"/>
    <s v="Whatâ€™s your vibe today? #SpotifyHits"/>
    <n v="2569"/>
    <n v="140"/>
    <n v="375"/>
    <n v="38372"/>
    <n v="22102"/>
    <n v="255"/>
    <x v="2"/>
    <s v="IndieWave"/>
    <x v="211"/>
  </r>
  <r>
    <s v="SP220"/>
    <x v="2"/>
    <d v="2024-12-10T00:00:00"/>
    <x v="0"/>
    <s v="Whatâ€™s your vibe today? #SpotifyHits"/>
    <n v="2569"/>
    <n v="140"/>
    <n v="375"/>
    <n v="38372"/>
    <n v="22102"/>
    <n v="255"/>
    <x v="4"/>
    <s v="IndieWave"/>
    <x v="211"/>
  </r>
  <r>
    <s v="SP221"/>
    <x v="1"/>
    <d v="2025-05-09T00:00:00"/>
    <x v="1"/>
    <s v="Music that moves youâ€”only on Spotify."/>
    <n v="2778"/>
    <n v="241"/>
    <n v="317"/>
    <n v="26247"/>
    <n v="20677"/>
    <n v="282"/>
    <x v="3"/>
    <s v="ChillVibes"/>
    <x v="212"/>
  </r>
  <r>
    <s v="SP221"/>
    <x v="1"/>
    <d v="2025-05-09T00:00:00"/>
    <x v="1"/>
    <s v="Music that moves youâ€”only on Spotify."/>
    <n v="2778"/>
    <n v="241"/>
    <n v="317"/>
    <n v="26247"/>
    <n v="20677"/>
    <n v="282"/>
    <x v="1"/>
    <s v="ChillVibes"/>
    <x v="212"/>
  </r>
  <r>
    <s v="SP222"/>
    <x v="1"/>
    <d v="2025-06-21T00:00:00"/>
    <x v="0"/>
    <s v="Explore the latest podcasts now."/>
    <n v="3611"/>
    <n v="127"/>
    <n v="139"/>
    <n v="44768"/>
    <n v="29435"/>
    <n v="178"/>
    <x v="1"/>
    <s v="ChillVibes"/>
    <x v="213"/>
  </r>
  <r>
    <s v="SP223"/>
    <x v="1"/>
    <d v="2024-06-19T00:00:00"/>
    <x v="0"/>
    <s v="Whatâ€™s your vibe today? #SpotifyHits"/>
    <n v="1224"/>
    <n v="168"/>
    <n v="199"/>
    <n v="54232"/>
    <n v="52844"/>
    <n v="271"/>
    <x v="0"/>
    <s v="IndieWave"/>
    <x v="214"/>
  </r>
  <r>
    <s v="SP224"/>
    <x v="1"/>
    <d v="2024-12-10T00:00:00"/>
    <x v="0"/>
    <s v="From pop to podcasts, itâ€™s all here."/>
    <n v="4673"/>
    <n v="270"/>
    <n v="93"/>
    <n v="45260"/>
    <n v="57513"/>
    <n v="103"/>
    <x v="1"/>
    <s v="ChillVibes"/>
    <x v="215"/>
  </r>
  <r>
    <s v="SP225"/>
    <x v="2"/>
    <d v="2024-02-01T00:00:00"/>
    <x v="0"/>
    <s v="Wrapped is here! Relive your top tracks ðŸŽ§"/>
    <n v="1432"/>
    <n v="437"/>
    <n v="267"/>
    <n v="40634"/>
    <n v="54511"/>
    <n v="197"/>
    <x v="2"/>
    <s v="IndieWave"/>
    <x v="216"/>
  </r>
  <r>
    <s v="SP225"/>
    <x v="2"/>
    <d v="2024-02-01T00:00:00"/>
    <x v="0"/>
    <s v="Wrapped is here! Relive your top tracks ðŸŽ§"/>
    <n v="1432"/>
    <n v="437"/>
    <n v="267"/>
    <n v="40634"/>
    <n v="54511"/>
    <n v="197"/>
    <x v="4"/>
    <s v="IndieWave"/>
    <x v="216"/>
  </r>
  <r>
    <s v="SP226"/>
    <x v="1"/>
    <d v="2024-01-17T00:00:00"/>
    <x v="1"/>
    <s v="New music just dropped. Hit play!"/>
    <n v="2174"/>
    <n v="499"/>
    <n v="212"/>
    <n v="54938"/>
    <n v="27190"/>
    <n v="265"/>
    <x v="3"/>
    <s v="ChillVibes"/>
    <x v="217"/>
  </r>
  <r>
    <s v="SP226"/>
    <x v="1"/>
    <d v="2024-01-17T00:00:00"/>
    <x v="1"/>
    <s v="New music just dropped. Hit play!"/>
    <n v="2174"/>
    <n v="499"/>
    <n v="212"/>
    <n v="54938"/>
    <n v="27190"/>
    <n v="265"/>
    <x v="1"/>
    <s v="ChillVibes"/>
    <x v="217"/>
  </r>
  <r>
    <s v="SP227"/>
    <x v="2"/>
    <d v="2025-03-22T00:00:00"/>
    <x v="0"/>
    <s v="Music that moves youâ€”only on Spotify."/>
    <n v="4308"/>
    <n v="171"/>
    <n v="106"/>
    <n v="36955"/>
    <n v="23949"/>
    <n v="294"/>
    <x v="2"/>
    <s v="IndieWave"/>
    <x v="218"/>
  </r>
  <r>
    <s v="SP227"/>
    <x v="2"/>
    <d v="2025-03-22T00:00:00"/>
    <x v="0"/>
    <s v="Music that moves youâ€”only on Spotify."/>
    <n v="4308"/>
    <n v="171"/>
    <n v="106"/>
    <n v="36955"/>
    <n v="23949"/>
    <n v="294"/>
    <x v="4"/>
    <s v="IndieWave"/>
    <x v="218"/>
  </r>
  <r>
    <s v="SP228"/>
    <x v="2"/>
    <d v="2024-05-30T00:00:00"/>
    <x v="2"/>
    <s v="Whatâ€™s your vibe today? #SpotifyHits"/>
    <n v="1060"/>
    <n v="442"/>
    <n v="319"/>
    <n v="57194"/>
    <n v="24258"/>
    <n v="101"/>
    <x v="2"/>
    <s v="SummerBeats"/>
    <x v="219"/>
  </r>
  <r>
    <s v="SP228"/>
    <x v="2"/>
    <d v="2024-05-30T00:00:00"/>
    <x v="2"/>
    <s v="Whatâ€™s your vibe today? #SpotifyHits"/>
    <n v="1060"/>
    <n v="442"/>
    <n v="319"/>
    <n v="57194"/>
    <n v="24258"/>
    <n v="101"/>
    <x v="0"/>
    <s v="SummerBeats"/>
    <x v="219"/>
  </r>
  <r>
    <s v="SP229"/>
    <x v="2"/>
    <d v="2024-02-24T00:00:00"/>
    <x v="0"/>
    <s v="Music that moves youâ€”only on Spotify."/>
    <n v="4653"/>
    <n v="226"/>
    <n v="349"/>
    <n v="56876"/>
    <n v="28452"/>
    <n v="257"/>
    <x v="2"/>
    <s v="IndieWave"/>
    <x v="220"/>
  </r>
  <r>
    <s v="SP229"/>
    <x v="2"/>
    <d v="2024-02-24T00:00:00"/>
    <x v="0"/>
    <s v="Music that moves youâ€”only on Spotify."/>
    <n v="4653"/>
    <n v="226"/>
    <n v="349"/>
    <n v="56876"/>
    <n v="28452"/>
    <n v="257"/>
    <x v="4"/>
    <s v="IndieWave"/>
    <x v="220"/>
  </r>
  <r>
    <s v="SP230"/>
    <x v="2"/>
    <d v="2025-05-14T00:00:00"/>
    <x v="0"/>
    <s v="Discover fresh beats on Spotify!"/>
    <n v="1701"/>
    <n v="272"/>
    <n v="385"/>
    <n v="47496"/>
    <n v="40832"/>
    <n v="246"/>
    <x v="2"/>
    <s v="IndieWave"/>
    <x v="221"/>
  </r>
  <r>
    <s v="SP230"/>
    <x v="2"/>
    <d v="2025-05-14T00:00:00"/>
    <x v="0"/>
    <s v="Discover fresh beats on Spotify!"/>
    <n v="1701"/>
    <n v="272"/>
    <n v="385"/>
    <n v="47496"/>
    <n v="40832"/>
    <n v="246"/>
    <x v="4"/>
    <s v="IndieWave"/>
    <x v="221"/>
  </r>
  <r>
    <s v="SP231"/>
    <x v="0"/>
    <d v="2024-03-28T00:00:00"/>
    <x v="0"/>
    <s v="Whatâ€™s your vibe today? #SpotifyHits"/>
    <n v="1673"/>
    <n v="280"/>
    <n v="67"/>
    <n v="29847"/>
    <n v="48016"/>
    <n v="213"/>
    <x v="0"/>
    <s v="ChillVibes"/>
    <x v="222"/>
  </r>
  <r>
    <s v="SP231"/>
    <x v="0"/>
    <d v="2024-03-28T00:00:00"/>
    <x v="0"/>
    <s v="Whatâ€™s your vibe today? #SpotifyHits"/>
    <n v="1673"/>
    <n v="280"/>
    <n v="67"/>
    <n v="29847"/>
    <n v="48016"/>
    <n v="213"/>
    <x v="1"/>
    <s v="ChillVibes"/>
    <x v="222"/>
  </r>
  <r>
    <s v="SP232"/>
    <x v="2"/>
    <d v="2025-03-07T00:00:00"/>
    <x v="0"/>
    <s v="Top trending tracks updated daily!"/>
    <n v="4310"/>
    <n v="284"/>
    <n v="306"/>
    <n v="44606"/>
    <n v="42604"/>
    <n v="290"/>
    <x v="2"/>
    <s v="IndieWave"/>
    <x v="223"/>
  </r>
  <r>
    <s v="SP232"/>
    <x v="2"/>
    <d v="2025-03-07T00:00:00"/>
    <x v="0"/>
    <s v="Top trending tracks updated daily!"/>
    <n v="4310"/>
    <n v="284"/>
    <n v="306"/>
    <n v="44606"/>
    <n v="42604"/>
    <n v="290"/>
    <x v="4"/>
    <s v="IndieWave"/>
    <x v="223"/>
  </r>
  <r>
    <s v="SP233"/>
    <x v="1"/>
    <d v="2024-10-20T00:00:00"/>
    <x v="0"/>
    <s v="From pop to podcasts, itâ€™s all here."/>
    <n v="2752"/>
    <n v="309"/>
    <n v="91"/>
    <n v="39038"/>
    <n v="28095"/>
    <n v="277"/>
    <x v="1"/>
    <s v="ChillVibes"/>
    <x v="224"/>
  </r>
  <r>
    <s v="SP234"/>
    <x v="1"/>
    <d v="2024-02-02T00:00:00"/>
    <x v="0"/>
    <s v="From pop to podcasts, itâ€™s all here."/>
    <n v="3818"/>
    <n v="115"/>
    <n v="286"/>
    <n v="25127"/>
    <n v="22277"/>
    <n v="263"/>
    <x v="1"/>
    <s v="ChillVibes"/>
    <x v="225"/>
  </r>
  <r>
    <s v="SP235"/>
    <x v="2"/>
    <d v="2024-09-07T00:00:00"/>
    <x v="0"/>
    <s v="Your weekend playlist is waiting."/>
    <n v="2101"/>
    <n v="411"/>
    <n v="190"/>
    <n v="41791"/>
    <n v="57090"/>
    <n v="172"/>
    <x v="2"/>
    <s v="IndieWave"/>
    <x v="226"/>
  </r>
  <r>
    <s v="SP235"/>
    <x v="2"/>
    <d v="2024-09-07T00:00:00"/>
    <x v="0"/>
    <s v="Your weekend playlist is waiting."/>
    <n v="2101"/>
    <n v="411"/>
    <n v="190"/>
    <n v="41791"/>
    <n v="57090"/>
    <n v="172"/>
    <x v="4"/>
    <s v="IndieWave"/>
    <x v="226"/>
  </r>
  <r>
    <s v="SP236"/>
    <x v="0"/>
    <d v="2024-12-20T00:00:00"/>
    <x v="0"/>
    <s v="Discover fresh beats on Spotify!"/>
    <n v="2519"/>
    <n v="202"/>
    <n v="239"/>
    <n v="36245"/>
    <n v="48606"/>
    <n v="145"/>
    <x v="2"/>
    <s v="IndieWave"/>
    <x v="227"/>
  </r>
  <r>
    <s v="SP237"/>
    <x v="2"/>
    <d v="2024-01-14T00:00:00"/>
    <x v="0"/>
    <s v="Whatâ€™s your vibe today? #SpotifyHits"/>
    <n v="4502"/>
    <n v="238"/>
    <n v="386"/>
    <n v="39198"/>
    <n v="25050"/>
    <n v="297"/>
    <x v="2"/>
    <s v="IndieWave"/>
    <x v="228"/>
  </r>
  <r>
    <s v="SP237"/>
    <x v="2"/>
    <d v="2024-01-14T00:00:00"/>
    <x v="0"/>
    <s v="Whatâ€™s your vibe today? #SpotifyHits"/>
    <n v="4502"/>
    <n v="238"/>
    <n v="386"/>
    <n v="39198"/>
    <n v="25050"/>
    <n v="297"/>
    <x v="4"/>
    <s v="IndieWave"/>
    <x v="228"/>
  </r>
  <r>
    <s v="SP238"/>
    <x v="0"/>
    <d v="2025-06-15T00:00:00"/>
    <x v="0"/>
    <s v="Explore the latest podcasts now."/>
    <n v="2478"/>
    <n v="427"/>
    <n v="242"/>
    <n v="59272"/>
    <n v="37833"/>
    <n v="214"/>
    <x v="0"/>
    <s v="ChillVibes"/>
    <x v="229"/>
  </r>
  <r>
    <s v="SP238"/>
    <x v="0"/>
    <d v="2025-06-15T00:00:00"/>
    <x v="0"/>
    <s v="Explore the latest podcasts now."/>
    <n v="2478"/>
    <n v="427"/>
    <n v="242"/>
    <n v="59272"/>
    <n v="37833"/>
    <n v="214"/>
    <x v="1"/>
    <s v="ChillVibes"/>
    <x v="229"/>
  </r>
  <r>
    <s v="SP239"/>
    <x v="1"/>
    <d v="2024-12-13T00:00:00"/>
    <x v="1"/>
    <s v="New music just dropped. Hit play!"/>
    <n v="4984"/>
    <n v="300"/>
    <n v="338"/>
    <n v="32900"/>
    <n v="31691"/>
    <n v="160"/>
    <x v="3"/>
    <s v="ChillVibes"/>
    <x v="230"/>
  </r>
  <r>
    <s v="SP239"/>
    <x v="1"/>
    <d v="2024-12-13T00:00:00"/>
    <x v="1"/>
    <s v="New music just dropped. Hit play!"/>
    <n v="4984"/>
    <n v="300"/>
    <n v="338"/>
    <n v="32900"/>
    <n v="31691"/>
    <n v="160"/>
    <x v="1"/>
    <s v="ChillVibes"/>
    <x v="230"/>
  </r>
  <r>
    <s v="SP240"/>
    <x v="2"/>
    <d v="2024-08-29T00:00:00"/>
    <x v="0"/>
    <s v="Wrapped is here! Relive your top tracks ðŸŽ§"/>
    <n v="4774"/>
    <n v="389"/>
    <n v="358"/>
    <n v="52346"/>
    <n v="30518"/>
    <n v="277"/>
    <x v="2"/>
    <s v="IndieWave"/>
    <x v="231"/>
  </r>
  <r>
    <s v="SP240"/>
    <x v="2"/>
    <d v="2024-08-29T00:00:00"/>
    <x v="0"/>
    <s v="Wrapped is here! Relive your top tracks ðŸŽ§"/>
    <n v="4774"/>
    <n v="389"/>
    <n v="358"/>
    <n v="52346"/>
    <n v="30518"/>
    <n v="277"/>
    <x v="4"/>
    <s v="IndieWave"/>
    <x v="231"/>
  </r>
  <r>
    <s v="SP241"/>
    <x v="1"/>
    <d v="2024-09-15T00:00:00"/>
    <x v="0"/>
    <s v="Get into the groove with our new drop!"/>
    <n v="2145"/>
    <n v="340"/>
    <n v="85"/>
    <n v="53323"/>
    <n v="49938"/>
    <n v="104"/>
    <x v="1"/>
    <s v="ChillVibes"/>
    <x v="117"/>
  </r>
  <r>
    <s v="SP242"/>
    <x v="1"/>
    <d v="2025-04-12T00:00:00"/>
    <x v="1"/>
    <s v="From pop to podcasts, itâ€™s all here."/>
    <n v="4315"/>
    <n v="208"/>
    <n v="273"/>
    <n v="35780"/>
    <n v="44349"/>
    <n v="133"/>
    <x v="2"/>
    <s v="ChillVibes"/>
    <x v="232"/>
  </r>
  <r>
    <s v="SP242"/>
    <x v="1"/>
    <d v="2025-04-12T00:00:00"/>
    <x v="1"/>
    <s v="From pop to podcasts, itâ€™s all here."/>
    <n v="4315"/>
    <n v="208"/>
    <n v="273"/>
    <n v="35780"/>
    <n v="44349"/>
    <n v="133"/>
    <x v="3"/>
    <s v="ChillVibes"/>
    <x v="232"/>
  </r>
  <r>
    <s v="SP243"/>
    <x v="1"/>
    <d v="2024-12-10T00:00:00"/>
    <x v="1"/>
    <s v="Wrapped is here! Relive your top tracks ðŸŽ§"/>
    <n v="2267"/>
    <n v="230"/>
    <n v="243"/>
    <n v="27904"/>
    <n v="69771"/>
    <n v="255"/>
    <x v="2"/>
    <s v="ChillVibes"/>
    <x v="233"/>
  </r>
  <r>
    <s v="SP243"/>
    <x v="1"/>
    <d v="2024-12-10T00:00:00"/>
    <x v="1"/>
    <s v="Wrapped is here! Relive your top tracks ðŸŽ§"/>
    <n v="2267"/>
    <n v="230"/>
    <n v="243"/>
    <n v="27904"/>
    <n v="69771"/>
    <n v="255"/>
    <x v="3"/>
    <s v="ChillVibes"/>
    <x v="233"/>
  </r>
  <r>
    <s v="SP244"/>
    <x v="2"/>
    <d v="2025-06-08T00:00:00"/>
    <x v="0"/>
    <s v="Music that moves youâ€”only on Spotify."/>
    <n v="4375"/>
    <n v="303"/>
    <n v="294"/>
    <n v="57468"/>
    <n v="53397"/>
    <n v="159"/>
    <x v="2"/>
    <s v="IndieWave"/>
    <x v="234"/>
  </r>
  <r>
    <s v="SP244"/>
    <x v="2"/>
    <d v="2025-06-08T00:00:00"/>
    <x v="0"/>
    <s v="Music that moves youâ€”only on Spotify."/>
    <n v="4375"/>
    <n v="303"/>
    <n v="294"/>
    <n v="57468"/>
    <n v="53397"/>
    <n v="159"/>
    <x v="4"/>
    <s v="IndieWave"/>
    <x v="234"/>
  </r>
  <r>
    <s v="SP245"/>
    <x v="1"/>
    <d v="2025-01-09T00:00:00"/>
    <x v="1"/>
    <s v="Your weekend playlist is waiting."/>
    <n v="3817"/>
    <n v="284"/>
    <n v="204"/>
    <n v="46434"/>
    <n v="53396"/>
    <n v="104"/>
    <x v="3"/>
    <s v="ChillVibes"/>
    <x v="235"/>
  </r>
  <r>
    <s v="SP245"/>
    <x v="1"/>
    <d v="2025-01-09T00:00:00"/>
    <x v="1"/>
    <s v="Your weekend playlist is waiting."/>
    <n v="3817"/>
    <n v="284"/>
    <n v="204"/>
    <n v="46434"/>
    <n v="53396"/>
    <n v="104"/>
    <x v="1"/>
    <s v="ChillVibes"/>
    <x v="235"/>
  </r>
  <r>
    <s v="SP246"/>
    <x v="1"/>
    <d v="2024-07-08T00:00:00"/>
    <x v="1"/>
    <s v="Top trending tracks updated daily!"/>
    <n v="2981"/>
    <n v="258"/>
    <n v="168"/>
    <n v="20677"/>
    <n v="68290"/>
    <n v="130"/>
    <x v="0"/>
    <s v="ChillVibes"/>
    <x v="236"/>
  </r>
  <r>
    <s v="SP246"/>
    <x v="1"/>
    <d v="2024-07-08T00:00:00"/>
    <x v="1"/>
    <s v="Top trending tracks updated daily!"/>
    <n v="2981"/>
    <n v="258"/>
    <n v="168"/>
    <n v="20677"/>
    <n v="68290"/>
    <n v="130"/>
    <x v="1"/>
    <s v="ChillVibes"/>
    <x v="236"/>
  </r>
  <r>
    <s v="SP247"/>
    <x v="1"/>
    <d v="2024-09-16T00:00:00"/>
    <x v="1"/>
    <s v="Your weekend playlist is waiting."/>
    <n v="3300"/>
    <n v="354"/>
    <n v="397"/>
    <n v="56773"/>
    <n v="72110"/>
    <n v="163"/>
    <x v="2"/>
    <s v="ChillVibes"/>
    <x v="237"/>
  </r>
  <r>
    <s v="SP247"/>
    <x v="1"/>
    <d v="2024-09-16T00:00:00"/>
    <x v="1"/>
    <s v="Your weekend playlist is waiting."/>
    <n v="3300"/>
    <n v="354"/>
    <n v="397"/>
    <n v="56773"/>
    <n v="72110"/>
    <n v="163"/>
    <x v="3"/>
    <s v="ChillVibes"/>
    <x v="237"/>
  </r>
  <r>
    <s v="SP248"/>
    <x v="2"/>
    <d v="2024-06-14T00:00:00"/>
    <x v="2"/>
    <s v="Wrapped is here! Relive your top tracks ðŸŽ§"/>
    <n v="4722"/>
    <n v="310"/>
    <n v="344"/>
    <n v="27911"/>
    <n v="19000"/>
    <n v="225"/>
    <x v="2"/>
    <s v="SummerBeats"/>
    <x v="238"/>
  </r>
  <r>
    <s v="SP248"/>
    <x v="2"/>
    <d v="2024-06-14T00:00:00"/>
    <x v="2"/>
    <s v="Wrapped is here! Relive your top tracks ðŸŽ§"/>
    <n v="4722"/>
    <n v="310"/>
    <n v="344"/>
    <n v="27911"/>
    <n v="19000"/>
    <n v="225"/>
    <x v="0"/>
    <s v="SummerBeats"/>
    <x v="238"/>
  </r>
  <r>
    <s v="SP249"/>
    <x v="0"/>
    <d v="2024-03-06T00:00:00"/>
    <x v="0"/>
    <s v="Whatâ€™s your vibe today? #SpotifyHits"/>
    <n v="3529"/>
    <n v="263"/>
    <n v="107"/>
    <n v="26570"/>
    <n v="19367"/>
    <n v="96"/>
    <x v="2"/>
    <s v="IndieWave"/>
    <x v="239"/>
  </r>
  <r>
    <s v="SP250"/>
    <x v="1"/>
    <d v="2025-05-15T00:00:00"/>
    <x v="0"/>
    <s v="Your weekend playlist is waiting."/>
    <n v="4782"/>
    <n v="210"/>
    <n v="311"/>
    <n v="29793"/>
    <n v="37543"/>
    <n v="145"/>
    <x v="1"/>
    <s v="ChillVibes"/>
    <x v="240"/>
  </r>
  <r>
    <s v="SP251"/>
    <x v="1"/>
    <d v="2024-07-07T00:00:00"/>
    <x v="0"/>
    <s v="Whatâ€™s your vibe today? #SpotifyHits"/>
    <n v="1848"/>
    <n v="417"/>
    <n v="294"/>
    <n v="57819"/>
    <n v="19798"/>
    <n v="262"/>
    <x v="0"/>
    <s v="IndieWave"/>
    <x v="241"/>
  </r>
  <r>
    <s v="SP252"/>
    <x v="2"/>
    <d v="2024-10-26T00:00:00"/>
    <x v="0"/>
    <s v="New music just dropped. Hit play!"/>
    <n v="4676"/>
    <n v="211"/>
    <n v="55"/>
    <n v="45917"/>
    <n v="73503"/>
    <n v="248"/>
    <x v="2"/>
    <s v="IndieWave"/>
    <x v="242"/>
  </r>
  <r>
    <s v="SP252"/>
    <x v="2"/>
    <d v="2024-10-26T00:00:00"/>
    <x v="0"/>
    <s v="New music just dropped. Hit play!"/>
    <n v="4676"/>
    <n v="211"/>
    <n v="55"/>
    <n v="45917"/>
    <n v="73503"/>
    <n v="248"/>
    <x v="4"/>
    <s v="IndieWave"/>
    <x v="242"/>
  </r>
  <r>
    <s v="SP253"/>
    <x v="2"/>
    <d v="2024-08-08T00:00:00"/>
    <x v="0"/>
    <s v="From pop to podcasts, itâ€™s all here."/>
    <n v="1994"/>
    <n v="197"/>
    <n v="290"/>
    <n v="49500"/>
    <n v="23343"/>
    <n v="160"/>
    <x v="2"/>
    <s v="IndieWave"/>
    <x v="243"/>
  </r>
  <r>
    <s v="SP253"/>
    <x v="2"/>
    <d v="2024-08-08T00:00:00"/>
    <x v="0"/>
    <s v="From pop to podcasts, itâ€™s all here."/>
    <n v="1994"/>
    <n v="197"/>
    <n v="290"/>
    <n v="49500"/>
    <n v="23343"/>
    <n v="160"/>
    <x v="4"/>
    <s v="IndieWave"/>
    <x v="243"/>
  </r>
  <r>
    <s v="SP254"/>
    <x v="1"/>
    <d v="2025-02-03T00:00:00"/>
    <x v="0"/>
    <s v="Whatâ€™s your vibe today? #SpotifyHits"/>
    <n v="4995"/>
    <n v="231"/>
    <n v="94"/>
    <n v="34431"/>
    <n v="32560"/>
    <n v="262"/>
    <x v="1"/>
    <s v="ChillVibes"/>
    <x v="244"/>
  </r>
  <r>
    <s v="SP255"/>
    <x v="1"/>
    <d v="2024-04-03T00:00:00"/>
    <x v="1"/>
    <s v="Top trending tracks updated daily!"/>
    <n v="2291"/>
    <n v="146"/>
    <n v="399"/>
    <n v="49319"/>
    <n v="28056"/>
    <n v="90"/>
    <x v="2"/>
    <s v="ChillVibes"/>
    <x v="245"/>
  </r>
  <r>
    <s v="SP255"/>
    <x v="1"/>
    <d v="2024-04-03T00:00:00"/>
    <x v="1"/>
    <s v="Top trending tracks updated daily!"/>
    <n v="2291"/>
    <n v="146"/>
    <n v="399"/>
    <n v="49319"/>
    <n v="28056"/>
    <n v="90"/>
    <x v="3"/>
    <s v="ChillVibes"/>
    <x v="245"/>
  </r>
  <r>
    <s v="SP256"/>
    <x v="1"/>
    <d v="2024-07-08T00:00:00"/>
    <x v="1"/>
    <s v="Wrapped is here! Relive your top tracks ðŸŽ§"/>
    <n v="2304"/>
    <n v="289"/>
    <n v="161"/>
    <n v="52645"/>
    <n v="66262"/>
    <n v="146"/>
    <x v="3"/>
    <s v="ChillVibes"/>
    <x v="246"/>
  </r>
  <r>
    <s v="SP256"/>
    <x v="1"/>
    <d v="2024-07-08T00:00:00"/>
    <x v="1"/>
    <s v="Wrapped is here! Relive your top tracks ðŸŽ§"/>
    <n v="2304"/>
    <n v="289"/>
    <n v="161"/>
    <n v="52645"/>
    <n v="66262"/>
    <n v="146"/>
    <x v="1"/>
    <s v="ChillVibes"/>
    <x v="246"/>
  </r>
  <r>
    <s v="SP257"/>
    <x v="1"/>
    <d v="2024-06-08T00:00:00"/>
    <x v="1"/>
    <s v="Top trending tracks updated daily!"/>
    <n v="3413"/>
    <n v="326"/>
    <n v="86"/>
    <n v="44680"/>
    <n v="52719"/>
    <n v="272"/>
    <x v="2"/>
    <s v="ChillVibes"/>
    <x v="247"/>
  </r>
  <r>
    <s v="SP257"/>
    <x v="1"/>
    <d v="2024-06-08T00:00:00"/>
    <x v="1"/>
    <s v="Top trending tracks updated daily!"/>
    <n v="3413"/>
    <n v="326"/>
    <n v="86"/>
    <n v="44680"/>
    <n v="52719"/>
    <n v="272"/>
    <x v="3"/>
    <s v="ChillVibes"/>
    <x v="247"/>
  </r>
  <r>
    <s v="SP258"/>
    <x v="2"/>
    <d v="2025-03-20T00:00:00"/>
    <x v="2"/>
    <s v="From pop to podcasts, itâ€™s all here."/>
    <n v="1453"/>
    <n v="156"/>
    <n v="178"/>
    <n v="52980"/>
    <n v="57180"/>
    <n v="286"/>
    <x v="2"/>
    <s v="SummerBeats"/>
    <x v="248"/>
  </r>
  <r>
    <s v="SP258"/>
    <x v="2"/>
    <d v="2025-03-20T00:00:00"/>
    <x v="2"/>
    <s v="From pop to podcasts, itâ€™s all here."/>
    <n v="1453"/>
    <n v="156"/>
    <n v="178"/>
    <n v="52980"/>
    <n v="57180"/>
    <n v="286"/>
    <x v="0"/>
    <s v="SummerBeats"/>
    <x v="248"/>
  </r>
  <r>
    <s v="SP259"/>
    <x v="1"/>
    <d v="2025-01-19T00:00:00"/>
    <x v="1"/>
    <s v="Music that moves youâ€”only on Spotify."/>
    <n v="1651"/>
    <n v="480"/>
    <n v="282"/>
    <n v="32140"/>
    <n v="70560"/>
    <n v="138"/>
    <x v="0"/>
    <s v="ChillVibes"/>
    <x v="249"/>
  </r>
  <r>
    <s v="SP259"/>
    <x v="1"/>
    <d v="2025-01-19T00:00:00"/>
    <x v="1"/>
    <s v="Music that moves youâ€”only on Spotify."/>
    <n v="1651"/>
    <n v="480"/>
    <n v="282"/>
    <n v="32140"/>
    <n v="70560"/>
    <n v="138"/>
    <x v="1"/>
    <s v="ChillVibes"/>
    <x v="249"/>
  </r>
  <r>
    <s v="SP260"/>
    <x v="1"/>
    <d v="2025-01-05T00:00:00"/>
    <x v="1"/>
    <s v="Explore the latest podcasts now."/>
    <n v="3341"/>
    <n v="154"/>
    <n v="123"/>
    <n v="43369"/>
    <n v="49035"/>
    <n v="128"/>
    <x v="3"/>
    <s v="ChillVibes"/>
    <x v="250"/>
  </r>
  <r>
    <s v="SP260"/>
    <x v="1"/>
    <d v="2025-01-05T00:00:00"/>
    <x v="1"/>
    <s v="Explore the latest podcasts now."/>
    <n v="3341"/>
    <n v="154"/>
    <n v="123"/>
    <n v="43369"/>
    <n v="49035"/>
    <n v="128"/>
    <x v="1"/>
    <s v="ChillVibes"/>
    <x v="250"/>
  </r>
  <r>
    <s v="SP261"/>
    <x v="1"/>
    <d v="2024-11-16T00:00:00"/>
    <x v="0"/>
    <s v="From pop to podcasts, itâ€™s all here."/>
    <n v="2972"/>
    <n v="263"/>
    <n v="308"/>
    <n v="51740"/>
    <n v="28214"/>
    <n v="190"/>
    <x v="0"/>
    <s v="IndieWave"/>
    <x v="251"/>
  </r>
  <r>
    <s v="SP262"/>
    <x v="1"/>
    <d v="2024-11-30T00:00:00"/>
    <x v="1"/>
    <s v="Explore the latest podcasts now."/>
    <n v="4963"/>
    <n v="255"/>
    <n v="193"/>
    <n v="44386"/>
    <n v="28415"/>
    <n v="174"/>
    <x v="3"/>
    <s v="ChillVibes"/>
    <x v="252"/>
  </r>
  <r>
    <s v="SP262"/>
    <x v="1"/>
    <d v="2024-11-30T00:00:00"/>
    <x v="1"/>
    <s v="Explore the latest podcasts now."/>
    <n v="4963"/>
    <n v="255"/>
    <n v="193"/>
    <n v="44386"/>
    <n v="28415"/>
    <n v="174"/>
    <x v="1"/>
    <s v="ChillVibes"/>
    <x v="252"/>
  </r>
  <r>
    <s v="SP263"/>
    <x v="2"/>
    <d v="2024-03-27T00:00:00"/>
    <x v="0"/>
    <s v="Music that moves youâ€”only on Spotify."/>
    <n v="2399"/>
    <n v="191"/>
    <n v="221"/>
    <n v="51603"/>
    <n v="40033"/>
    <n v="173"/>
    <x v="2"/>
    <s v="IndieWave"/>
    <x v="253"/>
  </r>
  <r>
    <s v="SP263"/>
    <x v="2"/>
    <d v="2024-03-27T00:00:00"/>
    <x v="0"/>
    <s v="Music that moves youâ€”only on Spotify."/>
    <n v="2399"/>
    <n v="191"/>
    <n v="221"/>
    <n v="51603"/>
    <n v="40033"/>
    <n v="173"/>
    <x v="4"/>
    <s v="IndieWave"/>
    <x v="253"/>
  </r>
  <r>
    <s v="SP264"/>
    <x v="2"/>
    <d v="2025-05-31T00:00:00"/>
    <x v="2"/>
    <s v="Get into the groove with our new drop!"/>
    <n v="2162"/>
    <n v="318"/>
    <n v="83"/>
    <n v="46719"/>
    <n v="20482"/>
    <n v="185"/>
    <x v="2"/>
    <s v="SummerBeats"/>
    <x v="254"/>
  </r>
  <r>
    <s v="SP264"/>
    <x v="2"/>
    <d v="2025-05-31T00:00:00"/>
    <x v="2"/>
    <s v="Get into the groove with our new drop!"/>
    <n v="2162"/>
    <n v="318"/>
    <n v="83"/>
    <n v="46719"/>
    <n v="20482"/>
    <n v="185"/>
    <x v="0"/>
    <s v="SummerBeats"/>
    <x v="254"/>
  </r>
  <r>
    <s v="SP265"/>
    <x v="1"/>
    <d v="2025-06-17T00:00:00"/>
    <x v="1"/>
    <s v="Explore the latest podcasts now."/>
    <n v="4341"/>
    <n v="141"/>
    <n v="63"/>
    <n v="50081"/>
    <n v="27507"/>
    <n v="221"/>
    <x v="2"/>
    <s v="ChillVibes"/>
    <x v="17"/>
  </r>
  <r>
    <s v="SP265"/>
    <x v="1"/>
    <d v="2025-06-17T00:00:00"/>
    <x v="1"/>
    <s v="Explore the latest podcasts now."/>
    <n v="4341"/>
    <n v="141"/>
    <n v="63"/>
    <n v="50081"/>
    <n v="27507"/>
    <n v="221"/>
    <x v="3"/>
    <s v="ChillVibes"/>
    <x v="17"/>
  </r>
  <r>
    <s v="SP266"/>
    <x v="0"/>
    <d v="2024-05-30T00:00:00"/>
    <x v="1"/>
    <s v="Get into the groove with our new drop!"/>
    <n v="2448"/>
    <n v="464"/>
    <n v="98"/>
    <n v="25737"/>
    <n v="48545"/>
    <n v="246"/>
    <x v="1"/>
    <s v="Wrapped2024"/>
    <x v="255"/>
  </r>
  <r>
    <s v="SP267"/>
    <x v="2"/>
    <d v="2024-11-08T00:00:00"/>
    <x v="0"/>
    <s v="Top trending tracks updated daily!"/>
    <n v="2471"/>
    <n v="166"/>
    <n v="320"/>
    <n v="48254"/>
    <n v="46900"/>
    <n v="111"/>
    <x v="2"/>
    <s v="IndieWave"/>
    <x v="256"/>
  </r>
  <r>
    <s v="SP267"/>
    <x v="2"/>
    <d v="2024-11-08T00:00:00"/>
    <x v="0"/>
    <s v="Top trending tracks updated daily!"/>
    <n v="2471"/>
    <n v="166"/>
    <n v="320"/>
    <n v="48254"/>
    <n v="46900"/>
    <n v="111"/>
    <x v="4"/>
    <s v="IndieWave"/>
    <x v="256"/>
  </r>
  <r>
    <s v="SP268"/>
    <x v="2"/>
    <d v="2024-03-17T00:00:00"/>
    <x v="2"/>
    <s v="Explore the latest podcasts now."/>
    <n v="2692"/>
    <n v="446"/>
    <n v="216"/>
    <n v="45818"/>
    <n v="62723"/>
    <n v="85"/>
    <x v="2"/>
    <s v="SummerBeats"/>
    <x v="257"/>
  </r>
  <r>
    <s v="SP268"/>
    <x v="2"/>
    <d v="2024-03-17T00:00:00"/>
    <x v="2"/>
    <s v="Explore the latest podcasts now."/>
    <n v="2692"/>
    <n v="446"/>
    <n v="216"/>
    <n v="45818"/>
    <n v="62723"/>
    <n v="85"/>
    <x v="0"/>
    <s v="SummerBeats"/>
    <x v="257"/>
  </r>
  <r>
    <s v="SP269"/>
    <x v="2"/>
    <d v="2024-06-21T00:00:00"/>
    <x v="2"/>
    <s v="Music that moves youâ€”only on Spotify."/>
    <n v="4621"/>
    <n v="374"/>
    <n v="298"/>
    <n v="56979"/>
    <n v="24098"/>
    <n v="205"/>
    <x v="2"/>
    <s v="SummerBeats"/>
    <x v="258"/>
  </r>
  <r>
    <s v="SP269"/>
    <x v="2"/>
    <d v="2024-06-21T00:00:00"/>
    <x v="2"/>
    <s v="Music that moves youâ€”only on Spotify."/>
    <n v="4621"/>
    <n v="374"/>
    <n v="298"/>
    <n v="56979"/>
    <n v="24098"/>
    <n v="205"/>
    <x v="0"/>
    <s v="SummerBeats"/>
    <x v="258"/>
  </r>
  <r>
    <s v="SP270"/>
    <x v="1"/>
    <d v="2024-11-13T00:00:00"/>
    <x v="1"/>
    <s v="New music just dropped. Hit play!"/>
    <n v="1409"/>
    <n v="466"/>
    <n v="105"/>
    <n v="58923"/>
    <n v="38753"/>
    <n v="265"/>
    <x v="2"/>
    <s v="ChillVibes"/>
    <x v="259"/>
  </r>
  <r>
    <s v="SP270"/>
    <x v="1"/>
    <d v="2024-11-13T00:00:00"/>
    <x v="1"/>
    <s v="New music just dropped. Hit play!"/>
    <n v="1409"/>
    <n v="466"/>
    <n v="105"/>
    <n v="58923"/>
    <n v="38753"/>
    <n v="265"/>
    <x v="3"/>
    <s v="ChillVibes"/>
    <x v="259"/>
  </r>
  <r>
    <s v="SP271"/>
    <x v="1"/>
    <d v="2025-02-05T00:00:00"/>
    <x v="1"/>
    <s v="Discover fresh beats on Spotify!"/>
    <n v="3029"/>
    <n v="440"/>
    <n v="66"/>
    <n v="23815"/>
    <n v="47895"/>
    <n v="210"/>
    <x v="2"/>
    <s v="ChillVibes"/>
    <x v="260"/>
  </r>
  <r>
    <s v="SP271"/>
    <x v="1"/>
    <d v="2025-02-05T00:00:00"/>
    <x v="1"/>
    <s v="Discover fresh beats on Spotify!"/>
    <n v="3029"/>
    <n v="440"/>
    <n v="66"/>
    <n v="23815"/>
    <n v="47895"/>
    <n v="210"/>
    <x v="3"/>
    <s v="ChillVibes"/>
    <x v="260"/>
  </r>
  <r>
    <s v="SP272"/>
    <x v="1"/>
    <d v="2024-11-07T00:00:00"/>
    <x v="0"/>
    <s v="Explore the latest podcasts now."/>
    <n v="2229"/>
    <n v="395"/>
    <n v="328"/>
    <n v="56921"/>
    <n v="37176"/>
    <n v="126"/>
    <x v="0"/>
    <s v="IndieWave"/>
    <x v="261"/>
  </r>
  <r>
    <s v="SP273"/>
    <x v="1"/>
    <d v="2024-02-12T00:00:00"/>
    <x v="0"/>
    <s v="Explore the latest podcasts now."/>
    <n v="2691"/>
    <n v="486"/>
    <n v="206"/>
    <n v="51133"/>
    <n v="44583"/>
    <n v="276"/>
    <x v="1"/>
    <s v="ChillVibes"/>
    <x v="262"/>
  </r>
  <r>
    <s v="SP274"/>
    <x v="0"/>
    <d v="2024-10-08T00:00:00"/>
    <x v="0"/>
    <s v="Explore the latest podcasts now."/>
    <n v="2110"/>
    <n v="384"/>
    <n v="236"/>
    <n v="49965"/>
    <n v="61555"/>
    <n v="195"/>
    <x v="2"/>
    <s v="IndieWave"/>
    <x v="263"/>
  </r>
  <r>
    <s v="SP275"/>
    <x v="0"/>
    <d v="2024-02-19T00:00:00"/>
    <x v="0"/>
    <s v="Wrapped is here! Relive your top tracks ðŸŽ§"/>
    <n v="4752"/>
    <n v="449"/>
    <n v="309"/>
    <n v="58530"/>
    <n v="26630"/>
    <n v="234"/>
    <x v="2"/>
    <s v="IndieWave"/>
    <x v="264"/>
  </r>
  <r>
    <s v="SP276"/>
    <x v="1"/>
    <d v="2025-03-04T00:00:00"/>
    <x v="0"/>
    <s v="Discover fresh beats on Spotify!"/>
    <n v="2177"/>
    <n v="258"/>
    <n v="292"/>
    <n v="47276"/>
    <n v="51324"/>
    <n v="143"/>
    <x v="1"/>
    <s v="ChillVibes"/>
    <x v="265"/>
  </r>
  <r>
    <s v="SP277"/>
    <x v="0"/>
    <d v="2025-02-03T00:00:00"/>
    <x v="1"/>
    <s v="New music just dropped. Hit play!"/>
    <n v="1205"/>
    <n v="486"/>
    <n v="269"/>
    <n v="23341"/>
    <n v="42411"/>
    <n v="184"/>
    <x v="1"/>
    <s v="Wrapped2024"/>
    <x v="266"/>
  </r>
  <r>
    <s v="SP278"/>
    <x v="0"/>
    <d v="2024-12-02T00:00:00"/>
    <x v="0"/>
    <s v="Top trending tracks updated daily!"/>
    <n v="3194"/>
    <n v="292"/>
    <n v="245"/>
    <n v="56371"/>
    <n v="65597"/>
    <n v="163"/>
    <x v="0"/>
    <s v="ChillVibes"/>
    <x v="267"/>
  </r>
  <r>
    <s v="SP278"/>
    <x v="0"/>
    <d v="2024-12-02T00:00:00"/>
    <x v="0"/>
    <s v="Top trending tracks updated daily!"/>
    <n v="3194"/>
    <n v="292"/>
    <n v="245"/>
    <n v="56371"/>
    <n v="65597"/>
    <n v="163"/>
    <x v="1"/>
    <s v="ChillVibes"/>
    <x v="267"/>
  </r>
  <r>
    <s v="SP279"/>
    <x v="1"/>
    <d v="2025-01-19T00:00:00"/>
    <x v="1"/>
    <s v="New music just dropped. Hit play!"/>
    <n v="3507"/>
    <n v="295"/>
    <n v="371"/>
    <n v="20410"/>
    <n v="53965"/>
    <n v="212"/>
    <x v="0"/>
    <s v="ChillVibes"/>
    <x v="268"/>
  </r>
  <r>
    <s v="SP279"/>
    <x v="1"/>
    <d v="2025-01-19T00:00:00"/>
    <x v="1"/>
    <s v="New music just dropped. Hit play!"/>
    <n v="3507"/>
    <n v="295"/>
    <n v="371"/>
    <n v="20410"/>
    <n v="53965"/>
    <n v="212"/>
    <x v="1"/>
    <s v="ChillVibes"/>
    <x v="268"/>
  </r>
  <r>
    <s v="SP280"/>
    <x v="1"/>
    <d v="2024-09-28T00:00:00"/>
    <x v="1"/>
    <s v="Wrapped is here! Relive your top tracks ðŸŽ§"/>
    <n v="4471"/>
    <n v="317"/>
    <n v="249"/>
    <n v="44862"/>
    <n v="33365"/>
    <n v="184"/>
    <x v="2"/>
    <s v="ChillVibes"/>
    <x v="269"/>
  </r>
  <r>
    <s v="SP280"/>
    <x v="1"/>
    <d v="2024-09-28T00:00:00"/>
    <x v="1"/>
    <s v="Wrapped is here! Relive your top tracks ðŸŽ§"/>
    <n v="4471"/>
    <n v="317"/>
    <n v="249"/>
    <n v="44862"/>
    <n v="33365"/>
    <n v="184"/>
    <x v="3"/>
    <s v="ChillVibes"/>
    <x v="269"/>
  </r>
  <r>
    <s v="SP281"/>
    <x v="0"/>
    <d v="2024-01-07T00:00:00"/>
    <x v="0"/>
    <s v="Top trending tracks updated daily!"/>
    <n v="4931"/>
    <n v="469"/>
    <n v="193"/>
    <n v="56701"/>
    <n v="69437"/>
    <n v="291"/>
    <x v="0"/>
    <s v="ChillVibes"/>
    <x v="270"/>
  </r>
  <r>
    <s v="SP281"/>
    <x v="0"/>
    <d v="2024-01-07T00:00:00"/>
    <x v="0"/>
    <s v="Top trending tracks updated daily!"/>
    <n v="4931"/>
    <n v="469"/>
    <n v="193"/>
    <n v="56701"/>
    <n v="69437"/>
    <n v="291"/>
    <x v="1"/>
    <s v="ChillVibes"/>
    <x v="270"/>
  </r>
  <r>
    <s v="SP282"/>
    <x v="1"/>
    <d v="2024-02-21T00:00:00"/>
    <x v="1"/>
    <s v="Get into the groove with our new drop!"/>
    <n v="2604"/>
    <n v="439"/>
    <n v="148"/>
    <n v="58468"/>
    <n v="39629"/>
    <n v="163"/>
    <x v="3"/>
    <s v="ChillVibes"/>
    <x v="271"/>
  </r>
  <r>
    <s v="SP282"/>
    <x v="1"/>
    <d v="2024-02-21T00:00:00"/>
    <x v="1"/>
    <s v="Get into the groove with our new drop!"/>
    <n v="2604"/>
    <n v="439"/>
    <n v="148"/>
    <n v="58468"/>
    <n v="39629"/>
    <n v="163"/>
    <x v="1"/>
    <s v="ChillVibes"/>
    <x v="271"/>
  </r>
  <r>
    <s v="SP283"/>
    <x v="0"/>
    <d v="2024-08-27T00:00:00"/>
    <x v="0"/>
    <s v="Music that moves youâ€”only on Spotify."/>
    <n v="4197"/>
    <n v="359"/>
    <n v="280"/>
    <n v="56048"/>
    <n v="70930"/>
    <n v="295"/>
    <x v="2"/>
    <s v="IndieWave"/>
    <x v="272"/>
  </r>
  <r>
    <s v="SP284"/>
    <x v="0"/>
    <d v="2024-10-24T00:00:00"/>
    <x v="1"/>
    <s v="Top trending tracks updated daily!"/>
    <n v="1914"/>
    <n v="255"/>
    <n v="156"/>
    <n v="27660"/>
    <n v="47776"/>
    <n v="111"/>
    <x v="1"/>
    <s v="Wrapped2024"/>
    <x v="273"/>
  </r>
  <r>
    <s v="SP285"/>
    <x v="2"/>
    <d v="2025-01-29T00:00:00"/>
    <x v="0"/>
    <s v="New music just dropped. Hit play!"/>
    <n v="1334"/>
    <n v="357"/>
    <n v="257"/>
    <n v="56910"/>
    <n v="70606"/>
    <n v="228"/>
    <x v="2"/>
    <s v="IndieWave"/>
    <x v="274"/>
  </r>
  <r>
    <s v="SP285"/>
    <x v="2"/>
    <d v="2025-01-29T00:00:00"/>
    <x v="0"/>
    <s v="New music just dropped. Hit play!"/>
    <n v="1334"/>
    <n v="357"/>
    <n v="257"/>
    <n v="56910"/>
    <n v="70606"/>
    <n v="228"/>
    <x v="4"/>
    <s v="IndieWave"/>
    <x v="274"/>
  </r>
  <r>
    <s v="SP286"/>
    <x v="0"/>
    <d v="2024-05-01T00:00:00"/>
    <x v="0"/>
    <s v="Get into the groove with our new drop!"/>
    <n v="3359"/>
    <n v="137"/>
    <n v="387"/>
    <n v="33861"/>
    <n v="47257"/>
    <n v="198"/>
    <x v="2"/>
    <s v="IndieWave"/>
    <x v="275"/>
  </r>
  <r>
    <s v="SP287"/>
    <x v="2"/>
    <d v="2024-06-25T00:00:00"/>
    <x v="0"/>
    <s v="Your weekend playlist is waiting."/>
    <n v="2172"/>
    <n v="338"/>
    <n v="70"/>
    <n v="30515"/>
    <n v="57853"/>
    <n v="156"/>
    <x v="2"/>
    <s v="IndieWave"/>
    <x v="276"/>
  </r>
  <r>
    <s v="SP287"/>
    <x v="2"/>
    <d v="2024-06-25T00:00:00"/>
    <x v="0"/>
    <s v="Your weekend playlist is waiting."/>
    <n v="2172"/>
    <n v="338"/>
    <n v="70"/>
    <n v="30515"/>
    <n v="57853"/>
    <n v="156"/>
    <x v="4"/>
    <s v="IndieWave"/>
    <x v="276"/>
  </r>
  <r>
    <s v="SP288"/>
    <x v="1"/>
    <d v="2024-08-09T00:00:00"/>
    <x v="1"/>
    <s v="From pop to podcasts, itâ€™s all here."/>
    <n v="4877"/>
    <n v="442"/>
    <n v="236"/>
    <n v="52673"/>
    <n v="48241"/>
    <n v="114"/>
    <x v="2"/>
    <s v="ChillVibes"/>
    <x v="277"/>
  </r>
  <r>
    <s v="SP288"/>
    <x v="1"/>
    <d v="2024-08-09T00:00:00"/>
    <x v="1"/>
    <s v="From pop to podcasts, itâ€™s all here."/>
    <n v="4877"/>
    <n v="442"/>
    <n v="236"/>
    <n v="52673"/>
    <n v="48241"/>
    <n v="114"/>
    <x v="3"/>
    <s v="ChillVibes"/>
    <x v="277"/>
  </r>
  <r>
    <s v="SP289"/>
    <x v="0"/>
    <d v="2025-01-21T00:00:00"/>
    <x v="1"/>
    <s v="New music just dropped. Hit play!"/>
    <n v="4918"/>
    <n v="440"/>
    <n v="149"/>
    <n v="53269"/>
    <n v="64370"/>
    <n v="269"/>
    <x v="1"/>
    <s v="Wrapped2024"/>
    <x v="278"/>
  </r>
  <r>
    <s v="SP290"/>
    <x v="1"/>
    <d v="2024-08-13T00:00:00"/>
    <x v="0"/>
    <s v="Explore the latest podcasts now."/>
    <n v="3418"/>
    <n v="107"/>
    <n v="221"/>
    <n v="23927"/>
    <n v="26182"/>
    <n v="155"/>
    <x v="0"/>
    <s v="IndieWave"/>
    <x v="279"/>
  </r>
  <r>
    <s v="SP291"/>
    <x v="0"/>
    <d v="2024-06-29T00:00:00"/>
    <x v="0"/>
    <s v="Your weekend playlist is waiting."/>
    <n v="2088"/>
    <n v="490"/>
    <n v="124"/>
    <n v="46544"/>
    <n v="69346"/>
    <n v="178"/>
    <x v="0"/>
    <s v="ChillVibes"/>
    <x v="226"/>
  </r>
  <r>
    <s v="SP291"/>
    <x v="0"/>
    <d v="2024-06-29T00:00:00"/>
    <x v="0"/>
    <s v="Your weekend playlist is waiting."/>
    <n v="2088"/>
    <n v="490"/>
    <n v="124"/>
    <n v="46544"/>
    <n v="69346"/>
    <n v="178"/>
    <x v="1"/>
    <s v="ChillVibes"/>
    <x v="226"/>
  </r>
  <r>
    <s v="SP292"/>
    <x v="1"/>
    <d v="2024-11-03T00:00:00"/>
    <x v="1"/>
    <s v="Explore the latest podcasts now."/>
    <n v="3061"/>
    <n v="320"/>
    <n v="76"/>
    <n v="26640"/>
    <n v="24306"/>
    <n v="112"/>
    <x v="3"/>
    <s v="ChillVibes"/>
    <x v="280"/>
  </r>
  <r>
    <s v="SP292"/>
    <x v="1"/>
    <d v="2024-11-03T00:00:00"/>
    <x v="1"/>
    <s v="Explore the latest podcasts now."/>
    <n v="3061"/>
    <n v="320"/>
    <n v="76"/>
    <n v="26640"/>
    <n v="24306"/>
    <n v="112"/>
    <x v="1"/>
    <s v="ChillVibes"/>
    <x v="280"/>
  </r>
  <r>
    <s v="SP293"/>
    <x v="2"/>
    <d v="2025-04-18T00:00:00"/>
    <x v="2"/>
    <s v="Your weekend playlist is waiting."/>
    <n v="1265"/>
    <n v="230"/>
    <n v="364"/>
    <n v="41312"/>
    <n v="50382"/>
    <n v="106"/>
    <x v="2"/>
    <s v="SummerBeats"/>
    <x v="281"/>
  </r>
  <r>
    <s v="SP293"/>
    <x v="2"/>
    <d v="2025-04-18T00:00:00"/>
    <x v="2"/>
    <s v="Your weekend playlist is waiting."/>
    <n v="1265"/>
    <n v="230"/>
    <n v="364"/>
    <n v="41312"/>
    <n v="50382"/>
    <n v="106"/>
    <x v="0"/>
    <s v="SummerBeats"/>
    <x v="281"/>
  </r>
  <r>
    <s v="SP294"/>
    <x v="0"/>
    <d v="2024-12-27T00:00:00"/>
    <x v="0"/>
    <s v="From pop to podcasts, itâ€™s all here."/>
    <n v="1436"/>
    <n v="219"/>
    <n v="229"/>
    <n v="58488"/>
    <n v="24314"/>
    <n v="147"/>
    <x v="2"/>
    <s v="IndieWave"/>
    <x v="282"/>
  </r>
  <r>
    <s v="SP295"/>
    <x v="0"/>
    <d v="2025-03-08T00:00:00"/>
    <x v="1"/>
    <s v="Top trending tracks updated daily!"/>
    <n v="2244"/>
    <n v="392"/>
    <n v="231"/>
    <n v="25834"/>
    <n v="50906"/>
    <n v="165"/>
    <x v="1"/>
    <s v="Wrapped2024"/>
    <x v="283"/>
  </r>
  <r>
    <s v="SP296"/>
    <x v="1"/>
    <d v="2025-03-20T00:00:00"/>
    <x v="1"/>
    <s v="Your weekend playlist is waiting."/>
    <n v="3393"/>
    <n v="104"/>
    <n v="79"/>
    <n v="30025"/>
    <n v="21593"/>
    <n v="165"/>
    <x v="3"/>
    <s v="ChillVibes"/>
    <x v="284"/>
  </r>
  <r>
    <s v="SP296"/>
    <x v="1"/>
    <d v="2025-03-20T00:00:00"/>
    <x v="1"/>
    <s v="Your weekend playlist is waiting."/>
    <n v="3393"/>
    <n v="104"/>
    <n v="79"/>
    <n v="30025"/>
    <n v="21593"/>
    <n v="165"/>
    <x v="1"/>
    <s v="ChillVibes"/>
    <x v="284"/>
  </r>
  <r>
    <s v="SP297"/>
    <x v="1"/>
    <d v="2024-11-16T00:00:00"/>
    <x v="0"/>
    <s v="Explore the latest podcasts now."/>
    <n v="2901"/>
    <n v="108"/>
    <n v="86"/>
    <n v="51777"/>
    <n v="23773"/>
    <n v="160"/>
    <x v="0"/>
    <s v="IndieWave"/>
    <x v="285"/>
  </r>
  <r>
    <s v="SP298"/>
    <x v="1"/>
    <d v="2025-06-30T00:00:00"/>
    <x v="0"/>
    <s v="Whatâ€™s your vibe today? #SpotifyHits"/>
    <n v="2275"/>
    <n v="285"/>
    <n v="125"/>
    <n v="43970"/>
    <n v="74761"/>
    <n v="83"/>
    <x v="1"/>
    <s v="ChillVibes"/>
    <x v="286"/>
  </r>
  <r>
    <s v="SP299"/>
    <x v="1"/>
    <d v="2024-01-12T00:00:00"/>
    <x v="1"/>
    <s v="Wrapped is here! Relive your top tracks ðŸŽ§"/>
    <n v="2227"/>
    <n v="494"/>
    <n v="161"/>
    <n v="51651"/>
    <n v="68074"/>
    <n v="240"/>
    <x v="2"/>
    <s v="ChillVibes"/>
    <x v="287"/>
  </r>
  <r>
    <s v="SP299"/>
    <x v="1"/>
    <d v="2024-01-12T00:00:00"/>
    <x v="1"/>
    <s v="Wrapped is here! Relive your top tracks ðŸŽ§"/>
    <n v="2227"/>
    <n v="494"/>
    <n v="161"/>
    <n v="51651"/>
    <n v="68074"/>
    <n v="240"/>
    <x v="3"/>
    <s v="ChillVibes"/>
    <x v="287"/>
  </r>
  <r>
    <s v="SP300"/>
    <x v="0"/>
    <d v="2024-02-07T00:00:00"/>
    <x v="0"/>
    <s v="Music that moves youâ€”only on Spotify."/>
    <n v="1883"/>
    <n v="432"/>
    <n v="397"/>
    <n v="28759"/>
    <n v="18691"/>
    <n v="270"/>
    <x v="0"/>
    <s v="ChillVibes"/>
    <x v="288"/>
  </r>
  <r>
    <s v="SP300"/>
    <x v="0"/>
    <d v="2024-02-07T00:00:00"/>
    <x v="0"/>
    <s v="Music that moves youâ€”only on Spotify."/>
    <n v="1883"/>
    <n v="432"/>
    <n v="397"/>
    <n v="28759"/>
    <n v="18691"/>
    <n v="270"/>
    <x v="1"/>
    <s v="ChillVibes"/>
    <x v="28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x v="0"/>
    <d v="2025-05-04T00:00:00"/>
    <x v="0"/>
    <s v="Discover fresh beats on Spotify!"/>
    <n v="2414"/>
    <n v="245"/>
    <n v="137"/>
    <n v="21181"/>
    <n v="45292"/>
    <n v="133"/>
    <s v="#SoundtrackOfLife,#NowPlaying"/>
    <s v="ChillVibes"/>
    <n v="2796"/>
  </r>
  <r>
    <s v="SP002"/>
    <x v="0"/>
    <d v="2025-02-01T00:00:00"/>
    <x v="0"/>
    <s v="Explore the latest podcasts now."/>
    <n v="1934"/>
    <n v="210"/>
    <n v="393"/>
    <n v="29129"/>
    <n v="73287"/>
    <n v="273"/>
    <s v="#DiscoverWeekly"/>
    <s v="IndieWave"/>
    <n v="2537"/>
  </r>
  <r>
    <s v="SP003"/>
    <x v="1"/>
    <d v="2024-12-03T00:00:00"/>
    <x v="1"/>
    <s v="New music just dropped. Hit play!"/>
    <n v="3092"/>
    <n v="177"/>
    <n v="81"/>
    <n v="47533"/>
    <n v="29220"/>
    <n v="121"/>
    <s v="#MusicForEveryone,#NowPlaying"/>
    <s v="ChillVibes"/>
    <n v="3350"/>
  </r>
  <r>
    <s v="SP004"/>
    <x v="0"/>
    <d v="2024-12-03T00:00:00"/>
    <x v="0"/>
    <s v="Wrapped is here! Relive your top tracks ðŸŽ§"/>
    <n v="3173"/>
    <n v="229"/>
    <n v="197"/>
    <n v="29604"/>
    <n v="21809"/>
    <n v="272"/>
    <s v="#SoundtrackOfLife,#NowPlaying"/>
    <s v="ChillVibes"/>
    <n v="3599"/>
  </r>
  <r>
    <s v="SP005"/>
    <x v="2"/>
    <d v="2024-04-06T00:00:00"/>
    <x v="0"/>
    <s v="Music that moves youâ€”only on Spotify."/>
    <n v="2748"/>
    <n v="145"/>
    <n v="315"/>
    <n v="24401"/>
    <n v="61182"/>
    <n v="200"/>
    <s v="#DiscoverWeekly,#SpotifyWrapped"/>
    <s v="IndieWave"/>
    <n v="3208"/>
  </r>
  <r>
    <s v="SP006"/>
    <x v="2"/>
    <d v="2024-06-13T00:00:00"/>
    <x v="0"/>
    <s v="Whatâ€™s your vibe today? #SpotifyHits"/>
    <n v="3882"/>
    <n v="239"/>
    <n v="275"/>
    <n v="58748"/>
    <n v="44646"/>
    <n v="149"/>
    <s v="#DiscoverWeekly,#SpotifyWrapped"/>
    <s v="IndieWave"/>
    <n v="4396"/>
  </r>
  <r>
    <s v="SP007"/>
    <x v="1"/>
    <d v="2024-12-19T00:00:00"/>
    <x v="1"/>
    <s v="Get into the groove with our new drop!"/>
    <n v="4674"/>
    <n v="409"/>
    <n v="327"/>
    <n v="20756"/>
    <n v="63599"/>
    <n v="212"/>
    <s v="#SoundtrackOfLife,#NowPlaying"/>
    <s v="ChillVibes"/>
    <n v="5410"/>
  </r>
  <r>
    <s v="SP008"/>
    <x v="1"/>
    <d v="2024-05-09T00:00:00"/>
    <x v="1"/>
    <s v="Wrapped is here! Relive your top tracks ðŸŽ§"/>
    <n v="1428"/>
    <n v="347"/>
    <n v="67"/>
    <n v="21148"/>
    <n v="19712"/>
    <n v="120"/>
    <s v="#DiscoverWeekly,#MusicForEveryone"/>
    <s v="ChillVibes"/>
    <n v="1842"/>
  </r>
  <r>
    <s v="SP009"/>
    <x v="1"/>
    <d v="2025-06-15T00:00:00"/>
    <x v="0"/>
    <s v="Top trending tracks updated daily!"/>
    <n v="4432"/>
    <n v="223"/>
    <n v="299"/>
    <n v="59016"/>
    <n v="21742"/>
    <n v="171"/>
    <s v="#NowPlaying"/>
    <s v="ChillVibes"/>
    <n v="4954"/>
  </r>
  <r>
    <s v="SP010"/>
    <x v="1"/>
    <d v="2024-12-04T00:00:00"/>
    <x v="0"/>
    <s v="Wrapped is here! Relive your top tracks ðŸŽ§"/>
    <n v="2357"/>
    <n v="274"/>
    <n v="172"/>
    <n v="21566"/>
    <n v="66829"/>
    <n v="284"/>
    <s v="#NowPlaying"/>
    <s v="ChillVibes"/>
    <n v="2803"/>
  </r>
  <r>
    <s v="SP011"/>
    <x v="1"/>
    <d v="2024-03-06T00:00:00"/>
    <x v="0"/>
    <s v="Discover fresh beats on Spotify!"/>
    <n v="1971"/>
    <n v="370"/>
    <n v="306"/>
    <n v="31316"/>
    <n v="27897"/>
    <n v="88"/>
    <s v="#SoundtrackOfLife"/>
    <s v="IndieWave"/>
    <n v="2647"/>
  </r>
  <r>
    <s v="SP012"/>
    <x v="0"/>
    <d v="2024-05-14T00:00:00"/>
    <x v="0"/>
    <s v="Discover fresh beats on Spotify!"/>
    <n v="1485"/>
    <n v="353"/>
    <n v="244"/>
    <n v="38419"/>
    <n v="38556"/>
    <n v="86"/>
    <s v="#SoundtrackOfLife,#NowPlaying"/>
    <s v="ChillVibes"/>
    <n v="2082"/>
  </r>
  <r>
    <s v="SP013"/>
    <x v="1"/>
    <d v="2025-06-18T00:00:00"/>
    <x v="1"/>
    <s v="Discover fresh beats on Spotify!"/>
    <n v="3956"/>
    <n v="319"/>
    <n v="61"/>
    <n v="58162"/>
    <n v="28720"/>
    <n v="213"/>
    <s v="#MusicForEveryone,#NowPlaying"/>
    <s v="ChillVibes"/>
    <n v="4336"/>
  </r>
  <r>
    <s v="SP014"/>
    <x v="1"/>
    <d v="2024-10-08T00:00:00"/>
    <x v="0"/>
    <s v="From pop to podcasts, itâ€™s all here."/>
    <n v="2460"/>
    <n v="409"/>
    <n v="253"/>
    <n v="36702"/>
    <n v="46122"/>
    <n v="264"/>
    <s v="#NowPlaying"/>
    <s v="ChillVibes"/>
    <n v="3122"/>
  </r>
  <r>
    <s v="SP015"/>
    <x v="1"/>
    <d v="2024-05-06T00:00:00"/>
    <x v="0"/>
    <s v="Your weekend playlist is waiting."/>
    <n v="3476"/>
    <n v="355"/>
    <n v="396"/>
    <n v="37492"/>
    <n v="27285"/>
    <n v="179"/>
    <s v="#NowPlaying"/>
    <s v="ChillVibes"/>
    <n v="4227"/>
  </r>
  <r>
    <s v="SP016"/>
    <x v="1"/>
    <d v="2024-12-29T00:00:00"/>
    <x v="1"/>
    <s v="New music just dropped. Hit play!"/>
    <n v="4049"/>
    <n v="377"/>
    <n v="94"/>
    <n v="48182"/>
    <n v="42875"/>
    <n v="172"/>
    <s v="#MusicForEveryone,#NowPlaying"/>
    <s v="ChillVibes"/>
    <n v="4520"/>
  </r>
  <r>
    <s v="SP017"/>
    <x v="1"/>
    <d v="2024-06-10T00:00:00"/>
    <x v="0"/>
    <s v="Whatâ€™s your vibe today? #SpotifyHits"/>
    <n v="1514"/>
    <n v="164"/>
    <n v="275"/>
    <n v="41364"/>
    <n v="44389"/>
    <n v="83"/>
    <s v="#NowPlaying"/>
    <s v="ChillVibes"/>
    <n v="1953"/>
  </r>
  <r>
    <s v="SP018"/>
    <x v="0"/>
    <d v="2024-02-03T00:00:00"/>
    <x v="1"/>
    <s v="Music that moves youâ€”only on Spotify."/>
    <n v="4281"/>
    <n v="101"/>
    <n v="163"/>
    <n v="32278"/>
    <n v="53382"/>
    <n v="235"/>
    <s v="#NowPlaying"/>
    <s v="Wrapped2024"/>
    <n v="4545"/>
  </r>
  <r>
    <s v="SP019"/>
    <x v="2"/>
    <d v="2024-06-15T00:00:00"/>
    <x v="2"/>
    <s v="Get into the groove with our new drop!"/>
    <n v="1751"/>
    <n v="143"/>
    <n v="151"/>
    <n v="31826"/>
    <n v="47729"/>
    <n v="95"/>
    <s v="#DiscoverWeekly,#SoundtrackOfLife"/>
    <s v="SummerBeats"/>
    <n v="2045"/>
  </r>
  <r>
    <s v="SP020"/>
    <x v="0"/>
    <d v="2024-07-05T00:00:00"/>
    <x v="0"/>
    <s v="Your weekend playlist is waiting."/>
    <n v="3753"/>
    <n v="411"/>
    <n v="308"/>
    <n v="29138"/>
    <n v="27678"/>
    <n v="90"/>
    <s v="#DiscoverWeekly"/>
    <s v="IndieWave"/>
    <n v="4472"/>
  </r>
  <r>
    <s v="SP021"/>
    <x v="0"/>
    <d v="2024-11-07T00:00:00"/>
    <x v="1"/>
    <s v="Wrapped is here! Relive your top tracks ðŸŽ§"/>
    <n v="1678"/>
    <n v="423"/>
    <n v="323"/>
    <n v="55668"/>
    <n v="37945"/>
    <n v="230"/>
    <s v="#NowPlaying"/>
    <s v="Wrapped2024"/>
    <n v="2424"/>
  </r>
  <r>
    <s v="SP022"/>
    <x v="0"/>
    <d v="2025-06-15T00:00:00"/>
    <x v="0"/>
    <s v="Whatâ€™s your vibe today? #SpotifyHits"/>
    <n v="4896"/>
    <n v="466"/>
    <n v="233"/>
    <n v="28621"/>
    <n v="34270"/>
    <n v="84"/>
    <s v="#SoundtrackOfLife,#NowPlaying"/>
    <s v="ChillVibes"/>
    <n v="5595"/>
  </r>
  <r>
    <s v="SP023"/>
    <x v="2"/>
    <d v="2024-06-09T00:00:00"/>
    <x v="2"/>
    <s v="From pop to podcasts, itâ€™s all here."/>
    <n v="2786"/>
    <n v="368"/>
    <n v="208"/>
    <n v="42000"/>
    <n v="39967"/>
    <n v="103"/>
    <s v="#DiscoverWeekly,#SoundtrackOfLife"/>
    <s v="SummerBeats"/>
    <n v="3362"/>
  </r>
  <r>
    <s v="SP024"/>
    <x v="1"/>
    <d v="2024-10-18T00:00:00"/>
    <x v="0"/>
    <s v="New music just dropped. Hit play!"/>
    <n v="2607"/>
    <n v="379"/>
    <n v="180"/>
    <n v="28712"/>
    <n v="61620"/>
    <n v="174"/>
    <s v="#SoundtrackOfLife"/>
    <s v="IndieWave"/>
    <n v="3166"/>
  </r>
  <r>
    <s v="SP025"/>
    <x v="2"/>
    <d v="2024-10-10T00:00:00"/>
    <x v="2"/>
    <s v="From pop to podcasts, itâ€™s all here."/>
    <n v="4013"/>
    <n v="320"/>
    <n v="92"/>
    <n v="54605"/>
    <n v="60169"/>
    <n v="232"/>
    <s v="#DiscoverWeekly,#SoundtrackOfLife"/>
    <s v="SummerBeats"/>
    <n v="4425"/>
  </r>
  <r>
    <s v="SP026"/>
    <x v="1"/>
    <d v="2025-05-14T00:00:00"/>
    <x v="1"/>
    <s v="From pop to podcasts, itâ€™s all here."/>
    <n v="2707"/>
    <n v="103"/>
    <n v="51"/>
    <n v="55302"/>
    <n v="18801"/>
    <n v="147"/>
    <s v="#DiscoverWeekly,#MusicForEveryone"/>
    <s v="ChillVibes"/>
    <n v="2861"/>
  </r>
  <r>
    <s v="SP027"/>
    <x v="0"/>
    <d v="2024-11-29T00:00:00"/>
    <x v="0"/>
    <s v="Whatâ€™s your vibe today? #SpotifyHits"/>
    <n v="2824"/>
    <n v="425"/>
    <n v="274"/>
    <n v="31004"/>
    <n v="53488"/>
    <n v="268"/>
    <s v="#SoundtrackOfLife,#NowPlaying"/>
    <s v="ChillVibes"/>
    <n v="3523"/>
  </r>
  <r>
    <s v="SP028"/>
    <x v="2"/>
    <d v="2024-03-05T00:00:00"/>
    <x v="2"/>
    <s v="Explore the latest podcasts now."/>
    <n v="3558"/>
    <n v="314"/>
    <n v="199"/>
    <n v="49612"/>
    <n v="53929"/>
    <n v="206"/>
    <s v="#DiscoverWeekly,#SoundtrackOfLife"/>
    <s v="SummerBeats"/>
    <n v="4071"/>
  </r>
  <r>
    <s v="SP029"/>
    <x v="1"/>
    <d v="2025-03-18T00:00:00"/>
    <x v="1"/>
    <s v="Explore the latest podcasts now."/>
    <n v="3418"/>
    <n v="188"/>
    <n v="387"/>
    <n v="57431"/>
    <n v="36933"/>
    <n v="202"/>
    <s v="#MusicForEveryone,#NowPlaying"/>
    <s v="ChillVibes"/>
    <n v="3993"/>
  </r>
  <r>
    <s v="SP030"/>
    <x v="1"/>
    <d v="2025-04-26T00:00:00"/>
    <x v="0"/>
    <s v="Discover fresh beats on Spotify!"/>
    <n v="2411"/>
    <n v="194"/>
    <n v="168"/>
    <n v="26665"/>
    <n v="71699"/>
    <n v="197"/>
    <s v="#NowPlaying"/>
    <s v="ChillVibes"/>
    <n v="2773"/>
  </r>
  <r>
    <s v="SP031"/>
    <x v="0"/>
    <d v="2025-01-01T00:00:00"/>
    <x v="0"/>
    <s v="New music just dropped. Hit play!"/>
    <n v="4036"/>
    <n v="112"/>
    <n v="382"/>
    <n v="56284"/>
    <n v="29440"/>
    <n v="279"/>
    <s v="#SoundtrackOfLife,#NowPlaying"/>
    <s v="ChillVibes"/>
    <n v="4530"/>
  </r>
  <r>
    <s v="SP032"/>
    <x v="1"/>
    <d v="2024-05-07T00:00:00"/>
    <x v="1"/>
    <s v="Explore the latest podcasts now."/>
    <n v="2776"/>
    <n v="307"/>
    <n v="178"/>
    <n v="43365"/>
    <n v="48408"/>
    <n v="138"/>
    <s v="#SoundtrackOfLife,#NowPlaying"/>
    <s v="ChillVibes"/>
    <n v="3261"/>
  </r>
  <r>
    <s v="SP033"/>
    <x v="1"/>
    <d v="2024-10-09T00:00:00"/>
    <x v="1"/>
    <s v="Discover fresh beats on Spotify!"/>
    <n v="4929"/>
    <n v="182"/>
    <n v="95"/>
    <n v="32181"/>
    <n v="31084"/>
    <n v="289"/>
    <s v="#DiscoverWeekly,#MusicForEveryone"/>
    <s v="ChillVibes"/>
    <n v="5206"/>
  </r>
  <r>
    <s v="SP034"/>
    <x v="0"/>
    <d v="2025-01-09T00:00:00"/>
    <x v="0"/>
    <s v="New music just dropped. Hit play!"/>
    <n v="1015"/>
    <n v="366"/>
    <n v="308"/>
    <n v="38127"/>
    <n v="63790"/>
    <n v="287"/>
    <s v="#SoundtrackOfLife,#NowPlaying"/>
    <s v="ChillVibes"/>
    <n v="1689"/>
  </r>
  <r>
    <s v="SP035"/>
    <x v="1"/>
    <d v="2025-05-08T00:00:00"/>
    <x v="1"/>
    <s v="Your weekend playlist is waiting."/>
    <n v="3316"/>
    <n v="332"/>
    <n v="268"/>
    <n v="40095"/>
    <n v="36913"/>
    <n v="265"/>
    <s v="#MusicForEveryone,#NowPlaying"/>
    <s v="ChillVibes"/>
    <n v="3916"/>
  </r>
  <r>
    <s v="SP036"/>
    <x v="0"/>
    <d v="2024-05-04T00:00:00"/>
    <x v="0"/>
    <s v="Wrapped is here! Relive your top tracks ðŸŽ§"/>
    <n v="2274"/>
    <n v="243"/>
    <n v="222"/>
    <n v="43066"/>
    <n v="59174"/>
    <n v="80"/>
    <s v="#DiscoverWeekly"/>
    <s v="IndieWave"/>
    <n v="2739"/>
  </r>
  <r>
    <s v="SP037"/>
    <x v="1"/>
    <d v="2025-05-27T00:00:00"/>
    <x v="1"/>
    <s v="Explore the latest podcasts now."/>
    <n v="4095"/>
    <n v="385"/>
    <n v="400"/>
    <n v="45300"/>
    <n v="31795"/>
    <n v="80"/>
    <s v="#MusicForEveryone,#NowPlaying"/>
    <s v="ChillVibes"/>
    <n v="4880"/>
  </r>
  <r>
    <s v="SP038"/>
    <x v="0"/>
    <d v="2024-09-10T00:00:00"/>
    <x v="1"/>
    <s v="New music just dropped. Hit play!"/>
    <n v="1230"/>
    <n v="309"/>
    <n v="207"/>
    <n v="44629"/>
    <n v="40699"/>
    <n v="195"/>
    <s v="#NowPlaying"/>
    <s v="Wrapped2024"/>
    <n v="1746"/>
  </r>
  <r>
    <s v="SP039"/>
    <x v="0"/>
    <d v="2024-11-25T00:00:00"/>
    <x v="0"/>
    <s v="From pop to podcasts, itâ€™s all here."/>
    <n v="1341"/>
    <n v="472"/>
    <n v="238"/>
    <n v="51386"/>
    <n v="51706"/>
    <n v="133"/>
    <s v="#DiscoverWeekly"/>
    <s v="IndieWave"/>
    <n v="2051"/>
  </r>
  <r>
    <s v="SP040"/>
    <x v="1"/>
    <d v="2025-06-10T00:00:00"/>
    <x v="0"/>
    <s v="Explore the latest podcasts now."/>
    <n v="3615"/>
    <n v="192"/>
    <n v="162"/>
    <n v="27492"/>
    <n v="35341"/>
    <n v="125"/>
    <s v="#NowPlaying"/>
    <s v="ChillVibes"/>
    <n v="3969"/>
  </r>
  <r>
    <s v="SP041"/>
    <x v="0"/>
    <d v="2024-04-19T00:00:00"/>
    <x v="0"/>
    <s v="New music just dropped. Hit play!"/>
    <n v="4001"/>
    <n v="353"/>
    <n v="129"/>
    <n v="41265"/>
    <n v="37279"/>
    <n v="275"/>
    <s v="#SoundtrackOfLife,#NowPlaying"/>
    <s v="ChillVibes"/>
    <n v="4483"/>
  </r>
  <r>
    <s v="SP042"/>
    <x v="0"/>
    <d v="2025-01-26T00:00:00"/>
    <x v="1"/>
    <s v="Whatâ€™s your vibe today? #SpotifyHits"/>
    <n v="3451"/>
    <n v="363"/>
    <n v="393"/>
    <n v="44853"/>
    <n v="69032"/>
    <n v="211"/>
    <s v="#NowPlaying"/>
    <s v="Wrapped2024"/>
    <n v="4207"/>
  </r>
  <r>
    <s v="SP043"/>
    <x v="0"/>
    <d v="2025-02-14T00:00:00"/>
    <x v="0"/>
    <s v="Top trending tracks updated daily!"/>
    <n v="4891"/>
    <n v="450"/>
    <n v="387"/>
    <n v="48746"/>
    <n v="37312"/>
    <n v="154"/>
    <s v="#SoundtrackOfLife,#NowPlaying"/>
    <s v="ChillVibes"/>
    <n v="5728"/>
  </r>
  <r>
    <s v="SP044"/>
    <x v="0"/>
    <d v="2024-09-06T00:00:00"/>
    <x v="0"/>
    <s v="New music just dropped. Hit play!"/>
    <n v="1452"/>
    <n v="281"/>
    <n v="326"/>
    <n v="51556"/>
    <n v="62599"/>
    <n v="290"/>
    <s v="#DiscoverWeekly"/>
    <s v="IndieWave"/>
    <n v="2059"/>
  </r>
  <r>
    <s v="SP045"/>
    <x v="2"/>
    <d v="2024-07-14T00:00:00"/>
    <x v="0"/>
    <s v="Your weekend playlist is waiting."/>
    <n v="3806"/>
    <n v="114"/>
    <n v="278"/>
    <n v="36148"/>
    <n v="24209"/>
    <n v="201"/>
    <s v="#DiscoverWeekly,#SpotifyWrapped"/>
    <s v="IndieWave"/>
    <n v="4198"/>
  </r>
  <r>
    <s v="SP046"/>
    <x v="0"/>
    <d v="2024-02-12T00:00:00"/>
    <x v="0"/>
    <s v="Explore the latest podcasts now."/>
    <n v="2923"/>
    <n v="330"/>
    <n v="250"/>
    <n v="23993"/>
    <n v="74590"/>
    <n v="92"/>
    <s v="#DiscoverWeekly"/>
    <s v="IndieWave"/>
    <n v="3503"/>
  </r>
  <r>
    <s v="SP047"/>
    <x v="2"/>
    <d v="2024-03-14T00:00:00"/>
    <x v="2"/>
    <s v="From pop to podcasts, itâ€™s all here."/>
    <n v="3361"/>
    <n v="188"/>
    <n v="358"/>
    <n v="39838"/>
    <n v="24536"/>
    <n v="120"/>
    <s v="#DiscoverWeekly,#SoundtrackOfLife"/>
    <s v="SummerBeats"/>
    <n v="3907"/>
  </r>
  <r>
    <s v="SP048"/>
    <x v="0"/>
    <d v="2025-02-05T00:00:00"/>
    <x v="1"/>
    <s v="Music that moves youâ€”only on Spotify."/>
    <n v="3074"/>
    <n v="371"/>
    <n v="348"/>
    <n v="24104"/>
    <n v="57803"/>
    <n v="213"/>
    <s v="#NowPlaying"/>
    <s v="Wrapped2024"/>
    <n v="3793"/>
  </r>
  <r>
    <s v="SP049"/>
    <x v="1"/>
    <d v="2024-08-29T00:00:00"/>
    <x v="1"/>
    <s v="Get into the groove with our new drop!"/>
    <n v="4276"/>
    <n v="227"/>
    <n v="223"/>
    <n v="43443"/>
    <n v="41005"/>
    <n v="191"/>
    <s v="#DiscoverWeekly,#MusicForEveryone"/>
    <s v="ChillVibes"/>
    <n v="4726"/>
  </r>
  <r>
    <s v="SP050"/>
    <x v="1"/>
    <d v="2025-04-22T00:00:00"/>
    <x v="0"/>
    <s v="Discover fresh beats on Spotify!"/>
    <n v="4401"/>
    <n v="421"/>
    <n v="216"/>
    <n v="24890"/>
    <n v="54361"/>
    <n v="148"/>
    <s v="#NowPlaying"/>
    <s v="ChillVibes"/>
    <n v="5038"/>
  </r>
  <r>
    <s v="SP051"/>
    <x v="2"/>
    <d v="2024-05-13T00:00:00"/>
    <x v="2"/>
    <s v="Explore the latest podcasts now."/>
    <n v="4161"/>
    <n v="481"/>
    <n v="61"/>
    <n v="45884"/>
    <n v="48955"/>
    <n v="215"/>
    <s v="#DiscoverWeekly,#SoundtrackOfLife"/>
    <s v="SummerBeats"/>
    <n v="4703"/>
  </r>
  <r>
    <s v="SP052"/>
    <x v="1"/>
    <d v="2024-09-04T00:00:00"/>
    <x v="1"/>
    <s v="New music just dropped. Hit play!"/>
    <n v="2613"/>
    <n v="455"/>
    <n v="228"/>
    <n v="21645"/>
    <n v="61334"/>
    <n v="261"/>
    <s v="#DiscoverWeekly,#MusicForEveryone"/>
    <s v="ChillVibes"/>
    <n v="3296"/>
  </r>
  <r>
    <s v="SP053"/>
    <x v="1"/>
    <d v="2024-08-12T00:00:00"/>
    <x v="1"/>
    <s v="Whatâ€™s your vibe today? #SpotifyHits"/>
    <n v="2842"/>
    <n v="213"/>
    <n v="331"/>
    <n v="57660"/>
    <n v="68606"/>
    <n v="87"/>
    <s v="#MusicForEveryone,#NowPlaying"/>
    <s v="ChillVibes"/>
    <n v="3386"/>
  </r>
  <r>
    <s v="SP054"/>
    <x v="0"/>
    <d v="2025-03-06T00:00:00"/>
    <x v="0"/>
    <s v="Get into the groove with our new drop!"/>
    <n v="4851"/>
    <n v="460"/>
    <n v="212"/>
    <n v="58075"/>
    <n v="59574"/>
    <n v="239"/>
    <s v="#DiscoverWeekly"/>
    <s v="IndieWave"/>
    <n v="5523"/>
  </r>
  <r>
    <s v="SP055"/>
    <x v="1"/>
    <d v="2024-05-08T00:00:00"/>
    <x v="0"/>
    <s v="Explore the latest podcasts now."/>
    <n v="1828"/>
    <n v="450"/>
    <n v="214"/>
    <n v="52115"/>
    <n v="19166"/>
    <n v="190"/>
    <s v="#NowPlaying"/>
    <s v="ChillVibes"/>
    <n v="2492"/>
  </r>
  <r>
    <s v="SP056"/>
    <x v="0"/>
    <d v="2025-02-19T00:00:00"/>
    <x v="1"/>
    <s v="From pop to podcasts, itâ€™s all here."/>
    <n v="2422"/>
    <n v="455"/>
    <n v="376"/>
    <n v="23428"/>
    <n v="46775"/>
    <n v="259"/>
    <s v="#NowPlaying"/>
    <s v="Wrapped2024"/>
    <n v="3253"/>
  </r>
  <r>
    <s v="SP057"/>
    <x v="0"/>
    <d v="2024-01-08T00:00:00"/>
    <x v="0"/>
    <s v="Top trending tracks updated daily!"/>
    <n v="2683"/>
    <n v="405"/>
    <n v="223"/>
    <n v="31233"/>
    <n v="58106"/>
    <n v="291"/>
    <s v="#DiscoverWeekly"/>
    <s v="IndieWave"/>
    <n v="3311"/>
  </r>
  <r>
    <s v="SP058"/>
    <x v="2"/>
    <d v="2024-07-17T00:00:00"/>
    <x v="0"/>
    <s v="Top trending tracks updated daily!"/>
    <n v="3135"/>
    <n v="110"/>
    <n v="215"/>
    <n v="39192"/>
    <n v="24744"/>
    <n v="177"/>
    <s v="#DiscoverWeekly,#SpotifyWrapped"/>
    <s v="IndieWave"/>
    <n v="3460"/>
  </r>
  <r>
    <s v="SP059"/>
    <x v="2"/>
    <d v="2024-08-10T00:00:00"/>
    <x v="0"/>
    <s v="From pop to podcasts, itâ€™s all here."/>
    <n v="1105"/>
    <n v="181"/>
    <n v="55"/>
    <n v="53581"/>
    <n v="74048"/>
    <n v="220"/>
    <s v="#DiscoverWeekly,#SpotifyWrapped"/>
    <s v="IndieWave"/>
    <n v="1341"/>
  </r>
  <r>
    <s v="SP060"/>
    <x v="2"/>
    <d v="2024-04-16T00:00:00"/>
    <x v="0"/>
    <s v="Discover fresh beats on Spotify!"/>
    <n v="4674"/>
    <n v="326"/>
    <n v="62"/>
    <n v="45503"/>
    <n v="46814"/>
    <n v="116"/>
    <s v="#DiscoverWeekly,#SpotifyWrapped"/>
    <s v="IndieWave"/>
    <n v="5062"/>
  </r>
  <r>
    <s v="SP061"/>
    <x v="2"/>
    <d v="2024-01-01T00:00:00"/>
    <x v="2"/>
    <s v="Explore the latest podcasts now."/>
    <n v="3437"/>
    <n v="129"/>
    <n v="359"/>
    <n v="44558"/>
    <n v="30854"/>
    <n v="171"/>
    <s v="#DiscoverWeekly,#SoundtrackOfLife"/>
    <s v="SummerBeats"/>
    <n v="3925"/>
  </r>
  <r>
    <s v="SP062"/>
    <x v="1"/>
    <d v="2024-11-03T00:00:00"/>
    <x v="1"/>
    <s v="Wrapped is here! Relive your top tracks ðŸŽ§"/>
    <n v="1959"/>
    <n v="316"/>
    <n v="82"/>
    <n v="54036"/>
    <n v="69015"/>
    <n v="182"/>
    <s v="#MusicForEveryone,#NowPlaying"/>
    <s v="ChillVibes"/>
    <n v="2357"/>
  </r>
  <r>
    <s v="SP063"/>
    <x v="1"/>
    <d v="2024-07-07T00:00:00"/>
    <x v="0"/>
    <s v="New music just dropped. Hit play!"/>
    <n v="1035"/>
    <n v="137"/>
    <n v="184"/>
    <n v="37302"/>
    <n v="68953"/>
    <n v="237"/>
    <s v="#SoundtrackOfLife"/>
    <s v="IndieWave"/>
    <n v="1356"/>
  </r>
  <r>
    <s v="SP064"/>
    <x v="1"/>
    <d v="2025-01-22T00:00:00"/>
    <x v="1"/>
    <s v="New music just dropped. Hit play!"/>
    <n v="4478"/>
    <n v="101"/>
    <n v="121"/>
    <n v="51035"/>
    <n v="58207"/>
    <n v="205"/>
    <s v="#MusicForEveryone,#NowPlaying"/>
    <s v="ChillVibes"/>
    <n v="4700"/>
  </r>
  <r>
    <s v="SP065"/>
    <x v="2"/>
    <d v="2024-05-26T00:00:00"/>
    <x v="0"/>
    <s v="From pop to podcasts, itâ€™s all here."/>
    <n v="1488"/>
    <n v="327"/>
    <n v="110"/>
    <n v="53805"/>
    <n v="30239"/>
    <n v="109"/>
    <s v="#DiscoverWeekly,#SpotifyWrapped"/>
    <s v="IndieWave"/>
    <n v="1925"/>
  </r>
  <r>
    <s v="SP066"/>
    <x v="0"/>
    <d v="2025-04-16T00:00:00"/>
    <x v="0"/>
    <s v="Wrapped is here! Relive your top tracks ðŸŽ§"/>
    <n v="4836"/>
    <n v="331"/>
    <n v="140"/>
    <n v="58792"/>
    <n v="47711"/>
    <n v="227"/>
    <s v="#SoundtrackOfLife,#NowPlaying"/>
    <s v="ChillVibes"/>
    <n v="5307"/>
  </r>
  <r>
    <s v="SP067"/>
    <x v="2"/>
    <d v="2024-04-02T00:00:00"/>
    <x v="2"/>
    <s v="Your weekend playlist is waiting."/>
    <n v="4563"/>
    <n v="488"/>
    <n v="356"/>
    <n v="30619"/>
    <n v="23328"/>
    <n v="267"/>
    <s v="#DiscoverWeekly,#SoundtrackOfLife"/>
    <s v="SummerBeats"/>
    <n v="5407"/>
  </r>
  <r>
    <s v="SP068"/>
    <x v="1"/>
    <d v="2024-03-28T00:00:00"/>
    <x v="0"/>
    <s v="Music that moves youâ€”only on Spotify."/>
    <n v="3276"/>
    <n v="421"/>
    <n v="114"/>
    <n v="20580"/>
    <n v="30324"/>
    <n v="221"/>
    <s v="#SoundtrackOfLife"/>
    <s v="IndieWave"/>
    <n v="3811"/>
  </r>
  <r>
    <s v="SP069"/>
    <x v="1"/>
    <d v="2024-12-17T00:00:00"/>
    <x v="1"/>
    <s v="Music that moves youâ€”only on Spotify."/>
    <n v="1316"/>
    <n v="472"/>
    <n v="286"/>
    <n v="44692"/>
    <n v="53343"/>
    <n v="227"/>
    <s v="#DiscoverWeekly,#MusicForEveryone"/>
    <s v="ChillVibes"/>
    <n v="2074"/>
  </r>
  <r>
    <s v="SP070"/>
    <x v="1"/>
    <d v="2025-01-05T00:00:00"/>
    <x v="0"/>
    <s v="Wrapped is here! Relive your top tracks ðŸŽ§"/>
    <n v="4811"/>
    <n v="473"/>
    <n v="254"/>
    <n v="51964"/>
    <n v="68795"/>
    <n v="107"/>
    <s v="#NowPlaying"/>
    <s v="ChillVibes"/>
    <n v="5538"/>
  </r>
  <r>
    <s v="SP071"/>
    <x v="1"/>
    <d v="2024-01-11T00:00:00"/>
    <x v="0"/>
    <s v="Whatâ€™s your vibe today? #SpotifyHits"/>
    <n v="4218"/>
    <n v="247"/>
    <n v="183"/>
    <n v="28914"/>
    <n v="18310"/>
    <n v="135"/>
    <s v="#SoundtrackOfLife"/>
    <s v="IndieWave"/>
    <n v="4648"/>
  </r>
  <r>
    <s v="SP072"/>
    <x v="0"/>
    <d v="2024-10-11T00:00:00"/>
    <x v="0"/>
    <s v="From pop to podcasts, itâ€™s all here."/>
    <n v="1360"/>
    <n v="249"/>
    <n v="52"/>
    <n v="20368"/>
    <n v="42152"/>
    <n v="193"/>
    <s v="#DiscoverWeekly"/>
    <s v="IndieWave"/>
    <n v="1661"/>
  </r>
  <r>
    <s v="SP073"/>
    <x v="2"/>
    <d v="2025-05-06T00:00:00"/>
    <x v="2"/>
    <s v="Discover fresh beats on Spotify!"/>
    <n v="1085"/>
    <n v="496"/>
    <n v="320"/>
    <n v="36528"/>
    <n v="38599"/>
    <n v="270"/>
    <s v="#DiscoverWeekly,#SoundtrackOfLife"/>
    <s v="SummerBeats"/>
    <n v="1901"/>
  </r>
  <r>
    <s v="SP074"/>
    <x v="1"/>
    <d v="2024-05-19T00:00:00"/>
    <x v="1"/>
    <s v="Get into the groove with our new drop!"/>
    <n v="1763"/>
    <n v="206"/>
    <n v="187"/>
    <n v="53342"/>
    <n v="25095"/>
    <n v="88"/>
    <s v="#DiscoverWeekly,#MusicForEveryone"/>
    <s v="ChillVibes"/>
    <n v="2156"/>
  </r>
  <r>
    <s v="SP075"/>
    <x v="1"/>
    <d v="2024-01-22T00:00:00"/>
    <x v="1"/>
    <s v="From pop to podcasts, itâ€™s all here."/>
    <n v="1554"/>
    <n v="455"/>
    <n v="158"/>
    <n v="41947"/>
    <n v="48578"/>
    <n v="101"/>
    <s v="#SoundtrackOfLife,#NowPlaying"/>
    <s v="ChillVibes"/>
    <n v="2167"/>
  </r>
  <r>
    <s v="SP076"/>
    <x v="0"/>
    <d v="2024-07-14T00:00:00"/>
    <x v="0"/>
    <s v="Wrapped is here! Relive your top tracks ðŸŽ§"/>
    <n v="2464"/>
    <n v="401"/>
    <n v="78"/>
    <n v="38665"/>
    <n v="73593"/>
    <n v="207"/>
    <s v="#DiscoverWeekly"/>
    <s v="IndieWave"/>
    <n v="2943"/>
  </r>
  <r>
    <s v="SP077"/>
    <x v="1"/>
    <d v="2025-05-28T00:00:00"/>
    <x v="0"/>
    <s v="From pop to podcasts, itâ€™s all here."/>
    <n v="2418"/>
    <n v="161"/>
    <n v="360"/>
    <n v="30589"/>
    <n v="41383"/>
    <n v="88"/>
    <s v="#NowPlaying"/>
    <s v="ChillVibes"/>
    <n v="2939"/>
  </r>
  <r>
    <s v="SP078"/>
    <x v="1"/>
    <d v="2025-01-21T00:00:00"/>
    <x v="1"/>
    <s v="Discover fresh beats on Spotify!"/>
    <n v="2494"/>
    <n v="494"/>
    <n v="55"/>
    <n v="22580"/>
    <n v="22214"/>
    <n v="109"/>
    <s v="#MusicForEveryone,#NowPlaying"/>
    <s v="ChillVibes"/>
    <n v="3043"/>
  </r>
  <r>
    <s v="SP079"/>
    <x v="2"/>
    <d v="2024-01-13T00:00:00"/>
    <x v="2"/>
    <s v="New music just dropped. Hit play!"/>
    <n v="4781"/>
    <n v="191"/>
    <n v="122"/>
    <n v="35535"/>
    <n v="50777"/>
    <n v="128"/>
    <s v="#DiscoverWeekly,#SoundtrackOfLife"/>
    <s v="SummerBeats"/>
    <n v="5094"/>
  </r>
  <r>
    <s v="SP080"/>
    <x v="0"/>
    <d v="2025-06-17T00:00:00"/>
    <x v="0"/>
    <s v="Music that moves youâ€”only on Spotify."/>
    <n v="2284"/>
    <n v="187"/>
    <n v="260"/>
    <n v="37400"/>
    <n v="65014"/>
    <n v="157"/>
    <s v="#SoundtrackOfLife,#NowPlaying"/>
    <s v="ChillVibes"/>
    <n v="2731"/>
  </r>
  <r>
    <s v="SP081"/>
    <x v="1"/>
    <d v="2025-03-07T00:00:00"/>
    <x v="0"/>
    <s v="Get into the groove with our new drop!"/>
    <n v="4234"/>
    <n v="486"/>
    <n v="276"/>
    <n v="56623"/>
    <n v="41343"/>
    <n v="184"/>
    <s v="#SoundtrackOfLife"/>
    <s v="IndieWave"/>
    <n v="4996"/>
  </r>
  <r>
    <s v="SP082"/>
    <x v="0"/>
    <d v="2024-08-26T00:00:00"/>
    <x v="0"/>
    <s v="Your weekend playlist is waiting."/>
    <n v="2102"/>
    <n v="181"/>
    <n v="306"/>
    <n v="43650"/>
    <n v="50079"/>
    <n v="182"/>
    <s v="#DiscoverWeekly"/>
    <s v="IndieWave"/>
    <n v="2589"/>
  </r>
  <r>
    <s v="SP083"/>
    <x v="1"/>
    <d v="2025-01-03T00:00:00"/>
    <x v="1"/>
    <s v="Get into the groove with our new drop!"/>
    <n v="4845"/>
    <n v="158"/>
    <n v="84"/>
    <n v="34578"/>
    <n v="51480"/>
    <n v="180"/>
    <s v="#SoundtrackOfLife,#NowPlaying"/>
    <s v="ChillVibes"/>
    <n v="5087"/>
  </r>
  <r>
    <s v="SP084"/>
    <x v="1"/>
    <d v="2024-08-03T00:00:00"/>
    <x v="0"/>
    <s v="Your weekend playlist is waiting."/>
    <n v="4247"/>
    <n v="390"/>
    <n v="213"/>
    <n v="29785"/>
    <n v="57768"/>
    <n v="122"/>
    <s v="#NowPlaying"/>
    <s v="ChillVibes"/>
    <n v="4850"/>
  </r>
  <r>
    <s v="SP085"/>
    <x v="0"/>
    <d v="2024-08-18T00:00:00"/>
    <x v="0"/>
    <s v="Explore the latest podcasts now."/>
    <n v="2965"/>
    <n v="328"/>
    <n v="171"/>
    <n v="57685"/>
    <n v="67536"/>
    <n v="264"/>
    <s v="#SoundtrackOfLife,#NowPlaying"/>
    <s v="ChillVibes"/>
    <n v="3464"/>
  </r>
  <r>
    <s v="SP086"/>
    <x v="1"/>
    <d v="2025-05-14T00:00:00"/>
    <x v="1"/>
    <s v="Wrapped is here! Relive your top tracks ðŸŽ§"/>
    <n v="1371"/>
    <n v="139"/>
    <n v="96"/>
    <n v="36140"/>
    <n v="39395"/>
    <n v="169"/>
    <s v="#SoundtrackOfLife,#NowPlaying"/>
    <s v="ChillVibes"/>
    <n v="1606"/>
  </r>
  <r>
    <s v="SP087"/>
    <x v="1"/>
    <d v="2024-04-23T00:00:00"/>
    <x v="1"/>
    <s v="Discover fresh beats on Spotify!"/>
    <n v="2683"/>
    <n v="496"/>
    <n v="89"/>
    <n v="53435"/>
    <n v="30334"/>
    <n v="160"/>
    <s v="#SoundtrackOfLife,#NowPlaying"/>
    <s v="ChillVibes"/>
    <n v="3268"/>
  </r>
  <r>
    <s v="SP088"/>
    <x v="1"/>
    <d v="2025-02-17T00:00:00"/>
    <x v="1"/>
    <s v="Whatâ€™s your vibe today? #SpotifyHits"/>
    <n v="4796"/>
    <n v="427"/>
    <n v="339"/>
    <n v="30752"/>
    <n v="33870"/>
    <n v="298"/>
    <s v="#SoundtrackOfLife,#NowPlaying"/>
    <s v="ChillVibes"/>
    <n v="5562"/>
  </r>
  <r>
    <s v="SP089"/>
    <x v="0"/>
    <d v="2024-12-04T00:00:00"/>
    <x v="0"/>
    <s v="Wrapped is here! Relive your top tracks ðŸŽ§"/>
    <n v="2601"/>
    <n v="336"/>
    <n v="260"/>
    <n v="32368"/>
    <n v="49028"/>
    <n v="120"/>
    <s v="#SoundtrackOfLife,#NowPlaying"/>
    <s v="ChillVibes"/>
    <n v="3197"/>
  </r>
  <r>
    <s v="SP090"/>
    <x v="1"/>
    <d v="2024-07-22T00:00:00"/>
    <x v="1"/>
    <s v="Wrapped is here! Relive your top tracks ðŸŽ§"/>
    <n v="3336"/>
    <n v="229"/>
    <n v="337"/>
    <n v="22117"/>
    <n v="26205"/>
    <n v="160"/>
    <s v="#MusicForEveryone,#NowPlaying"/>
    <s v="ChillVibes"/>
    <n v="3902"/>
  </r>
  <r>
    <s v="SP091"/>
    <x v="1"/>
    <d v="2025-04-27T00:00:00"/>
    <x v="0"/>
    <s v="Explore the latest podcasts now."/>
    <n v="1165"/>
    <n v="294"/>
    <n v="163"/>
    <n v="20659"/>
    <n v="45926"/>
    <n v="111"/>
    <s v="#SoundtrackOfLife"/>
    <s v="IndieWave"/>
    <n v="1622"/>
  </r>
  <r>
    <s v="SP092"/>
    <x v="2"/>
    <d v="2024-03-25T00:00:00"/>
    <x v="2"/>
    <s v="Explore the latest podcasts now."/>
    <n v="1948"/>
    <n v="155"/>
    <n v="315"/>
    <n v="30321"/>
    <n v="57121"/>
    <n v="82"/>
    <s v="#DiscoverWeekly,#SoundtrackOfLife"/>
    <s v="SummerBeats"/>
    <n v="2418"/>
  </r>
  <r>
    <s v="SP093"/>
    <x v="0"/>
    <d v="2024-02-29T00:00:00"/>
    <x v="0"/>
    <s v="From pop to podcasts, itâ€™s all here."/>
    <n v="1100"/>
    <n v="229"/>
    <n v="312"/>
    <n v="25641"/>
    <n v="34601"/>
    <n v="169"/>
    <s v="#DiscoverWeekly"/>
    <s v="IndieWave"/>
    <n v="1641"/>
  </r>
  <r>
    <s v="SP094"/>
    <x v="1"/>
    <d v="2024-11-13T00:00:00"/>
    <x v="1"/>
    <s v="Top trending tracks updated daily!"/>
    <n v="4628"/>
    <n v="257"/>
    <n v="397"/>
    <n v="36686"/>
    <n v="54683"/>
    <n v="98"/>
    <s v="#SoundtrackOfLife,#NowPlaying"/>
    <s v="ChillVibes"/>
    <n v="5282"/>
  </r>
  <r>
    <s v="SP095"/>
    <x v="0"/>
    <d v="2024-03-22T00:00:00"/>
    <x v="1"/>
    <s v="Discover fresh beats on Spotify!"/>
    <n v="2319"/>
    <n v="484"/>
    <n v="193"/>
    <n v="21202"/>
    <n v="18091"/>
    <n v="241"/>
    <s v="#NowPlaying"/>
    <s v="Wrapped2024"/>
    <n v="2996"/>
  </r>
  <r>
    <s v="SP096"/>
    <x v="1"/>
    <d v="2024-03-16T00:00:00"/>
    <x v="1"/>
    <s v="Wrapped is here! Relive your top tracks ðŸŽ§"/>
    <n v="2895"/>
    <n v="292"/>
    <n v="90"/>
    <n v="24223"/>
    <n v="54626"/>
    <n v="114"/>
    <s v="#SoundtrackOfLife,#NowPlaying"/>
    <s v="ChillVibes"/>
    <n v="3277"/>
  </r>
  <r>
    <s v="SP097"/>
    <x v="0"/>
    <d v="2024-01-26T00:00:00"/>
    <x v="0"/>
    <s v="Whatâ€™s your vibe today? #SpotifyHits"/>
    <n v="3878"/>
    <n v="431"/>
    <n v="97"/>
    <n v="41763"/>
    <n v="29729"/>
    <n v="191"/>
    <s v="#DiscoverWeekly"/>
    <s v="IndieWave"/>
    <n v="4406"/>
  </r>
  <r>
    <s v="SP098"/>
    <x v="1"/>
    <d v="2024-03-15T00:00:00"/>
    <x v="1"/>
    <s v="Get into the groove with our new drop!"/>
    <n v="4969"/>
    <n v="433"/>
    <n v="237"/>
    <n v="59552"/>
    <n v="23885"/>
    <n v="157"/>
    <s v="#DiscoverWeekly,#MusicForEveryone"/>
    <s v="ChillVibes"/>
    <n v="5639"/>
  </r>
  <r>
    <s v="SP099"/>
    <x v="1"/>
    <d v="2024-10-15T00:00:00"/>
    <x v="0"/>
    <s v="Wrapped is here! Relive your top tracks ðŸŽ§"/>
    <n v="1984"/>
    <n v="481"/>
    <n v="356"/>
    <n v="40681"/>
    <n v="63111"/>
    <n v="258"/>
    <s v="#NowPlaying"/>
    <s v="ChillVibes"/>
    <n v="2821"/>
  </r>
  <r>
    <s v="SP100"/>
    <x v="0"/>
    <d v="2024-07-21T00:00:00"/>
    <x v="0"/>
    <s v="Discover fresh beats on Spotify!"/>
    <n v="3004"/>
    <n v="415"/>
    <n v="218"/>
    <n v="36090"/>
    <n v="37073"/>
    <n v="181"/>
    <s v="#DiscoverWeekly"/>
    <s v="IndieWave"/>
    <n v="3637"/>
  </r>
  <r>
    <s v="SP101"/>
    <x v="1"/>
    <d v="2024-10-12T00:00:00"/>
    <x v="0"/>
    <s v="Get into the groove with our new drop!"/>
    <n v="3169"/>
    <n v="386"/>
    <n v="175"/>
    <n v="45012"/>
    <n v="38508"/>
    <n v="218"/>
    <s v="#NowPlaying"/>
    <s v="ChillVibes"/>
    <n v="3730"/>
  </r>
  <r>
    <s v="SP102"/>
    <x v="1"/>
    <d v="2024-10-26T00:00:00"/>
    <x v="0"/>
    <s v="Discover fresh beats on Spotify!"/>
    <n v="3036"/>
    <n v="293"/>
    <n v="115"/>
    <n v="23776"/>
    <n v="46386"/>
    <n v="282"/>
    <s v="#NowPlaying"/>
    <s v="ChillVibes"/>
    <n v="3444"/>
  </r>
  <r>
    <s v="SP103"/>
    <x v="0"/>
    <d v="2024-02-14T00:00:00"/>
    <x v="0"/>
    <s v="Music that moves youâ€”only on Spotify."/>
    <n v="1830"/>
    <n v="112"/>
    <n v="181"/>
    <n v="31870"/>
    <n v="55742"/>
    <n v="263"/>
    <s v="#SoundtrackOfLife,#NowPlaying"/>
    <s v="ChillVibes"/>
    <n v="2123"/>
  </r>
  <r>
    <s v="SP104"/>
    <x v="1"/>
    <d v="2024-05-01T00:00:00"/>
    <x v="1"/>
    <s v="Whatâ€™s your vibe today? #SpotifyHits"/>
    <n v="2587"/>
    <n v="447"/>
    <n v="183"/>
    <n v="36266"/>
    <n v="32877"/>
    <n v="132"/>
    <s v="#DiscoverWeekly,#MusicForEveryone"/>
    <s v="ChillVibes"/>
    <n v="3217"/>
  </r>
  <r>
    <s v="SP105"/>
    <x v="1"/>
    <d v="2024-09-18T00:00:00"/>
    <x v="0"/>
    <s v="Discover fresh beats on Spotify!"/>
    <n v="2878"/>
    <n v="265"/>
    <n v="91"/>
    <n v="52090"/>
    <n v="28924"/>
    <n v="133"/>
    <s v="#NowPlaying"/>
    <s v="ChillVibes"/>
    <n v="3234"/>
  </r>
  <r>
    <s v="SP106"/>
    <x v="1"/>
    <d v="2025-01-20T00:00:00"/>
    <x v="1"/>
    <s v="New music just dropped. Hit play!"/>
    <n v="4619"/>
    <n v="272"/>
    <n v="57"/>
    <n v="21334"/>
    <n v="46292"/>
    <n v="91"/>
    <s v="#SoundtrackOfLife,#NowPlaying"/>
    <s v="ChillVibes"/>
    <n v="4948"/>
  </r>
  <r>
    <s v="SP107"/>
    <x v="1"/>
    <d v="2025-01-13T00:00:00"/>
    <x v="0"/>
    <s v="Music that moves youâ€”only on Spotify."/>
    <n v="4090"/>
    <n v="209"/>
    <n v="278"/>
    <n v="52853"/>
    <n v="57084"/>
    <n v="102"/>
    <s v="#SoundtrackOfLife"/>
    <s v="IndieWave"/>
    <n v="4577"/>
  </r>
  <r>
    <s v="SP108"/>
    <x v="2"/>
    <d v="2024-09-07T00:00:00"/>
    <x v="2"/>
    <s v="Music that moves youâ€”only on Spotify."/>
    <n v="3882"/>
    <n v="342"/>
    <n v="374"/>
    <n v="41991"/>
    <n v="48554"/>
    <n v="118"/>
    <s v="#DiscoverWeekly,#SoundtrackOfLife"/>
    <s v="SummerBeats"/>
    <n v="4598"/>
  </r>
  <r>
    <s v="SP109"/>
    <x v="0"/>
    <d v="2024-11-21T00:00:00"/>
    <x v="0"/>
    <s v="Music that moves youâ€”only on Spotify."/>
    <n v="4581"/>
    <n v="181"/>
    <n v="112"/>
    <n v="35221"/>
    <n v="28797"/>
    <n v="164"/>
    <s v="#SoundtrackOfLife,#NowPlaying"/>
    <s v="ChillVibes"/>
    <n v="4874"/>
  </r>
  <r>
    <s v="SP110"/>
    <x v="0"/>
    <d v="2024-06-26T00:00:00"/>
    <x v="0"/>
    <s v="New music just dropped. Hit play!"/>
    <n v="3253"/>
    <n v="483"/>
    <n v="336"/>
    <n v="25397"/>
    <n v="51485"/>
    <n v="131"/>
    <s v="#DiscoverWeekly"/>
    <s v="IndieWave"/>
    <n v="4072"/>
  </r>
  <r>
    <s v="SP111"/>
    <x v="2"/>
    <d v="2024-07-20T00:00:00"/>
    <x v="2"/>
    <s v="Music that moves youâ€”only on Spotify."/>
    <n v="4955"/>
    <n v="299"/>
    <n v="345"/>
    <n v="33644"/>
    <n v="43547"/>
    <n v="194"/>
    <s v="#DiscoverWeekly,#SoundtrackOfLife"/>
    <s v="SummerBeats"/>
    <n v="5599"/>
  </r>
  <r>
    <s v="SP112"/>
    <x v="0"/>
    <d v="2025-02-16T00:00:00"/>
    <x v="0"/>
    <s v="Your weekend playlist is waiting."/>
    <n v="1333"/>
    <n v="286"/>
    <n v="298"/>
    <n v="36174"/>
    <n v="34517"/>
    <n v="170"/>
    <s v="#SoundtrackOfLife,#NowPlaying"/>
    <s v="ChillVibes"/>
    <n v="1917"/>
  </r>
  <r>
    <s v="SP113"/>
    <x v="0"/>
    <d v="2024-09-09T00:00:00"/>
    <x v="0"/>
    <s v="New music just dropped. Hit play!"/>
    <n v="1616"/>
    <n v="360"/>
    <n v="180"/>
    <n v="54342"/>
    <n v="18796"/>
    <n v="282"/>
    <s v="#SoundtrackOfLife,#NowPlaying"/>
    <s v="ChillVibes"/>
    <n v="2156"/>
  </r>
  <r>
    <s v="SP114"/>
    <x v="1"/>
    <d v="2024-07-16T00:00:00"/>
    <x v="0"/>
    <s v="Top trending tracks updated daily!"/>
    <n v="1803"/>
    <n v="273"/>
    <n v="287"/>
    <n v="46176"/>
    <n v="25488"/>
    <n v="141"/>
    <s v="#NowPlaying"/>
    <s v="ChillVibes"/>
    <n v="2363"/>
  </r>
  <r>
    <s v="SP115"/>
    <x v="0"/>
    <d v="2025-04-15T00:00:00"/>
    <x v="0"/>
    <s v="Explore the latest podcasts now."/>
    <n v="4177"/>
    <n v="489"/>
    <n v="331"/>
    <n v="57451"/>
    <n v="73793"/>
    <n v="251"/>
    <s v="#DiscoverWeekly"/>
    <s v="IndieWave"/>
    <n v="4997"/>
  </r>
  <r>
    <s v="SP116"/>
    <x v="0"/>
    <d v="2025-05-04T00:00:00"/>
    <x v="1"/>
    <s v="New music just dropped. Hit play!"/>
    <n v="1311"/>
    <n v="181"/>
    <n v="361"/>
    <n v="37148"/>
    <n v="44875"/>
    <n v="245"/>
    <s v="#NowPlaying"/>
    <s v="Wrapped2024"/>
    <n v="1853"/>
  </r>
  <r>
    <s v="SP117"/>
    <x v="0"/>
    <d v="2024-02-18T00:00:00"/>
    <x v="1"/>
    <s v="From pop to podcasts, itâ€™s all here."/>
    <n v="1516"/>
    <n v="215"/>
    <n v="332"/>
    <n v="58981"/>
    <n v="36118"/>
    <n v="211"/>
    <s v="#NowPlaying"/>
    <s v="Wrapped2024"/>
    <n v="2063"/>
  </r>
  <r>
    <s v="SP118"/>
    <x v="1"/>
    <d v="2024-05-16T00:00:00"/>
    <x v="1"/>
    <s v="Music that moves youâ€”only on Spotify."/>
    <n v="2023"/>
    <n v="124"/>
    <n v="99"/>
    <n v="54524"/>
    <n v="34790"/>
    <n v="195"/>
    <s v="#DiscoverWeekly,#MusicForEveryone"/>
    <s v="ChillVibes"/>
    <n v="2246"/>
  </r>
  <r>
    <s v="SP119"/>
    <x v="1"/>
    <d v="2025-05-29T00:00:00"/>
    <x v="1"/>
    <s v="Music that moves youâ€”only on Spotify."/>
    <n v="2134"/>
    <n v="322"/>
    <n v="114"/>
    <n v="44338"/>
    <n v="52165"/>
    <n v="176"/>
    <s v="#MusicForEveryone,#NowPlaying"/>
    <s v="ChillVibes"/>
    <n v="2570"/>
  </r>
  <r>
    <s v="SP120"/>
    <x v="0"/>
    <d v="2025-01-17T00:00:00"/>
    <x v="0"/>
    <s v="Top trending tracks updated daily!"/>
    <n v="2266"/>
    <n v="126"/>
    <n v="140"/>
    <n v="53759"/>
    <n v="46834"/>
    <n v="277"/>
    <s v="#DiscoverWeekly"/>
    <s v="IndieWave"/>
    <n v="2532"/>
  </r>
  <r>
    <s v="SP121"/>
    <x v="0"/>
    <d v="2025-04-30T00:00:00"/>
    <x v="1"/>
    <s v="New music just dropped. Hit play!"/>
    <n v="3916"/>
    <n v="459"/>
    <n v="229"/>
    <n v="48989"/>
    <n v="39768"/>
    <n v="200"/>
    <s v="#NowPlaying"/>
    <s v="Wrapped2024"/>
    <n v="4604"/>
  </r>
  <r>
    <s v="SP122"/>
    <x v="1"/>
    <d v="2024-02-24T00:00:00"/>
    <x v="1"/>
    <s v="Music that moves youâ€”only on Spotify."/>
    <n v="1022"/>
    <n v="463"/>
    <n v="360"/>
    <n v="51468"/>
    <n v="24279"/>
    <n v="230"/>
    <s v="#DiscoverWeekly,#MusicForEveryone"/>
    <s v="ChillVibes"/>
    <n v="1845"/>
  </r>
  <r>
    <s v="SP123"/>
    <x v="2"/>
    <d v="2024-05-12T00:00:00"/>
    <x v="0"/>
    <s v="From pop to podcasts, itâ€™s all here."/>
    <n v="2911"/>
    <n v="467"/>
    <n v="94"/>
    <n v="59083"/>
    <n v="49762"/>
    <n v="236"/>
    <s v="#DiscoverWeekly,#SpotifyWrapped"/>
    <s v="IndieWave"/>
    <n v="3472"/>
  </r>
  <r>
    <s v="SP124"/>
    <x v="1"/>
    <d v="2024-05-09T00:00:00"/>
    <x v="1"/>
    <s v="New music just dropped. Hit play!"/>
    <n v="3277"/>
    <n v="423"/>
    <n v="259"/>
    <n v="46328"/>
    <n v="44293"/>
    <n v="299"/>
    <s v="#SoundtrackOfLife,#NowPlaying"/>
    <s v="ChillVibes"/>
    <n v="3959"/>
  </r>
  <r>
    <s v="SP125"/>
    <x v="1"/>
    <d v="2024-11-06T00:00:00"/>
    <x v="0"/>
    <s v="From pop to podcasts, itâ€™s all here."/>
    <n v="2956"/>
    <n v="381"/>
    <n v="345"/>
    <n v="33347"/>
    <n v="22558"/>
    <n v="173"/>
    <s v="#NowPlaying"/>
    <s v="ChillVibes"/>
    <n v="3682"/>
  </r>
  <r>
    <s v="SP126"/>
    <x v="1"/>
    <d v="2024-01-04T00:00:00"/>
    <x v="1"/>
    <s v="Whatâ€™s your vibe today? #SpotifyHits"/>
    <n v="3208"/>
    <n v="476"/>
    <n v="277"/>
    <n v="56072"/>
    <n v="21061"/>
    <n v="113"/>
    <s v="#MusicForEveryone,#NowPlaying"/>
    <s v="ChillVibes"/>
    <n v="3961"/>
  </r>
  <r>
    <s v="SP127"/>
    <x v="1"/>
    <d v="2024-01-28T00:00:00"/>
    <x v="0"/>
    <s v="Music that moves youâ€”only on Spotify."/>
    <n v="1456"/>
    <n v="265"/>
    <n v="137"/>
    <n v="53485"/>
    <n v="59729"/>
    <n v="145"/>
    <s v="#SoundtrackOfLife"/>
    <s v="IndieWave"/>
    <n v="1858"/>
  </r>
  <r>
    <s v="SP128"/>
    <x v="0"/>
    <d v="2024-02-22T00:00:00"/>
    <x v="0"/>
    <s v="New music just dropped. Hit play!"/>
    <n v="1902"/>
    <n v="394"/>
    <n v="279"/>
    <n v="24615"/>
    <n v="51330"/>
    <n v="176"/>
    <s v="#SoundtrackOfLife,#NowPlaying"/>
    <s v="ChillVibes"/>
    <n v="2575"/>
  </r>
  <r>
    <s v="SP129"/>
    <x v="1"/>
    <d v="2025-07-01T00:00:00"/>
    <x v="1"/>
    <s v="Explore the latest podcasts now."/>
    <n v="3219"/>
    <n v="424"/>
    <n v="267"/>
    <n v="48879"/>
    <n v="37691"/>
    <n v="224"/>
    <s v="#DiscoverWeekly,#MusicForEveryone"/>
    <s v="ChillVibes"/>
    <n v="3910"/>
  </r>
  <r>
    <s v="SP130"/>
    <x v="2"/>
    <d v="2024-01-10T00:00:00"/>
    <x v="0"/>
    <s v="Explore the latest podcasts now."/>
    <n v="1261"/>
    <n v="190"/>
    <n v="233"/>
    <n v="59888"/>
    <n v="51449"/>
    <n v="205"/>
    <s v="#DiscoverWeekly,#SpotifyWrapped"/>
    <s v="IndieWave"/>
    <n v="1684"/>
  </r>
  <r>
    <s v="SP131"/>
    <x v="1"/>
    <d v="2025-03-20T00:00:00"/>
    <x v="0"/>
    <s v="Your weekend playlist is waiting."/>
    <n v="1564"/>
    <n v="362"/>
    <n v="371"/>
    <n v="42075"/>
    <n v="66659"/>
    <n v="205"/>
    <s v="#SoundtrackOfLife"/>
    <s v="IndieWave"/>
    <n v="2297"/>
  </r>
  <r>
    <s v="SP132"/>
    <x v="1"/>
    <d v="2024-09-28T00:00:00"/>
    <x v="0"/>
    <s v="Whatâ€™s your vibe today? #SpotifyHits"/>
    <n v="4006"/>
    <n v="420"/>
    <n v="194"/>
    <n v="49964"/>
    <n v="20685"/>
    <n v="148"/>
    <s v="#NowPlaying"/>
    <s v="ChillVibes"/>
    <n v="4620"/>
  </r>
  <r>
    <s v="SP133"/>
    <x v="2"/>
    <d v="2024-01-27T00:00:00"/>
    <x v="0"/>
    <s v="Your weekend playlist is waiting."/>
    <n v="1976"/>
    <n v="262"/>
    <n v="218"/>
    <n v="51696"/>
    <n v="44846"/>
    <n v="139"/>
    <s v="#DiscoverWeekly,#SpotifyWrapped"/>
    <s v="IndieWave"/>
    <n v="2456"/>
  </r>
  <r>
    <s v="SP134"/>
    <x v="1"/>
    <d v="2025-05-15T00:00:00"/>
    <x v="0"/>
    <s v="New music just dropped. Hit play!"/>
    <n v="1583"/>
    <n v="433"/>
    <n v="249"/>
    <n v="30256"/>
    <n v="47066"/>
    <n v="196"/>
    <s v="#NowPlaying"/>
    <s v="ChillVibes"/>
    <n v="2265"/>
  </r>
  <r>
    <s v="SP135"/>
    <x v="1"/>
    <d v="2024-10-04T00:00:00"/>
    <x v="1"/>
    <s v="Explore the latest podcasts now."/>
    <n v="2870"/>
    <n v="380"/>
    <n v="393"/>
    <n v="37621"/>
    <n v="71794"/>
    <n v="127"/>
    <s v="#MusicForEveryone,#NowPlaying"/>
    <s v="ChillVibes"/>
    <n v="3643"/>
  </r>
  <r>
    <s v="SP136"/>
    <x v="1"/>
    <d v="2024-11-19T00:00:00"/>
    <x v="0"/>
    <s v="Top trending tracks updated daily!"/>
    <n v="3728"/>
    <n v="271"/>
    <n v="275"/>
    <n v="22827"/>
    <n v="37034"/>
    <n v="199"/>
    <s v="#NowPlaying"/>
    <s v="ChillVibes"/>
    <n v="4274"/>
  </r>
  <r>
    <s v="SP137"/>
    <x v="1"/>
    <d v="2024-04-05T00:00:00"/>
    <x v="1"/>
    <s v="New music just dropped. Hit play!"/>
    <n v="4965"/>
    <n v="175"/>
    <n v="307"/>
    <n v="32793"/>
    <n v="43412"/>
    <n v="296"/>
    <s v="#SoundtrackOfLife,#NowPlaying"/>
    <s v="ChillVibes"/>
    <n v="5447"/>
  </r>
  <r>
    <s v="SP138"/>
    <x v="1"/>
    <d v="2024-11-28T00:00:00"/>
    <x v="1"/>
    <s v="New music just dropped. Hit play!"/>
    <n v="1131"/>
    <n v="100"/>
    <n v="116"/>
    <n v="48437"/>
    <n v="72704"/>
    <n v="236"/>
    <s v="#DiscoverWeekly,#MusicForEveryone"/>
    <s v="ChillVibes"/>
    <n v="1347"/>
  </r>
  <r>
    <s v="SP139"/>
    <x v="1"/>
    <d v="2025-03-09T00:00:00"/>
    <x v="0"/>
    <s v="Your weekend playlist is waiting."/>
    <n v="2754"/>
    <n v="215"/>
    <n v="264"/>
    <n v="27762"/>
    <n v="70203"/>
    <n v="289"/>
    <s v="#NowPlaying"/>
    <s v="ChillVibes"/>
    <n v="3233"/>
  </r>
  <r>
    <s v="SP140"/>
    <x v="1"/>
    <d v="2024-08-27T00:00:00"/>
    <x v="1"/>
    <s v="New music just dropped. Hit play!"/>
    <n v="1856"/>
    <n v="357"/>
    <n v="348"/>
    <n v="29428"/>
    <n v="70206"/>
    <n v="236"/>
    <s v="#MusicForEveryone,#NowPlaying"/>
    <s v="ChillVibes"/>
    <n v="2561"/>
  </r>
  <r>
    <s v="SP141"/>
    <x v="2"/>
    <d v="2024-10-01T00:00:00"/>
    <x v="2"/>
    <s v="Explore the latest podcasts now."/>
    <n v="3543"/>
    <n v="334"/>
    <n v="218"/>
    <n v="58007"/>
    <n v="24792"/>
    <n v="273"/>
    <s v="#DiscoverWeekly,#SoundtrackOfLife"/>
    <s v="SummerBeats"/>
    <n v="4095"/>
  </r>
  <r>
    <s v="SP142"/>
    <x v="0"/>
    <d v="2024-12-21T00:00:00"/>
    <x v="1"/>
    <s v="New music just dropped. Hit play!"/>
    <n v="4563"/>
    <n v="398"/>
    <n v="163"/>
    <n v="43679"/>
    <n v="48760"/>
    <n v="92"/>
    <s v="#NowPlaying"/>
    <s v="Wrapped2024"/>
    <n v="5124"/>
  </r>
  <r>
    <s v="SP143"/>
    <x v="0"/>
    <d v="2024-06-17T00:00:00"/>
    <x v="0"/>
    <s v="Discover fresh beats on Spotify!"/>
    <n v="4283"/>
    <n v="471"/>
    <n v="156"/>
    <n v="53004"/>
    <n v="25678"/>
    <n v="105"/>
    <s v="#DiscoverWeekly"/>
    <s v="IndieWave"/>
    <n v="4910"/>
  </r>
  <r>
    <s v="SP144"/>
    <x v="0"/>
    <d v="2025-02-14T00:00:00"/>
    <x v="0"/>
    <s v="Discover fresh beats on Spotify!"/>
    <n v="2329"/>
    <n v="373"/>
    <n v="291"/>
    <n v="49577"/>
    <n v="28002"/>
    <n v="82"/>
    <s v="#SoundtrackOfLife,#NowPlaying"/>
    <s v="ChillVibes"/>
    <n v="2993"/>
  </r>
  <r>
    <s v="SP145"/>
    <x v="1"/>
    <d v="2025-05-28T00:00:00"/>
    <x v="1"/>
    <s v="Top trending tracks updated daily!"/>
    <n v="4287"/>
    <n v="273"/>
    <n v="122"/>
    <n v="40792"/>
    <n v="23878"/>
    <n v="277"/>
    <s v="#MusicForEveryone,#NowPlaying"/>
    <s v="ChillVibes"/>
    <n v="4682"/>
  </r>
  <r>
    <s v="SP146"/>
    <x v="0"/>
    <d v="2025-05-22T00:00:00"/>
    <x v="0"/>
    <s v="Discover fresh beats on Spotify!"/>
    <n v="2633"/>
    <n v="318"/>
    <n v="380"/>
    <n v="40869"/>
    <n v="64474"/>
    <n v="245"/>
    <s v="#DiscoverWeekly"/>
    <s v="IndieWave"/>
    <n v="3331"/>
  </r>
  <r>
    <s v="SP147"/>
    <x v="1"/>
    <d v="2024-01-21T00:00:00"/>
    <x v="1"/>
    <s v="Discover fresh beats on Spotify!"/>
    <n v="2383"/>
    <n v="136"/>
    <n v="302"/>
    <n v="39187"/>
    <n v="22133"/>
    <n v="208"/>
    <s v="#MusicForEveryone,#NowPlaying"/>
    <s v="ChillVibes"/>
    <n v="2821"/>
  </r>
  <r>
    <s v="SP148"/>
    <x v="1"/>
    <d v="2025-02-08T00:00:00"/>
    <x v="1"/>
    <s v="Your weekend playlist is waiting."/>
    <n v="4752"/>
    <n v="334"/>
    <n v="56"/>
    <n v="48017"/>
    <n v="55534"/>
    <n v="270"/>
    <s v="#DiscoverWeekly,#MusicForEveryone"/>
    <s v="ChillVibes"/>
    <n v="5142"/>
  </r>
  <r>
    <s v="SP149"/>
    <x v="1"/>
    <d v="2025-04-13T00:00:00"/>
    <x v="0"/>
    <s v="From pop to podcasts, itâ€™s all here."/>
    <n v="3890"/>
    <n v="408"/>
    <n v="338"/>
    <n v="56994"/>
    <n v="32621"/>
    <n v="286"/>
    <s v="#SoundtrackOfLife"/>
    <s v="IndieWave"/>
    <n v="4636"/>
  </r>
  <r>
    <s v="SP150"/>
    <x v="1"/>
    <d v="2024-05-30T00:00:00"/>
    <x v="1"/>
    <s v="Your weekend playlist is waiting."/>
    <n v="2311"/>
    <n v="207"/>
    <n v="363"/>
    <n v="30349"/>
    <n v="32925"/>
    <n v="88"/>
    <s v="#MusicForEveryone,#NowPlaying"/>
    <s v="ChillVibes"/>
    <n v="2881"/>
  </r>
  <r>
    <s v="SP151"/>
    <x v="0"/>
    <d v="2024-08-12T00:00:00"/>
    <x v="1"/>
    <s v="Discover fresh beats on Spotify!"/>
    <n v="2962"/>
    <n v="400"/>
    <n v="280"/>
    <n v="52508"/>
    <n v="58329"/>
    <n v="219"/>
    <s v="#NowPlaying"/>
    <s v="Wrapped2024"/>
    <n v="3642"/>
  </r>
  <r>
    <s v="SP152"/>
    <x v="0"/>
    <d v="2024-09-27T00:00:00"/>
    <x v="0"/>
    <s v="Discover fresh beats on Spotify!"/>
    <n v="3118"/>
    <n v="116"/>
    <n v="195"/>
    <n v="37100"/>
    <n v="62629"/>
    <n v="272"/>
    <s v="#DiscoverWeekly"/>
    <s v="IndieWave"/>
    <n v="3429"/>
  </r>
  <r>
    <s v="SP153"/>
    <x v="1"/>
    <d v="2025-06-11T00:00:00"/>
    <x v="1"/>
    <s v="Explore the latest podcasts now."/>
    <n v="3805"/>
    <n v="453"/>
    <n v="63"/>
    <n v="52395"/>
    <n v="72934"/>
    <n v="87"/>
    <s v="#DiscoverWeekly,#MusicForEveryone"/>
    <s v="ChillVibes"/>
    <n v="4321"/>
  </r>
  <r>
    <s v="SP154"/>
    <x v="0"/>
    <d v="2024-11-19T00:00:00"/>
    <x v="0"/>
    <s v="Whatâ€™s your vibe today? #SpotifyHits"/>
    <n v="2525"/>
    <n v="272"/>
    <n v="294"/>
    <n v="51875"/>
    <n v="24732"/>
    <n v="92"/>
    <s v="#DiscoverWeekly"/>
    <s v="IndieWave"/>
    <n v="3091"/>
  </r>
  <r>
    <s v="SP155"/>
    <x v="0"/>
    <d v="2024-04-25T00:00:00"/>
    <x v="0"/>
    <s v="Music that moves youâ€”only on Spotify."/>
    <n v="3563"/>
    <n v="483"/>
    <n v="227"/>
    <n v="41085"/>
    <n v="26393"/>
    <n v="236"/>
    <s v="#SoundtrackOfLife,#NowPlaying"/>
    <s v="ChillVibes"/>
    <n v="4273"/>
  </r>
  <r>
    <s v="SP156"/>
    <x v="2"/>
    <d v="2024-09-03T00:00:00"/>
    <x v="2"/>
    <s v="Whatâ€™s your vibe today? #SpotifyHits"/>
    <n v="1437"/>
    <n v="494"/>
    <n v="129"/>
    <n v="53048"/>
    <n v="44090"/>
    <n v="230"/>
    <s v="#DiscoverWeekly,#SoundtrackOfLife"/>
    <s v="SummerBeats"/>
    <n v="2060"/>
  </r>
  <r>
    <s v="SP157"/>
    <x v="2"/>
    <d v="2025-03-02T00:00:00"/>
    <x v="0"/>
    <s v="From pop to podcasts, itâ€™s all here."/>
    <n v="4425"/>
    <n v="185"/>
    <n v="162"/>
    <n v="24610"/>
    <n v="21342"/>
    <n v="158"/>
    <s v="#DiscoverWeekly,#SpotifyWrapped"/>
    <s v="IndieWave"/>
    <n v="4772"/>
  </r>
  <r>
    <s v="SP158"/>
    <x v="1"/>
    <d v="2025-03-21T00:00:00"/>
    <x v="1"/>
    <s v="New music just dropped. Hit play!"/>
    <n v="4609"/>
    <n v="427"/>
    <n v="395"/>
    <n v="33698"/>
    <n v="29259"/>
    <n v="216"/>
    <s v="#DiscoverWeekly,#MusicForEveryone"/>
    <s v="ChillVibes"/>
    <n v="5431"/>
  </r>
  <r>
    <s v="SP159"/>
    <x v="0"/>
    <d v="2024-04-12T00:00:00"/>
    <x v="1"/>
    <s v="Get into the groove with our new drop!"/>
    <n v="1558"/>
    <n v="352"/>
    <n v="202"/>
    <n v="25405"/>
    <n v="69941"/>
    <n v="219"/>
    <s v="#NowPlaying"/>
    <s v="Wrapped2024"/>
    <n v="2112"/>
  </r>
  <r>
    <s v="SP160"/>
    <x v="2"/>
    <d v="2024-02-08T00:00:00"/>
    <x v="2"/>
    <s v="Top trending tracks updated daily!"/>
    <n v="1889"/>
    <n v="298"/>
    <n v="122"/>
    <n v="46225"/>
    <n v="74305"/>
    <n v="293"/>
    <s v="#DiscoverWeekly,#SoundtrackOfLife"/>
    <s v="SummerBeats"/>
    <n v="2309"/>
  </r>
  <r>
    <s v="SP161"/>
    <x v="0"/>
    <d v="2025-05-26T00:00:00"/>
    <x v="0"/>
    <s v="Discover fresh beats on Spotify!"/>
    <n v="3086"/>
    <n v="148"/>
    <n v="310"/>
    <n v="22824"/>
    <n v="58103"/>
    <n v="275"/>
    <s v="#DiscoverWeekly"/>
    <s v="IndieWave"/>
    <n v="3544"/>
  </r>
  <r>
    <s v="SP162"/>
    <x v="0"/>
    <d v="2024-11-14T00:00:00"/>
    <x v="0"/>
    <s v="Music that moves youâ€”only on Spotify."/>
    <n v="2422"/>
    <n v="318"/>
    <n v="118"/>
    <n v="25386"/>
    <n v="20873"/>
    <n v="100"/>
    <s v="#SoundtrackOfLife,#NowPlaying"/>
    <s v="ChillVibes"/>
    <n v="2858"/>
  </r>
  <r>
    <s v="SP163"/>
    <x v="2"/>
    <d v="2024-08-09T00:00:00"/>
    <x v="2"/>
    <s v="From pop to podcasts, itâ€™s all here."/>
    <n v="3414"/>
    <n v="154"/>
    <n v="204"/>
    <n v="34146"/>
    <n v="44633"/>
    <n v="256"/>
    <s v="#DiscoverWeekly,#SoundtrackOfLife"/>
    <s v="SummerBeats"/>
    <n v="3772"/>
  </r>
  <r>
    <s v="SP164"/>
    <x v="0"/>
    <d v="2025-06-27T00:00:00"/>
    <x v="1"/>
    <s v="Whatâ€™s your vibe today? #SpotifyHits"/>
    <n v="1342"/>
    <n v="332"/>
    <n v="163"/>
    <n v="51712"/>
    <n v="57922"/>
    <n v="168"/>
    <s v="#NowPlaying"/>
    <s v="Wrapped2024"/>
    <n v="1837"/>
  </r>
  <r>
    <s v="SP165"/>
    <x v="0"/>
    <d v="2024-05-08T00:00:00"/>
    <x v="1"/>
    <s v="Music that moves youâ€”only on Spotify."/>
    <n v="2414"/>
    <n v="220"/>
    <n v="280"/>
    <n v="27355"/>
    <n v="50562"/>
    <n v="258"/>
    <s v="#NowPlaying"/>
    <s v="Wrapped2024"/>
    <n v="2914"/>
  </r>
  <r>
    <s v="SP166"/>
    <x v="0"/>
    <d v="2024-04-05T00:00:00"/>
    <x v="0"/>
    <s v="New music just dropped. Hit play!"/>
    <n v="4383"/>
    <n v="352"/>
    <n v="176"/>
    <n v="53239"/>
    <n v="34168"/>
    <n v="288"/>
    <s v="#DiscoverWeekly"/>
    <s v="IndieWave"/>
    <n v="4911"/>
  </r>
  <r>
    <s v="SP167"/>
    <x v="2"/>
    <d v="2025-01-27T00:00:00"/>
    <x v="0"/>
    <s v="Wrapped is here! Relive your top tracks ðŸŽ§"/>
    <n v="4294"/>
    <n v="423"/>
    <n v="93"/>
    <n v="29828"/>
    <n v="73144"/>
    <n v="298"/>
    <s v="#DiscoverWeekly,#SpotifyWrapped"/>
    <s v="IndieWave"/>
    <n v="4810"/>
  </r>
  <r>
    <s v="SP168"/>
    <x v="0"/>
    <d v="2024-04-03T00:00:00"/>
    <x v="0"/>
    <s v="Top trending tracks updated daily!"/>
    <n v="2762"/>
    <n v="339"/>
    <n v="323"/>
    <n v="33757"/>
    <n v="68511"/>
    <n v="121"/>
    <s v="#SoundtrackOfLife,#NowPlaying"/>
    <s v="ChillVibes"/>
    <n v="3424"/>
  </r>
  <r>
    <s v="SP169"/>
    <x v="2"/>
    <d v="2025-01-03T00:00:00"/>
    <x v="0"/>
    <s v="New music just dropped. Hit play!"/>
    <n v="3782"/>
    <n v="484"/>
    <n v="144"/>
    <n v="52172"/>
    <n v="59386"/>
    <n v="175"/>
    <s v="#DiscoverWeekly,#SpotifyWrapped"/>
    <s v="IndieWave"/>
    <n v="4410"/>
  </r>
  <r>
    <s v="SP170"/>
    <x v="1"/>
    <d v="2024-11-23T00:00:00"/>
    <x v="0"/>
    <s v="New music just dropped. Hit play!"/>
    <n v="4318"/>
    <n v="371"/>
    <n v="329"/>
    <n v="32347"/>
    <n v="68956"/>
    <n v="259"/>
    <s v="#SoundtrackOfLife"/>
    <s v="IndieWave"/>
    <n v="5018"/>
  </r>
  <r>
    <s v="SP171"/>
    <x v="0"/>
    <d v="2024-09-01T00:00:00"/>
    <x v="1"/>
    <s v="Wrapped is here! Relive your top tracks ðŸŽ§"/>
    <n v="2335"/>
    <n v="150"/>
    <n v="75"/>
    <n v="26114"/>
    <n v="57549"/>
    <n v="135"/>
    <s v="#NowPlaying"/>
    <s v="Wrapped2024"/>
    <n v="2560"/>
  </r>
  <r>
    <s v="SP172"/>
    <x v="2"/>
    <d v="2024-04-18T00:00:00"/>
    <x v="0"/>
    <s v="Explore the latest podcasts now."/>
    <n v="4023"/>
    <n v="293"/>
    <n v="91"/>
    <n v="26795"/>
    <n v="28924"/>
    <n v="278"/>
    <s v="#DiscoverWeekly,#SpotifyWrapped"/>
    <s v="IndieWave"/>
    <n v="4407"/>
  </r>
  <r>
    <s v="SP173"/>
    <x v="0"/>
    <d v="2024-06-04T00:00:00"/>
    <x v="0"/>
    <s v="Get into the groove with our new drop!"/>
    <n v="3948"/>
    <n v="151"/>
    <n v="249"/>
    <n v="43147"/>
    <n v="63136"/>
    <n v="230"/>
    <s v="#DiscoverWeekly"/>
    <s v="IndieWave"/>
    <n v="4348"/>
  </r>
  <r>
    <s v="SP174"/>
    <x v="2"/>
    <d v="2025-04-02T00:00:00"/>
    <x v="0"/>
    <s v="Wrapped is here! Relive your top tracks ðŸŽ§"/>
    <n v="4598"/>
    <n v="455"/>
    <n v="378"/>
    <n v="52952"/>
    <n v="58504"/>
    <n v="269"/>
    <s v="#DiscoverWeekly,#SpotifyWrapped"/>
    <s v="IndieWave"/>
    <n v="5431"/>
  </r>
  <r>
    <s v="SP175"/>
    <x v="1"/>
    <d v="2025-04-01T00:00:00"/>
    <x v="1"/>
    <s v="Music that moves youâ€”only on Spotify."/>
    <n v="2665"/>
    <n v="143"/>
    <n v="315"/>
    <n v="54808"/>
    <n v="29818"/>
    <n v="98"/>
    <s v="#DiscoverWeekly,#MusicForEveryone"/>
    <s v="ChillVibes"/>
    <n v="3123"/>
  </r>
  <r>
    <s v="SP176"/>
    <x v="0"/>
    <d v="2024-07-02T00:00:00"/>
    <x v="0"/>
    <s v="Top trending tracks updated daily!"/>
    <n v="3469"/>
    <n v="371"/>
    <n v="76"/>
    <n v="46493"/>
    <n v="26906"/>
    <n v="150"/>
    <s v="#SoundtrackOfLife,#NowPlaying"/>
    <s v="ChillVibes"/>
    <n v="3916"/>
  </r>
  <r>
    <s v="SP177"/>
    <x v="1"/>
    <d v="2024-11-10T00:00:00"/>
    <x v="0"/>
    <s v="Explore the latest podcasts now."/>
    <n v="4823"/>
    <n v="489"/>
    <n v="302"/>
    <n v="32470"/>
    <n v="31861"/>
    <n v="178"/>
    <s v="#SoundtrackOfLife"/>
    <s v="IndieWave"/>
    <n v="5614"/>
  </r>
  <r>
    <s v="SP178"/>
    <x v="0"/>
    <d v="2024-12-14T00:00:00"/>
    <x v="1"/>
    <s v="From pop to podcasts, itâ€™s all here."/>
    <n v="3812"/>
    <n v="321"/>
    <n v="289"/>
    <n v="59838"/>
    <n v="36337"/>
    <n v="161"/>
    <s v="#NowPlaying"/>
    <s v="Wrapped2024"/>
    <n v="4422"/>
  </r>
  <r>
    <s v="SP179"/>
    <x v="1"/>
    <d v="2024-11-19T00:00:00"/>
    <x v="0"/>
    <s v="Explore the latest podcasts now."/>
    <n v="2387"/>
    <n v="353"/>
    <n v="78"/>
    <n v="39745"/>
    <n v="69226"/>
    <n v="208"/>
    <s v="#SoundtrackOfLife"/>
    <s v="IndieWave"/>
    <n v="2818"/>
  </r>
  <r>
    <s v="SP180"/>
    <x v="1"/>
    <d v="2025-04-30T00:00:00"/>
    <x v="1"/>
    <s v="Wrapped is here! Relive your top tracks ðŸŽ§"/>
    <n v="3929"/>
    <n v="275"/>
    <n v="330"/>
    <n v="58329"/>
    <n v="33196"/>
    <n v="85"/>
    <s v="#MusicForEveryone,#NowPlaying"/>
    <s v="ChillVibes"/>
    <n v="4534"/>
  </r>
  <r>
    <s v="SP181"/>
    <x v="1"/>
    <d v="2024-03-19T00:00:00"/>
    <x v="0"/>
    <s v="From pop to podcasts, itâ€™s all here."/>
    <n v="2191"/>
    <n v="288"/>
    <n v="83"/>
    <n v="59606"/>
    <n v="24765"/>
    <n v="281"/>
    <s v="#SoundtrackOfLife"/>
    <s v="IndieWave"/>
    <n v="2562"/>
  </r>
  <r>
    <s v="SP182"/>
    <x v="0"/>
    <d v="2024-03-19T00:00:00"/>
    <x v="0"/>
    <s v="From pop to podcasts, itâ€™s all here."/>
    <n v="2878"/>
    <n v="278"/>
    <n v="255"/>
    <n v="47235"/>
    <n v="57922"/>
    <n v="112"/>
    <s v="#SoundtrackOfLife,#NowPlaying"/>
    <s v="ChillVibes"/>
    <n v="3411"/>
  </r>
  <r>
    <s v="SP183"/>
    <x v="1"/>
    <d v="2024-07-23T00:00:00"/>
    <x v="0"/>
    <s v="Top trending tracks updated daily!"/>
    <n v="3204"/>
    <n v="398"/>
    <n v="85"/>
    <n v="22020"/>
    <n v="58353"/>
    <n v="286"/>
    <s v="#SoundtrackOfLife"/>
    <s v="IndieWave"/>
    <n v="3687"/>
  </r>
  <r>
    <s v="SP184"/>
    <x v="1"/>
    <d v="2024-07-13T00:00:00"/>
    <x v="1"/>
    <s v="Get into the groove with our new drop!"/>
    <n v="2408"/>
    <n v="323"/>
    <n v="251"/>
    <n v="47599"/>
    <n v="35543"/>
    <n v="287"/>
    <s v="#MusicForEveryone,#NowPlaying"/>
    <s v="ChillVibes"/>
    <n v="2982"/>
  </r>
  <r>
    <s v="SP185"/>
    <x v="2"/>
    <d v="2025-04-22T00:00:00"/>
    <x v="2"/>
    <s v="New music just dropped. Hit play!"/>
    <n v="2733"/>
    <n v="297"/>
    <n v="235"/>
    <n v="37980"/>
    <n v="33058"/>
    <n v="219"/>
    <s v="#DiscoverWeekly,#SoundtrackOfLife"/>
    <s v="SummerBeats"/>
    <n v="3265"/>
  </r>
  <r>
    <s v="SP186"/>
    <x v="1"/>
    <d v="2024-06-16T00:00:00"/>
    <x v="1"/>
    <s v="Explore the latest podcasts now."/>
    <n v="4618"/>
    <n v="312"/>
    <n v="254"/>
    <n v="22571"/>
    <n v="29453"/>
    <n v="197"/>
    <s v="#MusicForEveryone,#NowPlaying"/>
    <s v="ChillVibes"/>
    <n v="5184"/>
  </r>
  <r>
    <s v="SP187"/>
    <x v="2"/>
    <d v="2025-05-18T00:00:00"/>
    <x v="2"/>
    <s v="Wrapped is here! Relive your top tracks ðŸŽ§"/>
    <n v="4210"/>
    <n v="319"/>
    <n v="350"/>
    <n v="37762"/>
    <n v="55162"/>
    <n v="204"/>
    <s v="#DiscoverWeekly,#SoundtrackOfLife"/>
    <s v="SummerBeats"/>
    <n v="4879"/>
  </r>
  <r>
    <s v="SP188"/>
    <x v="0"/>
    <d v="2025-06-06T00:00:00"/>
    <x v="0"/>
    <s v="Wrapped is here! Relive your top tracks ðŸŽ§"/>
    <n v="3987"/>
    <n v="171"/>
    <n v="274"/>
    <n v="45122"/>
    <n v="65431"/>
    <n v="168"/>
    <s v="#DiscoverWeekly"/>
    <s v="IndieWave"/>
    <n v="4432"/>
  </r>
  <r>
    <s v="SP189"/>
    <x v="2"/>
    <d v="2025-02-20T00:00:00"/>
    <x v="2"/>
    <s v="Get into the groove with our new drop!"/>
    <n v="4957"/>
    <n v="262"/>
    <n v="365"/>
    <n v="49199"/>
    <n v="40314"/>
    <n v="216"/>
    <s v="#DiscoverWeekly,#SoundtrackOfLife"/>
    <s v="SummerBeats"/>
    <n v="5584"/>
  </r>
  <r>
    <s v="SP190"/>
    <x v="0"/>
    <d v="2025-01-16T00:00:00"/>
    <x v="0"/>
    <s v="Music that moves youâ€”only on Spotify."/>
    <n v="2605"/>
    <n v="282"/>
    <n v="148"/>
    <n v="32201"/>
    <n v="49583"/>
    <n v="241"/>
    <s v="#SoundtrackOfLife,#NowPlaying"/>
    <s v="ChillVibes"/>
    <n v="3035"/>
  </r>
  <r>
    <s v="SP191"/>
    <x v="2"/>
    <d v="2024-02-24T00:00:00"/>
    <x v="2"/>
    <s v="Discover fresh beats on Spotify!"/>
    <n v="4221"/>
    <n v="307"/>
    <n v="58"/>
    <n v="45080"/>
    <n v="37214"/>
    <n v="240"/>
    <s v="#DiscoverWeekly,#SoundtrackOfLife"/>
    <s v="SummerBeats"/>
    <n v="4586"/>
  </r>
  <r>
    <s v="SP192"/>
    <x v="1"/>
    <d v="2024-09-16T00:00:00"/>
    <x v="1"/>
    <s v="Whatâ€™s your vibe today? #SpotifyHits"/>
    <n v="4422"/>
    <n v="434"/>
    <n v="156"/>
    <n v="56165"/>
    <n v="52431"/>
    <n v="173"/>
    <s v="#DiscoverWeekly,#MusicForEveryone"/>
    <s v="ChillVibes"/>
    <n v="5012"/>
  </r>
  <r>
    <s v="SP193"/>
    <x v="2"/>
    <d v="2024-06-04T00:00:00"/>
    <x v="2"/>
    <s v="Wrapped is here! Relive your top tracks ðŸŽ§"/>
    <n v="1211"/>
    <n v="431"/>
    <n v="83"/>
    <n v="26532"/>
    <n v="47305"/>
    <n v="232"/>
    <s v="#DiscoverWeekly,#SoundtrackOfLife"/>
    <s v="SummerBeats"/>
    <n v="1725"/>
  </r>
  <r>
    <s v="SP194"/>
    <x v="1"/>
    <d v="2024-05-10T00:00:00"/>
    <x v="1"/>
    <s v="Explore the latest podcasts now."/>
    <n v="2784"/>
    <n v="111"/>
    <n v="399"/>
    <n v="58366"/>
    <n v="69512"/>
    <n v="269"/>
    <s v="#MusicForEveryone,#NowPlaying"/>
    <s v="ChillVibes"/>
    <n v="3294"/>
  </r>
  <r>
    <s v="SP195"/>
    <x v="2"/>
    <d v="2024-01-14T00:00:00"/>
    <x v="0"/>
    <s v="New music just dropped. Hit play!"/>
    <n v="3634"/>
    <n v="280"/>
    <n v="399"/>
    <n v="40256"/>
    <n v="52605"/>
    <n v="213"/>
    <s v="#DiscoverWeekly,#SpotifyWrapped"/>
    <s v="IndieWave"/>
    <n v="4313"/>
  </r>
  <r>
    <s v="SP196"/>
    <x v="0"/>
    <d v="2025-01-12T00:00:00"/>
    <x v="0"/>
    <s v="From pop to podcasts, itâ€™s all here."/>
    <n v="1771"/>
    <n v="487"/>
    <n v="272"/>
    <n v="48810"/>
    <n v="48084"/>
    <n v="272"/>
    <s v="#SoundtrackOfLife,#NowPlaying"/>
    <s v="ChillVibes"/>
    <n v="2530"/>
  </r>
  <r>
    <s v="SP197"/>
    <x v="2"/>
    <d v="2024-12-08T00:00:00"/>
    <x v="0"/>
    <s v="Top trending tracks updated daily!"/>
    <n v="1424"/>
    <n v="396"/>
    <n v="312"/>
    <n v="59517"/>
    <n v="46102"/>
    <n v="239"/>
    <s v="#DiscoverWeekly,#SpotifyWrapped"/>
    <s v="IndieWave"/>
    <n v="2132"/>
  </r>
  <r>
    <s v="SP198"/>
    <x v="1"/>
    <d v="2025-02-01T00:00:00"/>
    <x v="1"/>
    <s v="Top trending tracks updated daily!"/>
    <n v="1079"/>
    <n v="265"/>
    <n v="190"/>
    <n v="43786"/>
    <n v="72428"/>
    <n v="222"/>
    <s v="#SoundtrackOfLife,#NowPlaying"/>
    <s v="ChillVibes"/>
    <n v="1534"/>
  </r>
  <r>
    <s v="SP199"/>
    <x v="1"/>
    <d v="2024-07-11T00:00:00"/>
    <x v="1"/>
    <s v="Get into the groove with our new drop!"/>
    <n v="4247"/>
    <n v="179"/>
    <n v="175"/>
    <n v="32991"/>
    <n v="70120"/>
    <n v="276"/>
    <s v="#SoundtrackOfLife,#NowPlaying"/>
    <s v="ChillVibes"/>
    <n v="4601"/>
  </r>
  <r>
    <s v="SP200"/>
    <x v="1"/>
    <d v="2024-03-18T00:00:00"/>
    <x v="0"/>
    <s v="New music just dropped. Hit play!"/>
    <n v="2033"/>
    <n v="420"/>
    <n v="94"/>
    <n v="56290"/>
    <n v="57391"/>
    <n v="196"/>
    <s v="#NowPlaying"/>
    <s v="ChillVibes"/>
    <n v="2547"/>
  </r>
  <r>
    <s v="SP201"/>
    <x v="1"/>
    <d v="2024-09-12T00:00:00"/>
    <x v="1"/>
    <s v="Wrapped is here! Relive your top tracks ðŸŽ§"/>
    <n v="1839"/>
    <n v="223"/>
    <n v="171"/>
    <n v="35459"/>
    <n v="69988"/>
    <n v="114"/>
    <s v="#MusicForEveryone,#NowPlaying"/>
    <s v="ChillVibes"/>
    <n v="2233"/>
  </r>
  <r>
    <s v="SP202"/>
    <x v="1"/>
    <d v="2024-01-11T00:00:00"/>
    <x v="1"/>
    <s v="Wrapped is here! Relive your top tracks ðŸŽ§"/>
    <n v="2340"/>
    <n v="141"/>
    <n v="206"/>
    <n v="24916"/>
    <n v="30582"/>
    <n v="157"/>
    <s v="#SoundtrackOfLife,#NowPlaying"/>
    <s v="ChillVibes"/>
    <n v="2687"/>
  </r>
  <r>
    <s v="SP203"/>
    <x v="0"/>
    <d v="2024-10-06T00:00:00"/>
    <x v="0"/>
    <s v="Top trending tracks updated daily!"/>
    <n v="2080"/>
    <n v="389"/>
    <n v="92"/>
    <n v="30971"/>
    <n v="25347"/>
    <n v="111"/>
    <s v="#DiscoverWeekly"/>
    <s v="IndieWave"/>
    <n v="2561"/>
  </r>
  <r>
    <s v="SP204"/>
    <x v="1"/>
    <d v="2024-12-30T00:00:00"/>
    <x v="0"/>
    <s v="Get into the groove with our new drop!"/>
    <n v="4214"/>
    <n v="286"/>
    <n v="127"/>
    <n v="47293"/>
    <n v="27184"/>
    <n v="232"/>
    <s v="#NowPlaying"/>
    <s v="ChillVibes"/>
    <n v="4627"/>
  </r>
  <r>
    <s v="SP205"/>
    <x v="1"/>
    <d v="2025-04-16T00:00:00"/>
    <x v="0"/>
    <s v="Wrapped is here! Relive your top tracks ðŸŽ§"/>
    <n v="3792"/>
    <n v="315"/>
    <n v="120"/>
    <n v="54592"/>
    <n v="67886"/>
    <n v="117"/>
    <s v="#SoundtrackOfLife"/>
    <s v="IndieWave"/>
    <n v="4227"/>
  </r>
  <r>
    <s v="SP206"/>
    <x v="1"/>
    <d v="2024-08-21T00:00:00"/>
    <x v="1"/>
    <s v="Explore the latest podcasts now."/>
    <n v="3989"/>
    <n v="476"/>
    <n v="128"/>
    <n v="57569"/>
    <n v="40193"/>
    <n v="222"/>
    <s v="#DiscoverWeekly,#MusicForEveryone"/>
    <s v="ChillVibes"/>
    <n v="4593"/>
  </r>
  <r>
    <s v="SP207"/>
    <x v="1"/>
    <d v="2024-04-05T00:00:00"/>
    <x v="1"/>
    <s v="Wrapped is here! Relive your top tracks ðŸŽ§"/>
    <n v="2857"/>
    <n v="443"/>
    <n v="359"/>
    <n v="51519"/>
    <n v="28256"/>
    <n v="155"/>
    <s v="#SoundtrackOfLife,#NowPlaying"/>
    <s v="ChillVibes"/>
    <n v="3659"/>
  </r>
  <r>
    <s v="SP208"/>
    <x v="1"/>
    <d v="2025-04-07T00:00:00"/>
    <x v="0"/>
    <s v="From pop to podcasts, itâ€™s all here."/>
    <n v="1403"/>
    <n v="385"/>
    <n v="344"/>
    <n v="54223"/>
    <n v="72595"/>
    <n v="239"/>
    <s v="#SoundtrackOfLife"/>
    <s v="IndieWave"/>
    <n v="2132"/>
  </r>
  <r>
    <s v="SP209"/>
    <x v="1"/>
    <d v="2024-07-19T00:00:00"/>
    <x v="1"/>
    <s v="Whatâ€™s your vibe today? #SpotifyHits"/>
    <n v="3071"/>
    <n v="126"/>
    <n v="200"/>
    <n v="44013"/>
    <n v="44679"/>
    <n v="118"/>
    <s v="#DiscoverWeekly,#MusicForEveryone"/>
    <s v="ChillVibes"/>
    <n v="3397"/>
  </r>
  <r>
    <s v="SP210"/>
    <x v="1"/>
    <d v="2025-05-03T00:00:00"/>
    <x v="1"/>
    <s v="Top trending tracks updated daily!"/>
    <n v="1010"/>
    <n v="361"/>
    <n v="240"/>
    <n v="47229"/>
    <n v="72573"/>
    <n v="275"/>
    <s v="#SoundtrackOfLife,#NowPlaying"/>
    <s v="ChillVibes"/>
    <n v="1611"/>
  </r>
  <r>
    <s v="SP211"/>
    <x v="1"/>
    <d v="2024-04-14T00:00:00"/>
    <x v="1"/>
    <s v="Discover fresh beats on Spotify!"/>
    <n v="1295"/>
    <n v="153"/>
    <n v="81"/>
    <n v="48350"/>
    <n v="61033"/>
    <n v="232"/>
    <s v="#DiscoverWeekly,#MusicForEveryone"/>
    <s v="ChillVibes"/>
    <n v="1529"/>
  </r>
  <r>
    <s v="SP212"/>
    <x v="1"/>
    <d v="2025-06-19T00:00:00"/>
    <x v="1"/>
    <s v="Whatâ€™s your vibe today? #SpotifyHits"/>
    <n v="1433"/>
    <n v="452"/>
    <n v="305"/>
    <n v="54541"/>
    <n v="63700"/>
    <n v="296"/>
    <s v="#DiscoverWeekly,#MusicForEveryone"/>
    <s v="ChillVibes"/>
    <n v="2190"/>
  </r>
  <r>
    <s v="SP213"/>
    <x v="0"/>
    <d v="2025-06-24T00:00:00"/>
    <x v="1"/>
    <s v="Get into the groove with our new drop!"/>
    <n v="4902"/>
    <n v="422"/>
    <n v="376"/>
    <n v="31674"/>
    <n v="53225"/>
    <n v="147"/>
    <s v="#NowPlaying"/>
    <s v="Wrapped2024"/>
    <n v="5700"/>
  </r>
  <r>
    <s v="SP214"/>
    <x v="1"/>
    <d v="2024-10-09T00:00:00"/>
    <x v="0"/>
    <s v="Wrapped is here! Relive your top tracks ðŸŽ§"/>
    <n v="2659"/>
    <n v="167"/>
    <n v="73"/>
    <n v="23090"/>
    <n v="25872"/>
    <n v="293"/>
    <s v="#SoundtrackOfLife"/>
    <s v="IndieWave"/>
    <n v="2899"/>
  </r>
  <r>
    <s v="SP215"/>
    <x v="2"/>
    <d v="2025-01-15T00:00:00"/>
    <x v="0"/>
    <s v="Your weekend playlist is waiting."/>
    <n v="2599"/>
    <n v="324"/>
    <n v="182"/>
    <n v="37525"/>
    <n v="37216"/>
    <n v="186"/>
    <s v="#DiscoverWeekly,#SpotifyWrapped"/>
    <s v="IndieWave"/>
    <n v="3105"/>
  </r>
  <r>
    <s v="SP216"/>
    <x v="1"/>
    <d v="2025-01-12T00:00:00"/>
    <x v="0"/>
    <s v="Music that moves youâ€”only on Spotify."/>
    <n v="1765"/>
    <n v="285"/>
    <n v="100"/>
    <n v="41313"/>
    <n v="56575"/>
    <n v="174"/>
    <s v="#SoundtrackOfLife"/>
    <s v="IndieWave"/>
    <n v="2150"/>
  </r>
  <r>
    <s v="SP217"/>
    <x v="0"/>
    <d v="2025-05-31T00:00:00"/>
    <x v="0"/>
    <s v="Whatâ€™s your vibe today? #SpotifyHits"/>
    <n v="2169"/>
    <n v="240"/>
    <n v="57"/>
    <n v="26109"/>
    <n v="46667"/>
    <n v="133"/>
    <s v="#SoundtrackOfLife,#NowPlaying"/>
    <s v="ChillVibes"/>
    <n v="2466"/>
  </r>
  <r>
    <s v="SP218"/>
    <x v="1"/>
    <d v="2024-10-14T00:00:00"/>
    <x v="1"/>
    <s v="Explore the latest podcasts now."/>
    <n v="4303"/>
    <n v="306"/>
    <n v="302"/>
    <n v="39575"/>
    <n v="33762"/>
    <n v="265"/>
    <s v="#DiscoverWeekly,#MusicForEveryone"/>
    <s v="ChillVibes"/>
    <n v="4911"/>
  </r>
  <r>
    <s v="SP219"/>
    <x v="1"/>
    <d v="2024-02-10T00:00:00"/>
    <x v="0"/>
    <s v="From pop to podcasts, itâ€™s all here."/>
    <n v="1519"/>
    <n v="456"/>
    <n v="379"/>
    <n v="51611"/>
    <n v="45880"/>
    <n v="176"/>
    <s v="#SoundtrackOfLife"/>
    <s v="IndieWave"/>
    <n v="2354"/>
  </r>
  <r>
    <s v="SP220"/>
    <x v="2"/>
    <d v="2024-12-10T00:00:00"/>
    <x v="0"/>
    <s v="Whatâ€™s your vibe today? #SpotifyHits"/>
    <n v="2569"/>
    <n v="140"/>
    <n v="375"/>
    <n v="38372"/>
    <n v="22102"/>
    <n v="255"/>
    <s v="#DiscoverWeekly,#SpotifyWrapped"/>
    <s v="IndieWave"/>
    <n v="3084"/>
  </r>
  <r>
    <s v="SP221"/>
    <x v="1"/>
    <d v="2025-05-09T00:00:00"/>
    <x v="1"/>
    <s v="Music that moves youâ€”only on Spotify."/>
    <n v="2778"/>
    <n v="241"/>
    <n v="317"/>
    <n v="26247"/>
    <n v="20677"/>
    <n v="282"/>
    <s v="#MusicForEveryone,#NowPlaying"/>
    <s v="ChillVibes"/>
    <n v="3336"/>
  </r>
  <r>
    <s v="SP222"/>
    <x v="1"/>
    <d v="2025-06-21T00:00:00"/>
    <x v="0"/>
    <s v="Explore the latest podcasts now."/>
    <n v="3611"/>
    <n v="127"/>
    <n v="139"/>
    <n v="44768"/>
    <n v="29435"/>
    <n v="178"/>
    <s v="#NowPlaying"/>
    <s v="ChillVibes"/>
    <n v="3877"/>
  </r>
  <r>
    <s v="SP223"/>
    <x v="1"/>
    <d v="2024-06-19T00:00:00"/>
    <x v="0"/>
    <s v="Whatâ€™s your vibe today? #SpotifyHits"/>
    <n v="1224"/>
    <n v="168"/>
    <n v="199"/>
    <n v="54232"/>
    <n v="52844"/>
    <n v="271"/>
    <s v="#SoundtrackOfLife"/>
    <s v="IndieWave"/>
    <n v="1591"/>
  </r>
  <r>
    <s v="SP224"/>
    <x v="1"/>
    <d v="2024-12-10T00:00:00"/>
    <x v="0"/>
    <s v="From pop to podcasts, itâ€™s all here."/>
    <n v="4673"/>
    <n v="270"/>
    <n v="93"/>
    <n v="45260"/>
    <n v="57513"/>
    <n v="103"/>
    <s v="#NowPlaying"/>
    <s v="ChillVibes"/>
    <n v="5036"/>
  </r>
  <r>
    <s v="SP225"/>
    <x v="2"/>
    <d v="2024-02-01T00:00:00"/>
    <x v="0"/>
    <s v="Wrapped is here! Relive your top tracks ðŸŽ§"/>
    <n v="1432"/>
    <n v="437"/>
    <n v="267"/>
    <n v="40634"/>
    <n v="54511"/>
    <n v="197"/>
    <s v="#DiscoverWeekly,#SpotifyWrapped"/>
    <s v="IndieWave"/>
    <n v="2136"/>
  </r>
  <r>
    <s v="SP226"/>
    <x v="1"/>
    <d v="2024-01-17T00:00:00"/>
    <x v="1"/>
    <s v="New music just dropped. Hit play!"/>
    <n v="2174"/>
    <n v="499"/>
    <n v="212"/>
    <n v="54938"/>
    <n v="27190"/>
    <n v="265"/>
    <s v="#MusicForEveryone,#NowPlaying"/>
    <s v="ChillVibes"/>
    <n v="2885"/>
  </r>
  <r>
    <s v="SP227"/>
    <x v="2"/>
    <d v="2025-03-22T00:00:00"/>
    <x v="0"/>
    <s v="Music that moves youâ€”only on Spotify."/>
    <n v="4308"/>
    <n v="171"/>
    <n v="106"/>
    <n v="36955"/>
    <n v="23949"/>
    <n v="294"/>
    <s v="#DiscoverWeekly,#SpotifyWrapped"/>
    <s v="IndieWave"/>
    <n v="4585"/>
  </r>
  <r>
    <s v="SP228"/>
    <x v="2"/>
    <d v="2024-05-30T00:00:00"/>
    <x v="2"/>
    <s v="Whatâ€™s your vibe today? #SpotifyHits"/>
    <n v="1060"/>
    <n v="442"/>
    <n v="319"/>
    <n v="57194"/>
    <n v="24258"/>
    <n v="101"/>
    <s v="#DiscoverWeekly,#SoundtrackOfLife"/>
    <s v="SummerBeats"/>
    <n v="1821"/>
  </r>
  <r>
    <s v="SP229"/>
    <x v="2"/>
    <d v="2024-02-24T00:00:00"/>
    <x v="0"/>
    <s v="Music that moves youâ€”only on Spotify."/>
    <n v="4653"/>
    <n v="226"/>
    <n v="349"/>
    <n v="56876"/>
    <n v="28452"/>
    <n v="257"/>
    <s v="#DiscoverWeekly,#SpotifyWrapped"/>
    <s v="IndieWave"/>
    <n v="5228"/>
  </r>
  <r>
    <s v="SP230"/>
    <x v="2"/>
    <d v="2025-05-14T00:00:00"/>
    <x v="0"/>
    <s v="Discover fresh beats on Spotify!"/>
    <n v="1701"/>
    <n v="272"/>
    <n v="385"/>
    <n v="47496"/>
    <n v="40832"/>
    <n v="246"/>
    <s v="#DiscoverWeekly,#SpotifyWrapped"/>
    <s v="IndieWave"/>
    <n v="2358"/>
  </r>
  <r>
    <s v="SP231"/>
    <x v="0"/>
    <d v="2024-03-28T00:00:00"/>
    <x v="0"/>
    <s v="Whatâ€™s your vibe today? #SpotifyHits"/>
    <n v="1673"/>
    <n v="280"/>
    <n v="67"/>
    <n v="29847"/>
    <n v="48016"/>
    <n v="213"/>
    <s v="#SoundtrackOfLife,#NowPlaying"/>
    <s v="ChillVibes"/>
    <n v="2020"/>
  </r>
  <r>
    <s v="SP232"/>
    <x v="2"/>
    <d v="2025-03-07T00:00:00"/>
    <x v="0"/>
    <s v="Top trending tracks updated daily!"/>
    <n v="4310"/>
    <n v="284"/>
    <n v="306"/>
    <n v="44606"/>
    <n v="42604"/>
    <n v="290"/>
    <s v="#DiscoverWeekly,#SpotifyWrapped"/>
    <s v="IndieWave"/>
    <n v="4900"/>
  </r>
  <r>
    <s v="SP233"/>
    <x v="1"/>
    <d v="2024-10-20T00:00:00"/>
    <x v="0"/>
    <s v="From pop to podcasts, itâ€™s all here."/>
    <n v="2752"/>
    <n v="309"/>
    <n v="91"/>
    <n v="39038"/>
    <n v="28095"/>
    <n v="277"/>
    <s v="#NowPlaying"/>
    <s v="ChillVibes"/>
    <n v="3152"/>
  </r>
  <r>
    <s v="SP234"/>
    <x v="1"/>
    <d v="2024-02-02T00:00:00"/>
    <x v="0"/>
    <s v="From pop to podcasts, itâ€™s all here."/>
    <n v="3818"/>
    <n v="115"/>
    <n v="286"/>
    <n v="25127"/>
    <n v="22277"/>
    <n v="263"/>
    <s v="#NowPlaying"/>
    <s v="ChillVibes"/>
    <n v="4219"/>
  </r>
  <r>
    <s v="SP235"/>
    <x v="2"/>
    <d v="2024-09-07T00:00:00"/>
    <x v="0"/>
    <s v="Your weekend playlist is waiting."/>
    <n v="2101"/>
    <n v="411"/>
    <n v="190"/>
    <n v="41791"/>
    <n v="57090"/>
    <n v="172"/>
    <s v="#DiscoverWeekly,#SpotifyWrapped"/>
    <s v="IndieWave"/>
    <n v="2702"/>
  </r>
  <r>
    <s v="SP236"/>
    <x v="0"/>
    <d v="2024-12-20T00:00:00"/>
    <x v="0"/>
    <s v="Discover fresh beats on Spotify!"/>
    <n v="2519"/>
    <n v="202"/>
    <n v="239"/>
    <n v="36245"/>
    <n v="48606"/>
    <n v="145"/>
    <s v="#DiscoverWeekly"/>
    <s v="IndieWave"/>
    <n v="2960"/>
  </r>
  <r>
    <s v="SP237"/>
    <x v="2"/>
    <d v="2024-01-14T00:00:00"/>
    <x v="0"/>
    <s v="Whatâ€™s your vibe today? #SpotifyHits"/>
    <n v="4502"/>
    <n v="238"/>
    <n v="386"/>
    <n v="39198"/>
    <n v="25050"/>
    <n v="297"/>
    <s v="#DiscoverWeekly,#SpotifyWrapped"/>
    <s v="IndieWave"/>
    <n v="5126"/>
  </r>
  <r>
    <s v="SP238"/>
    <x v="0"/>
    <d v="2025-06-15T00:00:00"/>
    <x v="0"/>
    <s v="Explore the latest podcasts now."/>
    <n v="2478"/>
    <n v="427"/>
    <n v="242"/>
    <n v="59272"/>
    <n v="37833"/>
    <n v="214"/>
    <s v="#SoundtrackOfLife,#NowPlaying"/>
    <s v="ChillVibes"/>
    <n v="3147"/>
  </r>
  <r>
    <s v="SP239"/>
    <x v="1"/>
    <d v="2024-12-13T00:00:00"/>
    <x v="1"/>
    <s v="New music just dropped. Hit play!"/>
    <n v="4984"/>
    <n v="300"/>
    <n v="338"/>
    <n v="32900"/>
    <n v="31691"/>
    <n v="160"/>
    <s v="#MusicForEveryone,#NowPlaying"/>
    <s v="ChillVibes"/>
    <n v="5622"/>
  </r>
  <r>
    <s v="SP240"/>
    <x v="2"/>
    <d v="2024-08-29T00:00:00"/>
    <x v="0"/>
    <s v="Wrapped is here! Relive your top tracks ðŸŽ§"/>
    <n v="4774"/>
    <n v="389"/>
    <n v="358"/>
    <n v="52346"/>
    <n v="30518"/>
    <n v="277"/>
    <s v="#DiscoverWeekly,#SpotifyWrapped"/>
    <s v="IndieWave"/>
    <n v="5521"/>
  </r>
  <r>
    <s v="SP241"/>
    <x v="1"/>
    <d v="2024-09-15T00:00:00"/>
    <x v="0"/>
    <s v="Get into the groove with our new drop!"/>
    <n v="2145"/>
    <n v="340"/>
    <n v="85"/>
    <n v="53323"/>
    <n v="49938"/>
    <n v="104"/>
    <s v="#NowPlaying"/>
    <s v="ChillVibes"/>
    <n v="2570"/>
  </r>
  <r>
    <s v="SP242"/>
    <x v="1"/>
    <d v="2025-04-12T00:00:00"/>
    <x v="1"/>
    <s v="From pop to podcasts, itâ€™s all here."/>
    <n v="4315"/>
    <n v="208"/>
    <n v="273"/>
    <n v="35780"/>
    <n v="44349"/>
    <n v="133"/>
    <s v="#DiscoverWeekly,#MusicForEveryone"/>
    <s v="ChillVibes"/>
    <n v="4796"/>
  </r>
  <r>
    <s v="SP243"/>
    <x v="1"/>
    <d v="2024-12-10T00:00:00"/>
    <x v="1"/>
    <s v="Wrapped is here! Relive your top tracks ðŸŽ§"/>
    <n v="2267"/>
    <n v="230"/>
    <n v="243"/>
    <n v="27904"/>
    <n v="69771"/>
    <n v="255"/>
    <s v="#DiscoverWeekly,#MusicForEveryone"/>
    <s v="ChillVibes"/>
    <n v="2740"/>
  </r>
  <r>
    <s v="SP244"/>
    <x v="2"/>
    <d v="2025-06-08T00:00:00"/>
    <x v="0"/>
    <s v="Music that moves youâ€”only on Spotify."/>
    <n v="4375"/>
    <n v="303"/>
    <n v="294"/>
    <n v="57468"/>
    <n v="53397"/>
    <n v="159"/>
    <s v="#DiscoverWeekly,#SpotifyWrapped"/>
    <s v="IndieWave"/>
    <n v="4972"/>
  </r>
  <r>
    <s v="SP245"/>
    <x v="1"/>
    <d v="2025-01-09T00:00:00"/>
    <x v="1"/>
    <s v="Your weekend playlist is waiting."/>
    <n v="3817"/>
    <n v="284"/>
    <n v="204"/>
    <n v="46434"/>
    <n v="53396"/>
    <n v="104"/>
    <s v="#MusicForEveryone,#NowPlaying"/>
    <s v="ChillVibes"/>
    <n v="4305"/>
  </r>
  <r>
    <s v="SP246"/>
    <x v="1"/>
    <d v="2024-07-08T00:00:00"/>
    <x v="1"/>
    <s v="Top trending tracks updated daily!"/>
    <n v="2981"/>
    <n v="258"/>
    <n v="168"/>
    <n v="20677"/>
    <n v="68290"/>
    <n v="130"/>
    <s v="#SoundtrackOfLife,#NowPlaying"/>
    <s v="ChillVibes"/>
    <n v="3407"/>
  </r>
  <r>
    <s v="SP247"/>
    <x v="1"/>
    <d v="2024-09-16T00:00:00"/>
    <x v="1"/>
    <s v="Your weekend playlist is waiting."/>
    <n v="3300"/>
    <n v="354"/>
    <n v="397"/>
    <n v="56773"/>
    <n v="72110"/>
    <n v="163"/>
    <s v="#DiscoverWeekly,#MusicForEveryone"/>
    <s v="ChillVibes"/>
    <n v="4051"/>
  </r>
  <r>
    <s v="SP248"/>
    <x v="2"/>
    <d v="2024-06-14T00:00:00"/>
    <x v="2"/>
    <s v="Wrapped is here! Relive your top tracks ðŸŽ§"/>
    <n v="4722"/>
    <n v="310"/>
    <n v="344"/>
    <n v="27911"/>
    <n v="19000"/>
    <n v="225"/>
    <s v="#DiscoverWeekly,#SoundtrackOfLife"/>
    <s v="SummerBeats"/>
    <n v="5376"/>
  </r>
  <r>
    <s v="SP249"/>
    <x v="0"/>
    <d v="2024-03-06T00:00:00"/>
    <x v="0"/>
    <s v="Whatâ€™s your vibe today? #SpotifyHits"/>
    <n v="3529"/>
    <n v="263"/>
    <n v="107"/>
    <n v="26570"/>
    <n v="19367"/>
    <n v="96"/>
    <s v="#DiscoverWeekly"/>
    <s v="IndieWave"/>
    <n v="3899"/>
  </r>
  <r>
    <s v="SP250"/>
    <x v="1"/>
    <d v="2025-05-15T00:00:00"/>
    <x v="0"/>
    <s v="Your weekend playlist is waiting."/>
    <n v="4782"/>
    <n v="210"/>
    <n v="311"/>
    <n v="29793"/>
    <n v="37543"/>
    <n v="145"/>
    <s v="#NowPlaying"/>
    <s v="ChillVibes"/>
    <n v="5303"/>
  </r>
  <r>
    <s v="SP251"/>
    <x v="1"/>
    <d v="2024-07-07T00:00:00"/>
    <x v="0"/>
    <s v="Whatâ€™s your vibe today? #SpotifyHits"/>
    <n v="1848"/>
    <n v="417"/>
    <n v="294"/>
    <n v="57819"/>
    <n v="19798"/>
    <n v="262"/>
    <s v="#SoundtrackOfLife"/>
    <s v="IndieWave"/>
    <n v="2559"/>
  </r>
  <r>
    <s v="SP252"/>
    <x v="2"/>
    <d v="2024-10-26T00:00:00"/>
    <x v="0"/>
    <s v="New music just dropped. Hit play!"/>
    <n v="4676"/>
    <n v="211"/>
    <n v="55"/>
    <n v="45917"/>
    <n v="73503"/>
    <n v="248"/>
    <s v="#DiscoverWeekly,#SpotifyWrapped"/>
    <s v="IndieWave"/>
    <n v="4942"/>
  </r>
  <r>
    <s v="SP253"/>
    <x v="2"/>
    <d v="2024-08-08T00:00:00"/>
    <x v="0"/>
    <s v="From pop to podcasts, itâ€™s all here."/>
    <n v="1994"/>
    <n v="197"/>
    <n v="290"/>
    <n v="49500"/>
    <n v="23343"/>
    <n v="160"/>
    <s v="#DiscoverWeekly,#SpotifyWrapped"/>
    <s v="IndieWave"/>
    <n v="2481"/>
  </r>
  <r>
    <s v="SP254"/>
    <x v="1"/>
    <d v="2025-02-03T00:00:00"/>
    <x v="0"/>
    <s v="Whatâ€™s your vibe today? #SpotifyHits"/>
    <n v="4995"/>
    <n v="231"/>
    <n v="94"/>
    <n v="34431"/>
    <n v="32560"/>
    <n v="262"/>
    <s v="#NowPlaying"/>
    <s v="ChillVibes"/>
    <n v="5320"/>
  </r>
  <r>
    <s v="SP255"/>
    <x v="1"/>
    <d v="2024-04-03T00:00:00"/>
    <x v="1"/>
    <s v="Top trending tracks updated daily!"/>
    <n v="2291"/>
    <n v="146"/>
    <n v="399"/>
    <n v="49319"/>
    <n v="28056"/>
    <n v="90"/>
    <s v="#DiscoverWeekly,#MusicForEveryone"/>
    <s v="ChillVibes"/>
    <n v="2836"/>
  </r>
  <r>
    <s v="SP256"/>
    <x v="1"/>
    <d v="2024-07-08T00:00:00"/>
    <x v="1"/>
    <s v="Wrapped is here! Relive your top tracks ðŸŽ§"/>
    <n v="2304"/>
    <n v="289"/>
    <n v="161"/>
    <n v="52645"/>
    <n v="66262"/>
    <n v="146"/>
    <s v="#MusicForEveryone,#NowPlaying"/>
    <s v="ChillVibes"/>
    <n v="2754"/>
  </r>
  <r>
    <s v="SP257"/>
    <x v="1"/>
    <d v="2024-06-08T00:00:00"/>
    <x v="1"/>
    <s v="Top trending tracks updated daily!"/>
    <n v="3413"/>
    <n v="326"/>
    <n v="86"/>
    <n v="44680"/>
    <n v="52719"/>
    <n v="272"/>
    <s v="#DiscoverWeekly,#MusicForEveryone"/>
    <s v="ChillVibes"/>
    <n v="3825"/>
  </r>
  <r>
    <s v="SP258"/>
    <x v="2"/>
    <d v="2025-03-20T00:00:00"/>
    <x v="2"/>
    <s v="From pop to podcasts, itâ€™s all here."/>
    <n v="1453"/>
    <n v="156"/>
    <n v="178"/>
    <n v="52980"/>
    <n v="57180"/>
    <n v="286"/>
    <s v="#DiscoverWeekly,#SoundtrackOfLife"/>
    <s v="SummerBeats"/>
    <n v="1787"/>
  </r>
  <r>
    <s v="SP259"/>
    <x v="1"/>
    <d v="2025-01-19T00:00:00"/>
    <x v="1"/>
    <s v="Music that moves youâ€”only on Spotify."/>
    <n v="1651"/>
    <n v="480"/>
    <n v="282"/>
    <n v="32140"/>
    <n v="70560"/>
    <n v="138"/>
    <s v="#SoundtrackOfLife,#NowPlaying"/>
    <s v="ChillVibes"/>
    <n v="2413"/>
  </r>
  <r>
    <s v="SP260"/>
    <x v="1"/>
    <d v="2025-01-05T00:00:00"/>
    <x v="1"/>
    <s v="Explore the latest podcasts now."/>
    <n v="3341"/>
    <n v="154"/>
    <n v="123"/>
    <n v="43369"/>
    <n v="49035"/>
    <n v="128"/>
    <s v="#MusicForEveryone,#NowPlaying"/>
    <s v="ChillVibes"/>
    <n v="3618"/>
  </r>
  <r>
    <s v="SP261"/>
    <x v="1"/>
    <d v="2024-11-16T00:00:00"/>
    <x v="0"/>
    <s v="From pop to podcasts, itâ€™s all here."/>
    <n v="2972"/>
    <n v="263"/>
    <n v="308"/>
    <n v="51740"/>
    <n v="28214"/>
    <n v="190"/>
    <s v="#SoundtrackOfLife"/>
    <s v="IndieWave"/>
    <n v="3543"/>
  </r>
  <r>
    <s v="SP262"/>
    <x v="1"/>
    <d v="2024-11-30T00:00:00"/>
    <x v="1"/>
    <s v="Explore the latest podcasts now."/>
    <n v="4963"/>
    <n v="255"/>
    <n v="193"/>
    <n v="44386"/>
    <n v="28415"/>
    <n v="174"/>
    <s v="#MusicForEveryone,#NowPlaying"/>
    <s v="ChillVibes"/>
    <n v="5411"/>
  </r>
  <r>
    <s v="SP263"/>
    <x v="2"/>
    <d v="2024-03-27T00:00:00"/>
    <x v="0"/>
    <s v="Music that moves youâ€”only on Spotify."/>
    <n v="2399"/>
    <n v="191"/>
    <n v="221"/>
    <n v="51603"/>
    <n v="40033"/>
    <n v="173"/>
    <s v="#DiscoverWeekly,#SpotifyWrapped"/>
    <s v="IndieWave"/>
    <n v="2811"/>
  </r>
  <r>
    <s v="SP264"/>
    <x v="2"/>
    <d v="2025-05-31T00:00:00"/>
    <x v="2"/>
    <s v="Get into the groove with our new drop!"/>
    <n v="2162"/>
    <n v="318"/>
    <n v="83"/>
    <n v="46719"/>
    <n v="20482"/>
    <n v="185"/>
    <s v="#DiscoverWeekly,#SoundtrackOfLife"/>
    <s v="SummerBeats"/>
    <n v="2563"/>
  </r>
  <r>
    <s v="SP265"/>
    <x v="1"/>
    <d v="2025-06-17T00:00:00"/>
    <x v="1"/>
    <s v="Explore the latest podcasts now."/>
    <n v="4341"/>
    <n v="141"/>
    <n v="63"/>
    <n v="50081"/>
    <n v="27507"/>
    <n v="221"/>
    <s v="#DiscoverWeekly,#MusicForEveryone"/>
    <s v="ChillVibes"/>
    <n v="4545"/>
  </r>
  <r>
    <s v="SP266"/>
    <x v="0"/>
    <d v="2024-05-30T00:00:00"/>
    <x v="1"/>
    <s v="Get into the groove with our new drop!"/>
    <n v="2448"/>
    <n v="464"/>
    <n v="98"/>
    <n v="25737"/>
    <n v="48545"/>
    <n v="246"/>
    <s v="#NowPlaying"/>
    <s v="Wrapped2024"/>
    <n v="3010"/>
  </r>
  <r>
    <s v="SP267"/>
    <x v="2"/>
    <d v="2024-11-08T00:00:00"/>
    <x v="0"/>
    <s v="Top trending tracks updated daily!"/>
    <n v="2471"/>
    <n v="166"/>
    <n v="320"/>
    <n v="48254"/>
    <n v="46900"/>
    <n v="111"/>
    <s v="#DiscoverWeekly,#SpotifyWrapped"/>
    <s v="IndieWave"/>
    <n v="2957"/>
  </r>
  <r>
    <s v="SP268"/>
    <x v="2"/>
    <d v="2024-03-17T00:00:00"/>
    <x v="2"/>
    <s v="Explore the latest podcasts now."/>
    <n v="2692"/>
    <n v="446"/>
    <n v="216"/>
    <n v="45818"/>
    <n v="62723"/>
    <n v="85"/>
    <s v="#DiscoverWeekly,#SoundtrackOfLife"/>
    <s v="SummerBeats"/>
    <n v="3354"/>
  </r>
  <r>
    <s v="SP269"/>
    <x v="2"/>
    <d v="2024-06-21T00:00:00"/>
    <x v="2"/>
    <s v="Music that moves youâ€”only on Spotify."/>
    <n v="4621"/>
    <n v="374"/>
    <n v="298"/>
    <n v="56979"/>
    <n v="24098"/>
    <n v="205"/>
    <s v="#DiscoverWeekly,#SoundtrackOfLife"/>
    <s v="SummerBeats"/>
    <n v="5293"/>
  </r>
  <r>
    <s v="SP270"/>
    <x v="1"/>
    <d v="2024-11-13T00:00:00"/>
    <x v="1"/>
    <s v="New music just dropped. Hit play!"/>
    <n v="1409"/>
    <n v="466"/>
    <n v="105"/>
    <n v="58923"/>
    <n v="38753"/>
    <n v="265"/>
    <s v="#DiscoverWeekly,#MusicForEveryone"/>
    <s v="ChillVibes"/>
    <n v="1980"/>
  </r>
  <r>
    <s v="SP271"/>
    <x v="1"/>
    <d v="2025-02-05T00:00:00"/>
    <x v="1"/>
    <s v="Discover fresh beats on Spotify!"/>
    <n v="3029"/>
    <n v="440"/>
    <n v="66"/>
    <n v="23815"/>
    <n v="47895"/>
    <n v="210"/>
    <s v="#DiscoverWeekly,#MusicForEveryone"/>
    <s v="ChillVibes"/>
    <n v="3535"/>
  </r>
  <r>
    <s v="SP272"/>
    <x v="1"/>
    <d v="2024-11-07T00:00:00"/>
    <x v="0"/>
    <s v="Explore the latest podcasts now."/>
    <n v="2229"/>
    <n v="395"/>
    <n v="328"/>
    <n v="56921"/>
    <n v="37176"/>
    <n v="126"/>
    <s v="#SoundtrackOfLife"/>
    <s v="IndieWave"/>
    <n v="2952"/>
  </r>
  <r>
    <s v="SP273"/>
    <x v="1"/>
    <d v="2024-02-12T00:00:00"/>
    <x v="0"/>
    <s v="Explore the latest podcasts now."/>
    <n v="2691"/>
    <n v="486"/>
    <n v="206"/>
    <n v="51133"/>
    <n v="44583"/>
    <n v="276"/>
    <s v="#NowPlaying"/>
    <s v="ChillVibes"/>
    <n v="3383"/>
  </r>
  <r>
    <s v="SP274"/>
    <x v="0"/>
    <d v="2024-10-08T00:00:00"/>
    <x v="0"/>
    <s v="Explore the latest podcasts now."/>
    <n v="2110"/>
    <n v="384"/>
    <n v="236"/>
    <n v="49965"/>
    <n v="61555"/>
    <n v="195"/>
    <s v="#DiscoverWeekly"/>
    <s v="IndieWave"/>
    <n v="2730"/>
  </r>
  <r>
    <s v="SP275"/>
    <x v="0"/>
    <d v="2024-02-19T00:00:00"/>
    <x v="0"/>
    <s v="Wrapped is here! Relive your top tracks ðŸŽ§"/>
    <n v="4752"/>
    <n v="449"/>
    <n v="309"/>
    <n v="58530"/>
    <n v="26630"/>
    <n v="234"/>
    <s v="#DiscoverWeekly"/>
    <s v="IndieWave"/>
    <n v="5510"/>
  </r>
  <r>
    <s v="SP276"/>
    <x v="1"/>
    <d v="2025-03-04T00:00:00"/>
    <x v="0"/>
    <s v="Discover fresh beats on Spotify!"/>
    <n v="2177"/>
    <n v="258"/>
    <n v="292"/>
    <n v="47276"/>
    <n v="51324"/>
    <n v="143"/>
    <s v="#NowPlaying"/>
    <s v="ChillVibes"/>
    <n v="2727"/>
  </r>
  <r>
    <s v="SP277"/>
    <x v="0"/>
    <d v="2025-02-03T00:00:00"/>
    <x v="1"/>
    <s v="New music just dropped. Hit play!"/>
    <n v="1205"/>
    <n v="486"/>
    <n v="269"/>
    <n v="23341"/>
    <n v="42411"/>
    <n v="184"/>
    <s v="#NowPlaying"/>
    <s v="Wrapped2024"/>
    <n v="1960"/>
  </r>
  <r>
    <s v="SP278"/>
    <x v="0"/>
    <d v="2024-12-02T00:00:00"/>
    <x v="0"/>
    <s v="Top trending tracks updated daily!"/>
    <n v="3194"/>
    <n v="292"/>
    <n v="245"/>
    <n v="56371"/>
    <n v="65597"/>
    <n v="163"/>
    <s v="#SoundtrackOfLife,#NowPlaying"/>
    <s v="ChillVibes"/>
    <n v="3731"/>
  </r>
  <r>
    <s v="SP279"/>
    <x v="1"/>
    <d v="2025-01-19T00:00:00"/>
    <x v="1"/>
    <s v="New music just dropped. Hit play!"/>
    <n v="3507"/>
    <n v="295"/>
    <n v="371"/>
    <n v="20410"/>
    <n v="53965"/>
    <n v="212"/>
    <s v="#SoundtrackOfLife,#NowPlaying"/>
    <s v="ChillVibes"/>
    <n v="4173"/>
  </r>
  <r>
    <s v="SP280"/>
    <x v="1"/>
    <d v="2024-09-28T00:00:00"/>
    <x v="1"/>
    <s v="Wrapped is here! Relive your top tracks ðŸŽ§"/>
    <n v="4471"/>
    <n v="317"/>
    <n v="249"/>
    <n v="44862"/>
    <n v="33365"/>
    <n v="184"/>
    <s v="#DiscoverWeekly,#MusicForEveryone"/>
    <s v="ChillVibes"/>
    <n v="5037"/>
  </r>
  <r>
    <s v="SP281"/>
    <x v="0"/>
    <d v="2024-01-07T00:00:00"/>
    <x v="0"/>
    <s v="Top trending tracks updated daily!"/>
    <n v="4931"/>
    <n v="469"/>
    <n v="193"/>
    <n v="56701"/>
    <n v="69437"/>
    <n v="291"/>
    <s v="#SoundtrackOfLife,#NowPlaying"/>
    <s v="ChillVibes"/>
    <n v="5593"/>
  </r>
  <r>
    <s v="SP282"/>
    <x v="1"/>
    <d v="2024-02-21T00:00:00"/>
    <x v="1"/>
    <s v="Get into the groove with our new drop!"/>
    <n v="2604"/>
    <n v="439"/>
    <n v="148"/>
    <n v="58468"/>
    <n v="39629"/>
    <n v="163"/>
    <s v="#MusicForEveryone,#NowPlaying"/>
    <s v="ChillVibes"/>
    <n v="3191"/>
  </r>
  <r>
    <s v="SP283"/>
    <x v="0"/>
    <d v="2024-08-27T00:00:00"/>
    <x v="0"/>
    <s v="Music that moves youâ€”only on Spotify."/>
    <n v="4197"/>
    <n v="359"/>
    <n v="280"/>
    <n v="56048"/>
    <n v="70930"/>
    <n v="295"/>
    <s v="#DiscoverWeekly"/>
    <s v="IndieWave"/>
    <n v="4836"/>
  </r>
  <r>
    <s v="SP284"/>
    <x v="0"/>
    <d v="2024-10-24T00:00:00"/>
    <x v="1"/>
    <s v="Top trending tracks updated daily!"/>
    <n v="1914"/>
    <n v="255"/>
    <n v="156"/>
    <n v="27660"/>
    <n v="47776"/>
    <n v="111"/>
    <s v="#NowPlaying"/>
    <s v="Wrapped2024"/>
    <n v="2325"/>
  </r>
  <r>
    <s v="SP285"/>
    <x v="2"/>
    <d v="2025-01-29T00:00:00"/>
    <x v="0"/>
    <s v="New music just dropped. Hit play!"/>
    <n v="1334"/>
    <n v="357"/>
    <n v="257"/>
    <n v="56910"/>
    <n v="70606"/>
    <n v="228"/>
    <s v="#DiscoverWeekly,#SpotifyWrapped"/>
    <s v="IndieWave"/>
    <n v="1948"/>
  </r>
  <r>
    <s v="SP286"/>
    <x v="0"/>
    <d v="2024-05-01T00:00:00"/>
    <x v="0"/>
    <s v="Get into the groove with our new drop!"/>
    <n v="3359"/>
    <n v="137"/>
    <n v="387"/>
    <n v="33861"/>
    <n v="47257"/>
    <n v="198"/>
    <s v="#DiscoverWeekly"/>
    <s v="IndieWave"/>
    <n v="3883"/>
  </r>
  <r>
    <s v="SP287"/>
    <x v="2"/>
    <d v="2024-06-25T00:00:00"/>
    <x v="0"/>
    <s v="Your weekend playlist is waiting."/>
    <n v="2172"/>
    <n v="338"/>
    <n v="70"/>
    <n v="30515"/>
    <n v="57853"/>
    <n v="156"/>
    <s v="#DiscoverWeekly,#SpotifyWrapped"/>
    <s v="IndieWave"/>
    <n v="2580"/>
  </r>
  <r>
    <s v="SP288"/>
    <x v="1"/>
    <d v="2024-08-09T00:00:00"/>
    <x v="1"/>
    <s v="From pop to podcasts, itâ€™s all here."/>
    <n v="4877"/>
    <n v="442"/>
    <n v="236"/>
    <n v="52673"/>
    <n v="48241"/>
    <n v="114"/>
    <s v="#DiscoverWeekly,#MusicForEveryone"/>
    <s v="ChillVibes"/>
    <n v="5555"/>
  </r>
  <r>
    <s v="SP289"/>
    <x v="0"/>
    <d v="2025-01-21T00:00:00"/>
    <x v="1"/>
    <s v="New music just dropped. Hit play!"/>
    <n v="4918"/>
    <n v="440"/>
    <n v="149"/>
    <n v="53269"/>
    <n v="64370"/>
    <n v="269"/>
    <s v="#NowPlaying"/>
    <s v="Wrapped2024"/>
    <n v="5507"/>
  </r>
  <r>
    <s v="SP290"/>
    <x v="1"/>
    <d v="2024-08-13T00:00:00"/>
    <x v="0"/>
    <s v="Explore the latest podcasts now."/>
    <n v="3418"/>
    <n v="107"/>
    <n v="221"/>
    <n v="23927"/>
    <n v="26182"/>
    <n v="155"/>
    <s v="#SoundtrackOfLife"/>
    <s v="IndieWave"/>
    <n v="3746"/>
  </r>
  <r>
    <s v="SP291"/>
    <x v="0"/>
    <d v="2024-06-29T00:00:00"/>
    <x v="0"/>
    <s v="Your weekend playlist is waiting."/>
    <n v="2088"/>
    <n v="490"/>
    <n v="124"/>
    <n v="46544"/>
    <n v="69346"/>
    <n v="178"/>
    <s v="#SoundtrackOfLife,#NowPlaying"/>
    <s v="ChillVibes"/>
    <n v="2702"/>
  </r>
  <r>
    <s v="SP292"/>
    <x v="1"/>
    <d v="2024-11-03T00:00:00"/>
    <x v="1"/>
    <s v="Explore the latest podcasts now."/>
    <n v="3061"/>
    <n v="320"/>
    <n v="76"/>
    <n v="26640"/>
    <n v="24306"/>
    <n v="112"/>
    <s v="#MusicForEveryone,#NowPlaying"/>
    <s v="ChillVibes"/>
    <n v="3457"/>
  </r>
  <r>
    <s v="SP293"/>
    <x v="2"/>
    <d v="2025-04-18T00:00:00"/>
    <x v="2"/>
    <s v="Your weekend playlist is waiting."/>
    <n v="1265"/>
    <n v="230"/>
    <n v="364"/>
    <n v="41312"/>
    <n v="50382"/>
    <n v="106"/>
    <s v="#DiscoverWeekly,#SoundtrackOfLife"/>
    <s v="SummerBeats"/>
    <n v="1859"/>
  </r>
  <r>
    <s v="SP294"/>
    <x v="0"/>
    <d v="2024-12-27T00:00:00"/>
    <x v="0"/>
    <s v="From pop to podcasts, itâ€™s all here."/>
    <n v="1436"/>
    <n v="219"/>
    <n v="229"/>
    <n v="58488"/>
    <n v="24314"/>
    <n v="147"/>
    <s v="#DiscoverWeekly"/>
    <s v="IndieWave"/>
    <n v="1884"/>
  </r>
  <r>
    <s v="SP295"/>
    <x v="0"/>
    <d v="2025-03-08T00:00:00"/>
    <x v="1"/>
    <s v="Top trending tracks updated daily!"/>
    <n v="2244"/>
    <n v="392"/>
    <n v="231"/>
    <n v="25834"/>
    <n v="50906"/>
    <n v="165"/>
    <s v="#NowPlaying"/>
    <s v="Wrapped2024"/>
    <n v="2867"/>
  </r>
  <r>
    <s v="SP296"/>
    <x v="1"/>
    <d v="2025-03-20T00:00:00"/>
    <x v="1"/>
    <s v="Your weekend playlist is waiting."/>
    <n v="3393"/>
    <n v="104"/>
    <n v="79"/>
    <n v="30025"/>
    <n v="21593"/>
    <n v="165"/>
    <s v="#MusicForEveryone,#NowPlaying"/>
    <s v="ChillVibes"/>
    <n v="3576"/>
  </r>
  <r>
    <s v="SP297"/>
    <x v="1"/>
    <d v="2024-11-16T00:00:00"/>
    <x v="0"/>
    <s v="Explore the latest podcasts now."/>
    <n v="2901"/>
    <n v="108"/>
    <n v="86"/>
    <n v="51777"/>
    <n v="23773"/>
    <n v="160"/>
    <s v="#SoundtrackOfLife"/>
    <s v="IndieWave"/>
    <n v="3095"/>
  </r>
  <r>
    <s v="SP298"/>
    <x v="1"/>
    <d v="2025-06-30T00:00:00"/>
    <x v="0"/>
    <s v="Whatâ€™s your vibe today? #SpotifyHits"/>
    <n v="2275"/>
    <n v="285"/>
    <n v="125"/>
    <n v="43970"/>
    <n v="74761"/>
    <n v="83"/>
    <s v="#NowPlaying"/>
    <s v="ChillVibes"/>
    <n v="2685"/>
  </r>
  <r>
    <s v="SP299"/>
    <x v="1"/>
    <d v="2024-01-12T00:00:00"/>
    <x v="1"/>
    <s v="Wrapped is here! Relive your top tracks ðŸŽ§"/>
    <n v="2227"/>
    <n v="494"/>
    <n v="161"/>
    <n v="51651"/>
    <n v="68074"/>
    <n v="240"/>
    <s v="#DiscoverWeekly,#MusicForEveryone"/>
    <s v="ChillVibes"/>
    <n v="2882"/>
  </r>
  <r>
    <s v="SP300"/>
    <x v="0"/>
    <d v="2024-02-07T00:00:00"/>
    <x v="0"/>
    <s v="Music that moves youâ€”only on Spotify."/>
    <n v="1883"/>
    <n v="432"/>
    <n v="397"/>
    <n v="28759"/>
    <n v="18691"/>
    <n v="270"/>
    <s v="#SoundtrackOfLife,#NowPlaying"/>
    <s v="ChillVibes"/>
    <n v="271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  <n v="124562"/>
    <n v="9.92"/>
    <n v="23125"/>
  </r>
  <r>
    <x v="0"/>
    <s v="Twitter"/>
    <n v="995"/>
    <n v="86"/>
    <n v="227958"/>
    <n v="8.0500000000000007"/>
    <n v="22788"/>
  </r>
  <r>
    <x v="0"/>
    <s v="Youtube"/>
    <n v="1472"/>
    <n v="296"/>
    <n v="370242"/>
    <n v="7.72"/>
    <n v="7810"/>
  </r>
  <r>
    <x v="1"/>
    <s v="Instagram"/>
    <n v="1018"/>
    <n v="90"/>
    <n v="92474"/>
    <n v="9.4"/>
    <n v="11966"/>
  </r>
  <r>
    <x v="1"/>
    <s v="Twitter"/>
    <n v="1461"/>
    <n v="64"/>
    <n v="328902"/>
    <n v="9.02"/>
    <n v="26298"/>
  </r>
  <r>
    <x v="1"/>
    <s v="Youtube"/>
    <n v="545"/>
    <n v="93"/>
    <n v="391621"/>
    <n v="9.9600000000000009"/>
    <n v="22029"/>
  </r>
  <r>
    <x v="2"/>
    <s v="Instagram"/>
    <n v="881"/>
    <n v="291"/>
    <n v="95885"/>
    <n v="5.29"/>
    <n v="12391"/>
  </r>
  <r>
    <x v="2"/>
    <s v="Twitter"/>
    <n v="1414"/>
    <n v="131"/>
    <n v="245947"/>
    <n v="8.3000000000000007"/>
    <n v="14477"/>
  </r>
  <r>
    <x v="2"/>
    <s v="Youtube"/>
    <n v="1472"/>
    <n v="170"/>
    <n v="250428"/>
    <n v="4.66"/>
    <n v="25040"/>
  </r>
  <r>
    <x v="3"/>
    <s v="Instagram"/>
    <n v="809"/>
    <n v="197"/>
    <n v="87186"/>
    <n v="9.48"/>
    <n v="22619"/>
  </r>
  <r>
    <x v="3"/>
    <s v="Twitter"/>
    <n v="1371"/>
    <n v="250"/>
    <n v="128620"/>
    <n v="7.11"/>
    <n v="12399"/>
  </r>
  <r>
    <x v="3"/>
    <s v="Youtube"/>
    <n v="844"/>
    <n v="144"/>
    <n v="126015"/>
    <n v="9.65"/>
    <n v="22456"/>
  </r>
  <r>
    <x v="4"/>
    <s v="Instagram"/>
    <n v="786"/>
    <n v="72"/>
    <n v="178615"/>
    <n v="5.43"/>
    <n v="19328"/>
  </r>
  <r>
    <x v="4"/>
    <s v="Twitter"/>
    <n v="845"/>
    <n v="250"/>
    <n v="218228"/>
    <n v="4.5199999999999996"/>
    <n v="21107"/>
  </r>
  <r>
    <x v="4"/>
    <s v="Youtube"/>
    <n v="1218"/>
    <n v="101"/>
    <n v="300397"/>
    <n v="4.33"/>
    <n v="12277"/>
  </r>
  <r>
    <x v="5"/>
    <s v="Instagram"/>
    <n v="797"/>
    <n v="130"/>
    <n v="340121"/>
    <n v="8.52"/>
    <n v="11684"/>
  </r>
  <r>
    <x v="5"/>
    <s v="Twitter"/>
    <n v="1471"/>
    <n v="100"/>
    <n v="76866"/>
    <n v="8.5500000000000007"/>
    <n v="14412"/>
  </r>
  <r>
    <x v="5"/>
    <s v="Youtube"/>
    <n v="1253"/>
    <n v="136"/>
    <n v="193131"/>
    <n v="7.99"/>
    <n v="15924"/>
  </r>
  <r>
    <x v="6"/>
    <s v="Instagram"/>
    <n v="616"/>
    <n v="257"/>
    <n v="169665"/>
    <n v="6.31"/>
    <n v="12390"/>
  </r>
  <r>
    <x v="6"/>
    <s v="Twitter"/>
    <n v="1308"/>
    <n v="210"/>
    <n v="263729"/>
    <n v="8.5299999999999994"/>
    <n v="25742"/>
  </r>
  <r>
    <x v="6"/>
    <s v="Youtube"/>
    <n v="981"/>
    <n v="69"/>
    <n v="206921"/>
    <n v="8.42"/>
    <n v="10495"/>
  </r>
  <r>
    <x v="7"/>
    <s v="Instagram"/>
    <n v="866"/>
    <n v="74"/>
    <n v="204121"/>
    <n v="9.34"/>
    <n v="7797"/>
  </r>
  <r>
    <x v="7"/>
    <s v="Twitter"/>
    <n v="547"/>
    <n v="183"/>
    <n v="266350"/>
    <n v="5.65"/>
    <n v="15595"/>
  </r>
  <r>
    <x v="7"/>
    <s v="Youtube"/>
    <n v="1241"/>
    <n v="116"/>
    <n v="380606"/>
    <n v="4.2"/>
    <n v="24617"/>
  </r>
  <r>
    <x v="8"/>
    <s v="Instagram"/>
    <n v="973"/>
    <n v="104"/>
    <n v="376358"/>
    <n v="3.87"/>
    <n v="9847"/>
  </r>
  <r>
    <x v="8"/>
    <s v="Twitter"/>
    <n v="611"/>
    <n v="197"/>
    <n v="79423"/>
    <n v="5.82"/>
    <n v="13644"/>
  </r>
  <r>
    <x v="8"/>
    <s v="Youtube"/>
    <n v="983"/>
    <n v="134"/>
    <n v="352178"/>
    <n v="3.55"/>
    <n v="11421"/>
  </r>
  <r>
    <x v="9"/>
    <s v="Instagram"/>
    <n v="1449"/>
    <n v="96"/>
    <n v="200636"/>
    <n v="9.92"/>
    <n v="15613"/>
  </r>
  <r>
    <x v="9"/>
    <s v="Twitter"/>
    <n v="752"/>
    <n v="170"/>
    <n v="132756"/>
    <n v="8.17"/>
    <n v="23900"/>
  </r>
  <r>
    <x v="9"/>
    <s v="Youtube"/>
    <n v="937"/>
    <n v="179"/>
    <n v="318098"/>
    <n v="5.3"/>
    <n v="5836"/>
  </r>
  <r>
    <x v="10"/>
    <s v="Instagram"/>
    <n v="1060"/>
    <n v="83"/>
    <n v="68724"/>
    <n v="5.98"/>
    <n v="5624"/>
  </r>
  <r>
    <x v="10"/>
    <s v="Twitter"/>
    <n v="1456"/>
    <n v="265"/>
    <n v="115505"/>
    <n v="7.49"/>
    <n v="10311"/>
  </r>
  <r>
    <x v="10"/>
    <s v="Youtube"/>
    <n v="1109"/>
    <n v="205"/>
    <n v="276722"/>
    <n v="9.3800000000000008"/>
    <n v="8274"/>
  </r>
  <r>
    <x v="11"/>
    <s v="Instagram"/>
    <n v="1002"/>
    <n v="93"/>
    <n v="353538"/>
    <n v="5.84"/>
    <n v="6031"/>
  </r>
  <r>
    <x v="11"/>
    <s v="Twitter"/>
    <n v="571"/>
    <n v="189"/>
    <n v="61445"/>
    <n v="5.41"/>
    <n v="27829"/>
  </r>
  <r>
    <x v="11"/>
    <s v="Youtube"/>
    <n v="1240"/>
    <n v="231"/>
    <n v="165035"/>
    <n v="6.05"/>
    <n v="18267"/>
  </r>
  <r>
    <x v="12"/>
    <s v="Instagram"/>
    <n v="1154"/>
    <n v="132"/>
    <n v="194595"/>
    <n v="7.54"/>
    <n v="26624"/>
  </r>
  <r>
    <x v="12"/>
    <s v="Twitter"/>
    <n v="537"/>
    <n v="275"/>
    <n v="236238"/>
    <n v="5.87"/>
    <n v="26644"/>
  </r>
  <r>
    <x v="12"/>
    <s v="Youtube"/>
    <n v="1456"/>
    <n v="290"/>
    <n v="271044"/>
    <n v="7.17"/>
    <n v="13051"/>
  </r>
  <r>
    <x v="13"/>
    <s v="Instagram"/>
    <n v="721"/>
    <n v="206"/>
    <n v="334887"/>
    <n v="6.05"/>
    <n v="14217"/>
  </r>
  <r>
    <x v="13"/>
    <s v="Twitter"/>
    <n v="1098"/>
    <n v="142"/>
    <n v="359150"/>
    <n v="7.51"/>
    <n v="16385"/>
  </r>
  <r>
    <x v="13"/>
    <s v="Youtube"/>
    <n v="1096"/>
    <n v="65"/>
    <n v="358295"/>
    <n v="7.66"/>
    <n v="24548"/>
  </r>
  <r>
    <x v="14"/>
    <s v="Instagram"/>
    <n v="912"/>
    <n v="275"/>
    <n v="368454"/>
    <n v="6.03"/>
    <n v="9195"/>
  </r>
  <r>
    <x v="14"/>
    <s v="Twitter"/>
    <n v="1430"/>
    <n v="162"/>
    <n v="269082"/>
    <n v="3.4"/>
    <n v="18071"/>
  </r>
  <r>
    <x v="14"/>
    <s v="Youtube"/>
    <n v="854"/>
    <n v="129"/>
    <n v="310903"/>
    <n v="7.83"/>
    <n v="16875"/>
  </r>
  <r>
    <x v="15"/>
    <s v="Instagram"/>
    <n v="681"/>
    <n v="210"/>
    <n v="248581"/>
    <n v="8.76"/>
    <n v="9567"/>
  </r>
  <r>
    <x v="15"/>
    <s v="Twitter"/>
    <n v="1373"/>
    <n v="82"/>
    <n v="371015"/>
    <n v="9.52"/>
    <n v="20306"/>
  </r>
  <r>
    <x v="15"/>
    <s v="Youtube"/>
    <n v="685"/>
    <n v="285"/>
    <n v="177452"/>
    <n v="3.36"/>
    <n v="21134"/>
  </r>
  <r>
    <x v="16"/>
    <s v="Instagram"/>
    <n v="1290"/>
    <n v="177"/>
    <n v="80745"/>
    <n v="9.2200000000000006"/>
    <n v="26872"/>
  </r>
  <r>
    <x v="16"/>
    <s v="Twitter"/>
    <n v="1437"/>
    <n v="239"/>
    <n v="362441"/>
    <n v="5.57"/>
    <n v="10253"/>
  </r>
  <r>
    <x v="16"/>
    <s v="Youtube"/>
    <n v="769"/>
    <n v="295"/>
    <n v="344771"/>
    <n v="8.06"/>
    <n v="23963"/>
  </r>
  <r>
    <x v="17"/>
    <s v="Instagram"/>
    <n v="1416"/>
    <n v="284"/>
    <n v="374952"/>
    <n v="3.45"/>
    <n v="11335"/>
  </r>
  <r>
    <x v="17"/>
    <s v="Twitter"/>
    <n v="998"/>
    <n v="154"/>
    <n v="179781"/>
    <n v="9.58"/>
    <n v="12115"/>
  </r>
  <r>
    <x v="17"/>
    <s v="Youtube"/>
    <n v="1421"/>
    <n v="246"/>
    <n v="358581"/>
    <n v="8.8800000000000008"/>
    <n v="24358"/>
  </r>
  <r>
    <x v="18"/>
    <s v="Instagram"/>
    <n v="764"/>
    <n v="205"/>
    <n v="319294"/>
    <n v="6.23"/>
    <n v="12181"/>
  </r>
  <r>
    <x v="18"/>
    <s v="Twitter"/>
    <n v="678"/>
    <n v="124"/>
    <n v="192022"/>
    <n v="8.4499999999999993"/>
    <n v="17729"/>
  </r>
  <r>
    <x v="18"/>
    <s v="Youtube"/>
    <n v="1328"/>
    <n v="103"/>
    <n v="151462"/>
    <n v="8.4"/>
    <n v="10881"/>
  </r>
  <r>
    <x v="19"/>
    <s v="Instagram"/>
    <n v="1161"/>
    <n v="269"/>
    <n v="188193"/>
    <n v="7.34"/>
    <n v="18576"/>
  </r>
  <r>
    <x v="19"/>
    <s v="Twitter"/>
    <n v="588"/>
    <n v="52"/>
    <n v="292040"/>
    <n v="8.14"/>
    <n v="9383"/>
  </r>
  <r>
    <x v="19"/>
    <s v="Youtube"/>
    <n v="1457"/>
    <n v="215"/>
    <n v="325325"/>
    <n v="9.58"/>
    <n v="14178"/>
  </r>
  <r>
    <x v="20"/>
    <s v="Instagram"/>
    <n v="1190"/>
    <n v="242"/>
    <n v="86849"/>
    <n v="8.06"/>
    <n v="21254"/>
  </r>
  <r>
    <x v="20"/>
    <s v="Twitter"/>
    <n v="886"/>
    <n v="124"/>
    <n v="141161"/>
    <n v="8.19"/>
    <n v="14215"/>
  </r>
  <r>
    <x v="20"/>
    <s v="Youtube"/>
    <n v="1237"/>
    <n v="155"/>
    <n v="149916"/>
    <n v="4.4800000000000004"/>
    <n v="16921"/>
  </r>
  <r>
    <x v="21"/>
    <s v="Instagram"/>
    <n v="1435"/>
    <n v="261"/>
    <n v="308533"/>
    <n v="4.5199999999999996"/>
    <n v="25130"/>
  </r>
  <r>
    <x v="21"/>
    <s v="Twitter"/>
    <n v="746"/>
    <n v="282"/>
    <n v="293894"/>
    <n v="5.42"/>
    <n v="25537"/>
  </r>
  <r>
    <x v="21"/>
    <s v="Youtube"/>
    <n v="759"/>
    <n v="216"/>
    <n v="147656"/>
    <n v="4.08"/>
    <n v="24943"/>
  </r>
  <r>
    <x v="22"/>
    <s v="Instagram"/>
    <n v="1437"/>
    <n v="235"/>
    <n v="326791"/>
    <n v="4.0599999999999996"/>
    <n v="14563"/>
  </r>
  <r>
    <x v="22"/>
    <s v="Twitter"/>
    <n v="1463"/>
    <n v="73"/>
    <n v="348877"/>
    <n v="9.91"/>
    <n v="26273"/>
  </r>
  <r>
    <x v="22"/>
    <s v="Youtube"/>
    <n v="1208"/>
    <n v="224"/>
    <n v="122730"/>
    <n v="8.7200000000000006"/>
    <n v="10858"/>
  </r>
  <r>
    <x v="23"/>
    <s v="Instagram"/>
    <n v="1391"/>
    <n v="187"/>
    <n v="306508"/>
    <n v="8.3800000000000008"/>
    <n v="25038"/>
  </r>
  <r>
    <x v="23"/>
    <s v="Twitter"/>
    <n v="655"/>
    <n v="123"/>
    <n v="202472"/>
    <n v="7.56"/>
    <n v="9092"/>
  </r>
  <r>
    <x v="23"/>
    <s v="Youtube"/>
    <n v="1148"/>
    <n v="90"/>
    <n v="227249"/>
    <n v="7.24"/>
    <n v="17662"/>
  </r>
  <r>
    <x v="24"/>
    <s v="Instagram"/>
    <n v="946"/>
    <n v="270"/>
    <n v="246567"/>
    <n v="4.53"/>
    <n v="5924"/>
  </r>
  <r>
    <x v="24"/>
    <s v="Twitter"/>
    <n v="791"/>
    <n v="214"/>
    <n v="114738"/>
    <n v="6.62"/>
    <n v="25347"/>
  </r>
  <r>
    <x v="24"/>
    <s v="Youtube"/>
    <n v="793"/>
    <n v="111"/>
    <n v="333500"/>
    <n v="6.36"/>
    <n v="8910"/>
  </r>
  <r>
    <x v="25"/>
    <s v="Instagram"/>
    <n v="663"/>
    <n v="213"/>
    <n v="352677"/>
    <n v="9"/>
    <n v="20438"/>
  </r>
  <r>
    <x v="25"/>
    <s v="Twitter"/>
    <n v="954"/>
    <n v="271"/>
    <n v="160936"/>
    <n v="8.83"/>
    <n v="8760"/>
  </r>
  <r>
    <x v="25"/>
    <s v="Youtube"/>
    <n v="1313"/>
    <n v="159"/>
    <n v="197183"/>
    <n v="9.7100000000000009"/>
    <n v="6625"/>
  </r>
  <r>
    <x v="26"/>
    <s v="Instagram"/>
    <n v="895"/>
    <n v="87"/>
    <n v="171271"/>
    <n v="6.68"/>
    <n v="23329"/>
  </r>
  <r>
    <x v="26"/>
    <s v="Twitter"/>
    <n v="1027"/>
    <n v="156"/>
    <n v="111293"/>
    <n v="5.51"/>
    <n v="7299"/>
  </r>
  <r>
    <x v="26"/>
    <s v="Youtube"/>
    <n v="990"/>
    <n v="286"/>
    <n v="351493"/>
    <n v="7.97"/>
    <n v="14496"/>
  </r>
  <r>
    <x v="27"/>
    <s v="Instagram"/>
    <n v="875"/>
    <n v="264"/>
    <n v="345631"/>
    <n v="9.18"/>
    <n v="25703"/>
  </r>
  <r>
    <x v="27"/>
    <s v="Twitter"/>
    <n v="599"/>
    <n v="194"/>
    <n v="105622"/>
    <n v="6.44"/>
    <n v="15108"/>
  </r>
  <r>
    <x v="27"/>
    <s v="Youtube"/>
    <n v="630"/>
    <n v="248"/>
    <n v="119054"/>
    <n v="5.0199999999999996"/>
    <n v="18867"/>
  </r>
  <r>
    <x v="28"/>
    <s v="Instagram"/>
    <n v="1350"/>
    <n v="233"/>
    <n v="171670"/>
    <n v="4.53"/>
    <n v="17574"/>
  </r>
  <r>
    <x v="28"/>
    <s v="Twitter"/>
    <n v="632"/>
    <n v="155"/>
    <n v="170432"/>
    <n v="9.17"/>
    <n v="12840"/>
  </r>
  <r>
    <x v="28"/>
    <s v="Youtube"/>
    <n v="1182"/>
    <n v="83"/>
    <n v="140300"/>
    <n v="3.27"/>
    <n v="21079"/>
  </r>
  <r>
    <x v="29"/>
    <s v="Instagram"/>
    <n v="661"/>
    <n v="94"/>
    <n v="116538"/>
    <n v="5.31"/>
    <n v="23486"/>
  </r>
  <r>
    <x v="29"/>
    <s v="Twitter"/>
    <n v="1360"/>
    <n v="227"/>
    <n v="176902"/>
    <n v="6.03"/>
    <n v="5960"/>
  </r>
  <r>
    <x v="29"/>
    <s v="Youtube"/>
    <n v="935"/>
    <n v="85"/>
    <n v="326821"/>
    <n v="8.89"/>
    <n v="13301"/>
  </r>
  <r>
    <x v="30"/>
    <s v="Instagram"/>
    <n v="664"/>
    <n v="251"/>
    <n v="240598"/>
    <n v="4.79"/>
    <n v="10563"/>
  </r>
  <r>
    <x v="30"/>
    <s v="Twitter"/>
    <n v="1490"/>
    <n v="103"/>
    <n v="373274"/>
    <n v="4.8"/>
    <n v="19949"/>
  </r>
  <r>
    <x v="30"/>
    <s v="Youtube"/>
    <n v="601"/>
    <n v="64"/>
    <n v="123272"/>
    <n v="4.07"/>
    <n v="14273"/>
  </r>
  <r>
    <x v="31"/>
    <s v="Instagram"/>
    <n v="613"/>
    <n v="170"/>
    <n v="139266"/>
    <n v="6.06"/>
    <n v="9247"/>
  </r>
  <r>
    <x v="31"/>
    <s v="Twitter"/>
    <n v="1340"/>
    <n v="57"/>
    <n v="155927"/>
    <n v="7.79"/>
    <n v="11972"/>
  </r>
  <r>
    <x v="31"/>
    <s v="Youtube"/>
    <n v="953"/>
    <n v="228"/>
    <n v="258398"/>
    <n v="9.0500000000000007"/>
    <n v="13314"/>
  </r>
  <r>
    <x v="32"/>
    <s v="Instagram"/>
    <n v="532"/>
    <n v="65"/>
    <n v="338561"/>
    <n v="3.5"/>
    <n v="14749"/>
  </r>
  <r>
    <x v="32"/>
    <s v="Twitter"/>
    <n v="1414"/>
    <n v="60"/>
    <n v="341856"/>
    <n v="8.76"/>
    <n v="6868"/>
  </r>
  <r>
    <x v="32"/>
    <s v="Youtube"/>
    <n v="685"/>
    <n v="165"/>
    <n v="175860"/>
    <n v="6.26"/>
    <n v="6027"/>
  </r>
  <r>
    <x v="33"/>
    <s v="Instagram"/>
    <n v="601"/>
    <n v="159"/>
    <n v="327722"/>
    <n v="3.33"/>
    <n v="25267"/>
  </r>
  <r>
    <x v="33"/>
    <s v="Twitter"/>
    <n v="841"/>
    <n v="295"/>
    <n v="271638"/>
    <n v="9.15"/>
    <n v="5900"/>
  </r>
  <r>
    <x v="33"/>
    <s v="Youtube"/>
    <n v="1105"/>
    <n v="261"/>
    <n v="333851"/>
    <n v="6.03"/>
    <n v="11181"/>
  </r>
  <r>
    <x v="34"/>
    <s v="Instagram"/>
    <n v="566"/>
    <n v="225"/>
    <n v="368984"/>
    <n v="9.82"/>
    <n v="9592"/>
  </r>
  <r>
    <x v="34"/>
    <s v="Twitter"/>
    <n v="1149"/>
    <n v="280"/>
    <n v="167310"/>
    <n v="3.7"/>
    <n v="5291"/>
  </r>
  <r>
    <x v="34"/>
    <s v="Youtube"/>
    <n v="819"/>
    <n v="101"/>
    <n v="194811"/>
    <n v="3.35"/>
    <n v="22244"/>
  </r>
  <r>
    <x v="35"/>
    <s v="Instagram"/>
    <n v="795"/>
    <n v="60"/>
    <n v="314982"/>
    <n v="7.31"/>
    <n v="6824"/>
  </r>
  <r>
    <x v="35"/>
    <s v="Twitter"/>
    <n v="681"/>
    <n v="158"/>
    <n v="75960"/>
    <n v="3.13"/>
    <n v="24112"/>
  </r>
  <r>
    <x v="35"/>
    <s v="Youtube"/>
    <n v="534"/>
    <n v="112"/>
    <n v="360759"/>
    <n v="4.8899999999999997"/>
    <n v="25478"/>
  </r>
  <r>
    <x v="36"/>
    <s v="Instagram"/>
    <n v="1066"/>
    <n v="151"/>
    <n v="297090"/>
    <n v="8.6300000000000008"/>
    <n v="11235"/>
  </r>
  <r>
    <x v="36"/>
    <s v="Twitter"/>
    <n v="1270"/>
    <n v="162"/>
    <n v="92040"/>
    <n v="8.0299999999999994"/>
    <n v="6120"/>
  </r>
  <r>
    <x v="36"/>
    <s v="Youtube"/>
    <n v="536"/>
    <n v="198"/>
    <n v="174610"/>
    <n v="7.85"/>
    <n v="20572"/>
  </r>
  <r>
    <x v="37"/>
    <s v="Instagram"/>
    <n v="819"/>
    <n v="95"/>
    <n v="177376"/>
    <n v="6.12"/>
    <n v="14975"/>
  </r>
  <r>
    <x v="37"/>
    <s v="Twitter"/>
    <n v="681"/>
    <n v="218"/>
    <n v="198882"/>
    <n v="7.16"/>
    <n v="22234"/>
  </r>
  <r>
    <x v="37"/>
    <s v="Youtube"/>
    <n v="646"/>
    <n v="290"/>
    <n v="336383"/>
    <n v="7.04"/>
    <n v="6532"/>
  </r>
  <r>
    <x v="38"/>
    <s v="Instagram"/>
    <n v="645"/>
    <n v="267"/>
    <n v="346890"/>
    <n v="3.71"/>
    <n v="24858"/>
  </r>
  <r>
    <x v="38"/>
    <s v="Twitter"/>
    <n v="886"/>
    <n v="250"/>
    <n v="168170"/>
    <n v="4.12"/>
    <n v="13883"/>
  </r>
  <r>
    <x v="38"/>
    <s v="Youtube"/>
    <n v="978"/>
    <n v="279"/>
    <n v="368872"/>
    <n v="6.82"/>
    <n v="18654"/>
  </r>
  <r>
    <x v="39"/>
    <s v="Instagram"/>
    <n v="1444"/>
    <n v="165"/>
    <n v="116436"/>
    <n v="8.2200000000000006"/>
    <n v="25234"/>
  </r>
  <r>
    <x v="39"/>
    <s v="Twitter"/>
    <n v="1234"/>
    <n v="228"/>
    <n v="127502"/>
    <n v="7.71"/>
    <n v="6772"/>
  </r>
  <r>
    <x v="39"/>
    <s v="Youtube"/>
    <n v="665"/>
    <n v="187"/>
    <n v="274567"/>
    <n v="7.39"/>
    <n v="22428"/>
  </r>
  <r>
    <x v="40"/>
    <s v="Instagram"/>
    <n v="631"/>
    <n v="86"/>
    <n v="295090"/>
    <n v="7.89"/>
    <n v="11911"/>
  </r>
  <r>
    <x v="40"/>
    <s v="Twitter"/>
    <n v="1159"/>
    <n v="154"/>
    <n v="194994"/>
    <n v="6.39"/>
    <n v="21900"/>
  </r>
  <r>
    <x v="40"/>
    <s v="Youtube"/>
    <n v="950"/>
    <n v="185"/>
    <n v="340750"/>
    <n v="6.77"/>
    <n v="25542"/>
  </r>
  <r>
    <x v="41"/>
    <s v="Instagram"/>
    <n v="693"/>
    <n v="129"/>
    <n v="296031"/>
    <n v="3.41"/>
    <n v="7140"/>
  </r>
  <r>
    <x v="41"/>
    <s v="Twitter"/>
    <n v="576"/>
    <n v="80"/>
    <n v="345688"/>
    <n v="4.1100000000000003"/>
    <n v="20474"/>
  </r>
  <r>
    <x v="41"/>
    <s v="Youtube"/>
    <n v="1274"/>
    <n v="146"/>
    <n v="263488"/>
    <n v="9.58"/>
    <n v="8698"/>
  </r>
  <r>
    <x v="42"/>
    <s v="Instagram"/>
    <n v="818"/>
    <n v="253"/>
    <n v="184911"/>
    <n v="3.39"/>
    <n v="10402"/>
  </r>
  <r>
    <x v="42"/>
    <s v="Twitter"/>
    <n v="975"/>
    <n v="162"/>
    <n v="124497"/>
    <n v="9.58"/>
    <n v="26618"/>
  </r>
  <r>
    <x v="42"/>
    <s v="Youtube"/>
    <n v="1398"/>
    <n v="97"/>
    <n v="397607"/>
    <n v="5.09"/>
    <n v="7975"/>
  </r>
  <r>
    <x v="43"/>
    <s v="Instagram"/>
    <n v="591"/>
    <n v="155"/>
    <n v="138521"/>
    <n v="7.85"/>
    <n v="19054"/>
  </r>
  <r>
    <x v="43"/>
    <s v="Twitter"/>
    <n v="1232"/>
    <n v="254"/>
    <n v="107718"/>
    <n v="9.7100000000000009"/>
    <n v="13740"/>
  </r>
  <r>
    <x v="43"/>
    <s v="Youtube"/>
    <n v="1425"/>
    <n v="58"/>
    <n v="202234"/>
    <n v="6.67"/>
    <n v="18442"/>
  </r>
  <r>
    <x v="44"/>
    <s v="Instagram"/>
    <n v="1417"/>
    <n v="80"/>
    <n v="340987"/>
    <n v="6.13"/>
    <n v="10104"/>
  </r>
  <r>
    <x v="44"/>
    <s v="Twitter"/>
    <n v="1222"/>
    <n v="208"/>
    <n v="340098"/>
    <n v="7.34"/>
    <n v="21771"/>
  </r>
  <r>
    <x v="44"/>
    <s v="Youtube"/>
    <n v="1071"/>
    <n v="131"/>
    <n v="254727"/>
    <n v="6.87"/>
    <n v="22191"/>
  </r>
  <r>
    <x v="45"/>
    <s v="Instagram"/>
    <n v="772"/>
    <n v="82"/>
    <n v="345659"/>
    <n v="3.52"/>
    <n v="27753"/>
  </r>
  <r>
    <x v="45"/>
    <s v="Twitter"/>
    <n v="1472"/>
    <n v="137"/>
    <n v="213950"/>
    <n v="6.96"/>
    <n v="23736"/>
  </r>
  <r>
    <x v="45"/>
    <s v="Youtube"/>
    <n v="1472"/>
    <n v="281"/>
    <n v="258115"/>
    <n v="7.23"/>
    <n v="27393"/>
  </r>
  <r>
    <x v="46"/>
    <s v="Instagram"/>
    <n v="585"/>
    <n v="232"/>
    <n v="321258"/>
    <n v="7.42"/>
    <n v="10343"/>
  </r>
  <r>
    <x v="46"/>
    <s v="Twitter"/>
    <n v="747"/>
    <n v="261"/>
    <n v="338650"/>
    <n v="7.73"/>
    <n v="25259"/>
  </r>
  <r>
    <x v="46"/>
    <s v="Youtube"/>
    <n v="1113"/>
    <n v="224"/>
    <n v="272989"/>
    <n v="5.13"/>
    <n v="24827"/>
  </r>
  <r>
    <x v="47"/>
    <s v="Instagram"/>
    <n v="1100"/>
    <n v="117"/>
    <n v="260204"/>
    <n v="4.4000000000000004"/>
    <n v="11908"/>
  </r>
  <r>
    <x v="47"/>
    <s v="Twitter"/>
    <n v="751"/>
    <n v="170"/>
    <n v="283278"/>
    <n v="3.49"/>
    <n v="11005"/>
  </r>
  <r>
    <x v="47"/>
    <s v="Youtube"/>
    <n v="864"/>
    <n v="50"/>
    <n v="277445"/>
    <n v="3.57"/>
    <n v="26333"/>
  </r>
  <r>
    <x v="48"/>
    <s v="Instagram"/>
    <n v="1146"/>
    <n v="227"/>
    <n v="353781"/>
    <n v="6.41"/>
    <n v="5495"/>
  </r>
  <r>
    <x v="48"/>
    <s v="Twitter"/>
    <n v="883"/>
    <n v="207"/>
    <n v="265019"/>
    <n v="6.04"/>
    <n v="15655"/>
  </r>
  <r>
    <x v="48"/>
    <s v="Youtube"/>
    <n v="622"/>
    <n v="163"/>
    <n v="231925"/>
    <n v="9.18"/>
    <n v="13763"/>
  </r>
  <r>
    <x v="49"/>
    <s v="Instagram"/>
    <n v="837"/>
    <n v="261"/>
    <n v="366149"/>
    <n v="6.54"/>
    <n v="26073"/>
  </r>
  <r>
    <x v="49"/>
    <s v="Twitter"/>
    <n v="544"/>
    <n v="97"/>
    <n v="168375"/>
    <n v="8.66"/>
    <n v="12774"/>
  </r>
  <r>
    <x v="49"/>
    <s v="Youtube"/>
    <n v="624"/>
    <n v="247"/>
    <n v="252763"/>
    <n v="3.89"/>
    <n v="19000"/>
  </r>
  <r>
    <x v="50"/>
    <s v="Instagram"/>
    <n v="1073"/>
    <n v="141"/>
    <n v="118393"/>
    <n v="7.95"/>
    <n v="14051"/>
  </r>
  <r>
    <x v="50"/>
    <s v="Twitter"/>
    <n v="1430"/>
    <n v="74"/>
    <n v="327012"/>
    <n v="6.66"/>
    <n v="27782"/>
  </r>
  <r>
    <x v="50"/>
    <s v="Youtube"/>
    <n v="1358"/>
    <n v="77"/>
    <n v="169688"/>
    <n v="5.25"/>
    <n v="7859"/>
  </r>
  <r>
    <x v="51"/>
    <s v="Instagram"/>
    <n v="1242"/>
    <n v="201"/>
    <n v="271935"/>
    <n v="5.07"/>
    <n v="15773"/>
  </r>
  <r>
    <x v="51"/>
    <s v="Twitter"/>
    <n v="1389"/>
    <n v="205"/>
    <n v="315981"/>
    <n v="7.62"/>
    <n v="20595"/>
  </r>
  <r>
    <x v="51"/>
    <s v="Youtube"/>
    <n v="826"/>
    <n v="142"/>
    <n v="341016"/>
    <n v="7.44"/>
    <n v="12031"/>
  </r>
  <r>
    <x v="52"/>
    <s v="Instagram"/>
    <n v="618"/>
    <n v="264"/>
    <n v="285164"/>
    <n v="4.8600000000000003"/>
    <n v="15128"/>
  </r>
  <r>
    <x v="52"/>
    <s v="Twitter"/>
    <n v="1419"/>
    <n v="293"/>
    <n v="116632"/>
    <n v="6.93"/>
    <n v="11826"/>
  </r>
  <r>
    <x v="52"/>
    <s v="Youtube"/>
    <n v="637"/>
    <n v="68"/>
    <n v="115694"/>
    <n v="9.99"/>
    <n v="12562"/>
  </r>
  <r>
    <x v="53"/>
    <s v="Instagram"/>
    <n v="917"/>
    <n v="187"/>
    <n v="64444"/>
    <n v="5.22"/>
    <n v="13013"/>
  </r>
  <r>
    <x v="53"/>
    <s v="Twitter"/>
    <n v="810"/>
    <n v="232"/>
    <n v="362559"/>
    <n v="5.17"/>
    <n v="12937"/>
  </r>
  <r>
    <x v="53"/>
    <s v="Youtube"/>
    <n v="1183"/>
    <n v="248"/>
    <n v="226881"/>
    <n v="5.17"/>
    <n v="14534"/>
  </r>
  <r>
    <x v="54"/>
    <s v="Instagram"/>
    <n v="765"/>
    <n v="67"/>
    <n v="283537"/>
    <n v="6.18"/>
    <n v="8182"/>
  </r>
  <r>
    <x v="54"/>
    <s v="Twitter"/>
    <n v="540"/>
    <n v="215"/>
    <n v="62837"/>
    <n v="5.3"/>
    <n v="10615"/>
  </r>
  <r>
    <x v="54"/>
    <s v="Youtube"/>
    <n v="1145"/>
    <n v="151"/>
    <n v="182759"/>
    <n v="5.99"/>
    <n v="20109"/>
  </r>
  <r>
    <x v="55"/>
    <s v="Instagram"/>
    <n v="564"/>
    <n v="244"/>
    <n v="279405"/>
    <n v="8.43"/>
    <n v="26024"/>
  </r>
  <r>
    <x v="55"/>
    <s v="Twitter"/>
    <n v="668"/>
    <n v="124"/>
    <n v="257485"/>
    <n v="7.55"/>
    <n v="26730"/>
  </r>
  <r>
    <x v="55"/>
    <s v="Youtube"/>
    <n v="761"/>
    <n v="241"/>
    <n v="154977"/>
    <n v="5.63"/>
    <n v="10563"/>
  </r>
  <r>
    <x v="56"/>
    <s v="Instagram"/>
    <n v="593"/>
    <n v="108"/>
    <n v="216500"/>
    <n v="4.71"/>
    <n v="27575"/>
  </r>
  <r>
    <x v="56"/>
    <s v="Twitter"/>
    <n v="1349"/>
    <n v="115"/>
    <n v="102102"/>
    <n v="5.28"/>
    <n v="14479"/>
  </r>
  <r>
    <x v="56"/>
    <s v="Youtube"/>
    <n v="693"/>
    <n v="97"/>
    <n v="92025"/>
    <n v="5.95"/>
    <n v="15915"/>
  </r>
  <r>
    <x v="57"/>
    <s v="Instagram"/>
    <n v="974"/>
    <n v="143"/>
    <n v="247965"/>
    <n v="9.98"/>
    <n v="12767"/>
  </r>
  <r>
    <x v="57"/>
    <s v="Twitter"/>
    <n v="1155"/>
    <n v="122"/>
    <n v="387352"/>
    <n v="9.93"/>
    <n v="12170"/>
  </r>
  <r>
    <x v="57"/>
    <s v="Youtube"/>
    <n v="1051"/>
    <n v="246"/>
    <n v="253985"/>
    <n v="9.08"/>
    <n v="7245"/>
  </r>
  <r>
    <x v="58"/>
    <s v="Instagram"/>
    <n v="1457"/>
    <n v="183"/>
    <n v="129640"/>
    <n v="7.98"/>
    <n v="12985"/>
  </r>
  <r>
    <x v="58"/>
    <s v="Twitter"/>
    <n v="670"/>
    <n v="242"/>
    <n v="281913"/>
    <n v="9.6199999999999992"/>
    <n v="16377"/>
  </r>
  <r>
    <x v="58"/>
    <s v="Youtube"/>
    <n v="1111"/>
    <n v="159"/>
    <n v="360770"/>
    <n v="8.7100000000000009"/>
    <n v="11453"/>
  </r>
  <r>
    <x v="59"/>
    <s v="Instagram"/>
    <n v="1197"/>
    <n v="246"/>
    <n v="127273"/>
    <n v="6.69"/>
    <n v="12323"/>
  </r>
  <r>
    <x v="59"/>
    <s v="Twitter"/>
    <n v="754"/>
    <n v="150"/>
    <n v="189622"/>
    <n v="4.25"/>
    <n v="11911"/>
  </r>
  <r>
    <x v="59"/>
    <s v="Youtube"/>
    <n v="1246"/>
    <n v="107"/>
    <n v="350949"/>
    <n v="4.9800000000000004"/>
    <n v="27809"/>
  </r>
  <r>
    <x v="60"/>
    <s v="Instagram"/>
    <n v="780"/>
    <n v="213"/>
    <n v="121431"/>
    <n v="4.97"/>
    <n v="21464"/>
  </r>
  <r>
    <x v="60"/>
    <s v="Twitter"/>
    <n v="1425"/>
    <n v="143"/>
    <n v="116742"/>
    <n v="3.71"/>
    <n v="27126"/>
  </r>
  <r>
    <x v="60"/>
    <s v="Youtube"/>
    <n v="1490"/>
    <n v="103"/>
    <n v="81184"/>
    <n v="7.79"/>
    <n v="10681"/>
  </r>
  <r>
    <x v="61"/>
    <s v="Instagram"/>
    <n v="949"/>
    <n v="282"/>
    <n v="87126"/>
    <n v="4.96"/>
    <n v="5413"/>
  </r>
  <r>
    <x v="61"/>
    <s v="Twitter"/>
    <n v="640"/>
    <n v="141"/>
    <n v="267546"/>
    <n v="8.58"/>
    <n v="25058"/>
  </r>
  <r>
    <x v="61"/>
    <s v="Youtube"/>
    <n v="616"/>
    <n v="93"/>
    <n v="133082"/>
    <n v="8.51"/>
    <n v="18303"/>
  </r>
  <r>
    <x v="62"/>
    <s v="Instagram"/>
    <n v="1080"/>
    <n v="184"/>
    <n v="340557"/>
    <n v="5.41"/>
    <n v="5526"/>
  </r>
  <r>
    <x v="62"/>
    <s v="Twitter"/>
    <n v="938"/>
    <n v="236"/>
    <n v="116472"/>
    <n v="8.7200000000000006"/>
    <n v="17460"/>
  </r>
  <r>
    <x v="62"/>
    <s v="Youtube"/>
    <n v="1007"/>
    <n v="258"/>
    <n v="113412"/>
    <n v="7.71"/>
    <n v="14475"/>
  </r>
  <r>
    <x v="63"/>
    <s v="Instagram"/>
    <n v="541"/>
    <n v="208"/>
    <n v="157547"/>
    <n v="8.35"/>
    <n v="20162"/>
  </r>
  <r>
    <x v="63"/>
    <s v="Twitter"/>
    <n v="745"/>
    <n v="98"/>
    <n v="354816"/>
    <n v="4.03"/>
    <n v="17103"/>
  </r>
  <r>
    <x v="63"/>
    <s v="Youtube"/>
    <n v="936"/>
    <n v="97"/>
    <n v="151799"/>
    <n v="9.3699999999999992"/>
    <n v="15461"/>
  </r>
  <r>
    <x v="64"/>
    <s v="Instagram"/>
    <n v="1183"/>
    <n v="223"/>
    <n v="143811"/>
    <n v="6.07"/>
    <n v="22103"/>
  </r>
  <r>
    <x v="64"/>
    <s v="Twitter"/>
    <n v="1413"/>
    <n v="245"/>
    <n v="296450"/>
    <n v="6.52"/>
    <n v="11625"/>
  </r>
  <r>
    <x v="64"/>
    <s v="Youtube"/>
    <n v="791"/>
    <n v="273"/>
    <n v="144049"/>
    <n v="3.08"/>
    <n v="5281"/>
  </r>
  <r>
    <x v="65"/>
    <s v="Instagram"/>
    <n v="1052"/>
    <n v="180"/>
    <n v="272534"/>
    <n v="5.34"/>
    <n v="13424"/>
  </r>
  <r>
    <x v="65"/>
    <s v="Twitter"/>
    <n v="572"/>
    <n v="270"/>
    <n v="82265"/>
    <n v="3.65"/>
    <n v="13140"/>
  </r>
  <r>
    <x v="65"/>
    <s v="Youtube"/>
    <n v="503"/>
    <n v="253"/>
    <n v="313562"/>
    <n v="4.18"/>
    <n v="19538"/>
  </r>
  <r>
    <x v="66"/>
    <s v="Instagram"/>
    <n v="1017"/>
    <n v="197"/>
    <n v="89918"/>
    <n v="3.91"/>
    <n v="7881"/>
  </r>
  <r>
    <x v="66"/>
    <s v="Twitter"/>
    <n v="860"/>
    <n v="244"/>
    <n v="348686"/>
    <n v="5.12"/>
    <n v="11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1F2B8-D0F0-447B-B69B-9015300B8FA2}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3:D12" firstHeaderRow="0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dataField="1" numFmtId="165" showAll="0">
      <items count="291">
        <item x="201"/>
        <item x="33"/>
        <item x="118"/>
        <item x="61"/>
        <item x="219"/>
        <item x="190"/>
        <item x="71"/>
        <item x="90"/>
        <item x="58"/>
        <item x="134"/>
        <item x="88"/>
        <item x="267"/>
        <item x="185"/>
        <item x="214"/>
        <item x="37"/>
        <item x="126"/>
        <item x="282"/>
        <item x="202"/>
        <item x="112"/>
        <item x="67"/>
        <item x="108"/>
        <item x="275"/>
        <item x="38"/>
        <item x="158"/>
        <item x="70"/>
        <item x="84"/>
        <item x="199"/>
        <item x="261"/>
        <item x="189"/>
        <item x="7"/>
        <item x="216"/>
        <item x="203"/>
        <item x="283"/>
        <item x="151"/>
        <item x="43"/>
        <item x="249"/>
        <item x="123"/>
        <item x="11"/>
        <item x="63"/>
        <item x="16"/>
        <item x="113"/>
        <item x="210"/>
        <item x="73"/>
        <item x="154"/>
        <item x="127"/>
        <item x="130"/>
        <item x="109"/>
        <item x="250"/>
        <item x="222"/>
        <item x="20"/>
        <item x="221"/>
        <item x="18"/>
        <item x="72"/>
        <item x="207"/>
        <item x="188"/>
        <item x="110"/>
        <item x="54"/>
        <item x="100"/>
        <item x="192"/>
        <item x="242"/>
        <item x="136"/>
        <item x="289"/>
        <item x="155"/>
        <item x="124"/>
        <item x="274"/>
        <item x="1"/>
        <item x="89"/>
        <item x="60"/>
        <item x="10"/>
        <item x="129"/>
        <item x="96"/>
        <item x="244"/>
        <item x="114"/>
        <item x="191"/>
        <item x="194"/>
        <item x="280"/>
        <item x="226"/>
        <item x="80"/>
        <item x="265"/>
        <item x="115"/>
        <item x="232"/>
        <item x="255"/>
        <item x="208"/>
        <item x="277"/>
        <item x="217"/>
        <item x="266"/>
        <item x="174"/>
        <item x="288"/>
        <item x="263"/>
        <item x="284"/>
        <item x="116"/>
        <item x="234"/>
        <item x="35"/>
        <item x="287"/>
        <item x="78"/>
        <item x="246"/>
        <item x="247"/>
        <item x="145"/>
        <item x="92"/>
        <item x="139"/>
        <item x="164"/>
        <item x="193"/>
        <item x="9"/>
        <item x="142"/>
        <item x="172"/>
        <item x="254"/>
        <item x="176"/>
        <item x="29"/>
        <item x="0"/>
        <item x="75"/>
        <item x="55"/>
        <item x="257"/>
        <item x="13"/>
        <item x="74"/>
        <item x="258"/>
        <item x="229"/>
        <item x="76"/>
        <item x="227"/>
        <item x="149"/>
        <item x="211"/>
        <item x="101"/>
        <item x="206"/>
        <item x="86"/>
        <item x="272"/>
        <item x="182"/>
        <item x="23"/>
        <item x="51"/>
        <item x="141"/>
        <item x="205"/>
        <item x="168"/>
        <item x="56"/>
        <item x="264"/>
        <item x="259"/>
        <item x="25"/>
        <item x="177"/>
        <item x="4"/>
        <item x="224"/>
        <item x="135"/>
        <item x="161"/>
        <item x="31"/>
        <item x="212"/>
        <item x="186"/>
        <item x="22"/>
        <item x="26"/>
        <item x="52"/>
        <item x="198"/>
        <item x="131"/>
        <item x="102"/>
        <item x="93"/>
        <item x="286"/>
        <item x="119"/>
        <item x="45"/>
        <item x="121"/>
        <item x="146"/>
        <item x="83"/>
        <item x="252"/>
        <item x="237"/>
        <item x="97"/>
        <item x="262"/>
        <item x="99"/>
        <item x="281"/>
        <item x="200"/>
        <item x="47"/>
        <item x="156"/>
        <item x="2"/>
        <item x="147"/>
        <item x="57"/>
        <item x="98"/>
        <item x="3"/>
        <item x="268"/>
        <item x="175"/>
        <item x="122"/>
        <item x="125"/>
        <item x="106"/>
        <item x="66"/>
        <item x="120"/>
        <item x="238"/>
        <item x="34"/>
        <item x="87"/>
        <item x="251"/>
        <item x="276"/>
        <item x="46"/>
        <item x="285"/>
        <item x="248"/>
        <item x="157"/>
        <item x="28"/>
        <item x="59"/>
        <item x="41"/>
        <item x="169"/>
        <item x="14"/>
        <item x="269"/>
        <item x="240"/>
        <item x="137"/>
        <item x="27"/>
        <item x="150"/>
        <item x="213"/>
        <item x="39"/>
        <item x="187"/>
        <item x="132"/>
        <item x="19"/>
        <item x="162"/>
        <item x="196"/>
        <item x="148"/>
        <item x="44"/>
        <item x="171"/>
        <item x="236"/>
        <item x="225"/>
        <item x="94"/>
        <item x="5"/>
        <item x="144"/>
        <item x="117"/>
        <item x="173"/>
        <item x="166"/>
        <item x="12"/>
        <item x="180"/>
        <item x="197"/>
        <item x="40"/>
        <item x="128"/>
        <item x="24"/>
        <item x="165"/>
        <item x="30"/>
        <item x="15"/>
        <item x="104"/>
        <item x="36"/>
        <item x="50"/>
        <item x="111"/>
        <item x="273"/>
        <item x="179"/>
        <item x="195"/>
        <item x="69"/>
        <item x="183"/>
        <item x="79"/>
        <item x="82"/>
        <item x="48"/>
        <item x="17"/>
        <item x="138"/>
        <item x="140"/>
        <item x="160"/>
        <item x="209"/>
        <item x="218"/>
        <item x="223"/>
        <item x="233"/>
        <item x="163"/>
        <item x="256"/>
        <item x="235"/>
        <item x="159"/>
        <item x="49"/>
        <item x="184"/>
        <item x="152"/>
        <item x="8"/>
        <item x="270"/>
        <item x="62"/>
        <item x="228"/>
        <item x="65"/>
        <item x="105"/>
        <item x="167"/>
        <item x="153"/>
        <item x="178"/>
        <item x="103"/>
        <item x="260"/>
        <item x="91"/>
        <item x="220"/>
        <item x="215"/>
        <item x="6"/>
        <item x="243"/>
        <item x="239"/>
        <item x="143"/>
        <item x="231"/>
        <item x="77"/>
        <item x="241"/>
        <item x="85"/>
        <item x="68"/>
        <item x="170"/>
        <item x="64"/>
        <item x="81"/>
        <item x="53"/>
        <item x="278"/>
        <item x="42"/>
        <item x="21"/>
        <item x="204"/>
        <item x="279"/>
        <item x="32"/>
        <item x="271"/>
        <item x="107"/>
        <item x="181"/>
        <item x="253"/>
        <item x="133"/>
        <item x="95"/>
        <item x="230"/>
        <item x="245"/>
        <item t="default"/>
      </items>
    </pivotField>
    <pivotField dataField="1" numFmtId="165" showAll="0">
      <items count="221">
        <item x="117"/>
        <item x="16"/>
        <item x="24"/>
        <item x="217"/>
        <item x="213"/>
        <item x="218"/>
        <item x="52"/>
        <item x="149"/>
        <item x="29"/>
        <item x="42"/>
        <item x="178"/>
        <item x="128"/>
        <item x="100"/>
        <item x="102"/>
        <item x="170"/>
        <item x="55"/>
        <item x="124"/>
        <item x="57"/>
        <item x="75"/>
        <item x="168"/>
        <item x="154"/>
        <item x="17"/>
        <item x="4"/>
        <item x="194"/>
        <item x="133"/>
        <item x="137"/>
        <item x="138"/>
        <item x="159"/>
        <item x="134"/>
        <item x="79"/>
        <item x="196"/>
        <item x="72"/>
        <item x="67"/>
        <item x="15"/>
        <item x="200"/>
        <item x="162"/>
        <item x="171"/>
        <item x="146"/>
        <item x="116"/>
        <item x="2"/>
        <item x="153"/>
        <item x="53"/>
        <item x="31"/>
        <item x="130"/>
        <item x="70"/>
        <item x="27"/>
        <item x="110"/>
        <item x="69"/>
        <item x="38"/>
        <item x="28"/>
        <item x="192"/>
        <item x="179"/>
        <item x="65"/>
        <item x="126"/>
        <item x="183"/>
        <item x="91"/>
        <item x="1"/>
        <item x="191"/>
        <item x="49"/>
        <item x="99"/>
        <item x="215"/>
        <item x="135"/>
        <item x="8"/>
        <item x="176"/>
        <item x="45"/>
        <item x="3"/>
        <item x="184"/>
        <item x="193"/>
        <item x="180"/>
        <item x="5"/>
        <item x="165"/>
        <item x="169"/>
        <item x="34"/>
        <item x="0"/>
        <item x="62"/>
        <item x="63"/>
        <item x="198"/>
        <item x="80"/>
        <item x="186"/>
        <item x="113"/>
        <item x="189"/>
        <item x="89"/>
        <item x="172"/>
        <item x="115"/>
        <item x="90"/>
        <item x="97"/>
        <item x="9"/>
        <item x="140"/>
        <item x="142"/>
        <item x="150"/>
        <item x="41"/>
        <item x="147"/>
        <item x="177"/>
        <item x="164"/>
        <item x="95"/>
        <item x="141"/>
        <item x="195"/>
        <item x="82"/>
        <item x="87"/>
        <item x="78"/>
        <item x="207"/>
        <item x="144"/>
        <item x="132"/>
        <item x="94"/>
        <item x="181"/>
        <item x="185"/>
        <item x="166"/>
        <item x="30"/>
        <item x="36"/>
        <item x="188"/>
        <item x="145"/>
        <item x="26"/>
        <item x="156"/>
        <item x="56"/>
        <item x="208"/>
        <item x="123"/>
        <item x="12"/>
        <item x="23"/>
        <item x="139"/>
        <item x="101"/>
        <item x="143"/>
        <item x="163"/>
        <item x="54"/>
        <item x="58"/>
        <item x="74"/>
        <item x="43"/>
        <item x="59"/>
        <item x="33"/>
        <item x="119"/>
        <item x="77"/>
        <item x="212"/>
        <item x="136"/>
        <item x="182"/>
        <item x="92"/>
        <item x="7"/>
        <item x="131"/>
        <item x="11"/>
        <item x="187"/>
        <item x="13"/>
        <item x="118"/>
        <item x="211"/>
        <item x="96"/>
        <item x="158"/>
        <item x="111"/>
        <item x="39"/>
        <item x="32"/>
        <item x="21"/>
        <item x="10"/>
        <item x="44"/>
        <item x="122"/>
        <item x="202"/>
        <item x="14"/>
        <item x="22"/>
        <item x="114"/>
        <item x="106"/>
        <item x="205"/>
        <item x="35"/>
        <item x="86"/>
        <item x="155"/>
        <item x="73"/>
        <item x="216"/>
        <item x="108"/>
        <item x="204"/>
        <item x="152"/>
        <item x="120"/>
        <item x="127"/>
        <item x="66"/>
        <item x="51"/>
        <item x="125"/>
        <item x="6"/>
        <item x="18"/>
        <item x="85"/>
        <item x="190"/>
        <item x="112"/>
        <item x="46"/>
        <item x="161"/>
        <item x="19"/>
        <item x="109"/>
        <item x="25"/>
        <item x="76"/>
        <item x="83"/>
        <item x="219"/>
        <item x="84"/>
        <item x="148"/>
        <item x="173"/>
        <item x="210"/>
        <item x="203"/>
        <item x="175"/>
        <item x="157"/>
        <item x="201"/>
        <item x="88"/>
        <item x="206"/>
        <item x="40"/>
        <item x="160"/>
        <item x="129"/>
        <item x="48"/>
        <item x="167"/>
        <item x="103"/>
        <item x="50"/>
        <item x="104"/>
        <item x="199"/>
        <item x="20"/>
        <item x="105"/>
        <item x="209"/>
        <item x="121"/>
        <item x="37"/>
        <item x="61"/>
        <item x="107"/>
        <item x="197"/>
        <item x="47"/>
        <item x="93"/>
        <item x="81"/>
        <item x="71"/>
        <item x="151"/>
        <item x="60"/>
        <item x="98"/>
        <item x="214"/>
        <item x="68"/>
        <item x="64"/>
        <item x="174"/>
        <item t="default"/>
      </items>
    </pivotField>
    <pivotField dataField="1" numFmtId="165" showAll="0">
      <items count="201">
        <item x="24"/>
        <item x="65"/>
        <item x="52"/>
        <item x="117"/>
        <item x="92"/>
        <item x="147"/>
        <item x="12"/>
        <item x="53"/>
        <item x="122"/>
        <item x="185"/>
        <item x="7"/>
        <item x="193"/>
        <item x="159"/>
        <item x="134"/>
        <item x="136"/>
        <item x="69"/>
        <item x="198"/>
        <item x="2"/>
        <item x="55"/>
        <item x="139"/>
        <item x="74"/>
        <item x="141"/>
        <item x="179"/>
        <item x="78"/>
        <item x="84"/>
        <item x="91"/>
        <item x="23"/>
        <item x="131"/>
        <item x="15"/>
        <item x="31"/>
        <item x="77"/>
        <item x="85"/>
        <item x="183"/>
        <item x="101"/>
        <item x="161"/>
        <item x="184"/>
        <item x="166"/>
        <item x="175"/>
        <item x="58"/>
        <item x="94"/>
        <item x="61"/>
        <item x="89"/>
        <item x="111"/>
        <item x="128"/>
        <item x="153"/>
        <item x="57"/>
        <item x="71"/>
        <item x="181"/>
        <item x="195"/>
        <item x="199"/>
        <item x="152"/>
        <item x="154"/>
        <item x="38"/>
        <item x="0"/>
        <item x="165"/>
        <item x="59"/>
        <item x="132"/>
        <item x="146"/>
        <item x="194"/>
        <item x="17"/>
        <item x="113"/>
        <item x="68"/>
        <item x="178"/>
        <item x="37"/>
        <item x="16"/>
        <item x="28"/>
        <item x="76"/>
        <item x="9"/>
        <item x="88"/>
        <item x="130"/>
        <item x="30"/>
        <item x="22"/>
        <item x="90"/>
        <item x="160"/>
        <item x="64"/>
        <item x="56"/>
        <item x="67"/>
        <item x="150"/>
        <item x="83"/>
        <item x="108"/>
        <item x="121"/>
        <item x="3"/>
        <item x="26"/>
        <item x="156"/>
        <item x="126"/>
        <item x="129"/>
        <item x="151"/>
        <item x="35"/>
        <item x="21"/>
        <item x="48"/>
        <item x="75"/>
        <item x="49"/>
        <item x="51"/>
        <item x="45"/>
        <item x="87"/>
        <item x="182"/>
        <item x="33"/>
        <item x="44"/>
        <item x="124"/>
        <item x="46"/>
        <item x="102"/>
        <item x="197"/>
        <item x="20"/>
        <item x="143"/>
        <item x="187"/>
        <item x="86"/>
        <item x="36"/>
        <item x="170"/>
        <item x="157"/>
        <item x="172"/>
        <item x="174"/>
        <item x="11"/>
        <item x="191"/>
        <item x="109"/>
        <item x="41"/>
        <item x="142"/>
        <item x="13"/>
        <item x="63"/>
        <item x="140"/>
        <item x="192"/>
        <item x="103"/>
        <item x="72"/>
        <item x="112"/>
        <item x="106"/>
        <item x="32"/>
        <item x="190"/>
        <item x="149"/>
        <item x="173"/>
        <item x="25"/>
        <item x="5"/>
        <item x="73"/>
        <item x="104"/>
        <item x="40"/>
        <item x="105"/>
        <item x="120"/>
        <item x="180"/>
        <item x="62"/>
        <item x="98"/>
        <item x="137"/>
        <item x="177"/>
        <item x="114"/>
        <item x="189"/>
        <item x="123"/>
        <item x="97"/>
        <item x="8"/>
        <item x="116"/>
        <item x="158"/>
        <item x="10"/>
        <item x="110"/>
        <item x="18"/>
        <item x="188"/>
        <item x="127"/>
        <item x="176"/>
        <item x="81"/>
        <item x="4"/>
        <item x="164"/>
        <item x="167"/>
        <item x="66"/>
        <item x="19"/>
        <item x="39"/>
        <item x="6"/>
        <item x="186"/>
        <item x="133"/>
        <item x="138"/>
        <item x="47"/>
        <item x="100"/>
        <item x="95"/>
        <item x="80"/>
        <item x="118"/>
        <item x="79"/>
        <item x="155"/>
        <item x="96"/>
        <item x="43"/>
        <item x="168"/>
        <item x="144"/>
        <item x="60"/>
        <item x="42"/>
        <item x="54"/>
        <item x="70"/>
        <item x="99"/>
        <item x="119"/>
        <item x="196"/>
        <item x="145"/>
        <item x="107"/>
        <item x="93"/>
        <item x="163"/>
        <item x="50"/>
        <item x="135"/>
        <item x="162"/>
        <item x="115"/>
        <item x="29"/>
        <item x="169"/>
        <item x="171"/>
        <item x="27"/>
        <item x="1"/>
        <item x="125"/>
        <item x="14"/>
        <item x="82"/>
        <item x="148"/>
        <item x="34"/>
        <item t="default"/>
      </items>
    </pivotField>
    <pivotField numFmtId="165" showAll="0"/>
    <pivotField numFmtId="165" showAll="0"/>
    <pivotField numFmtId="165" showAll="0"/>
    <pivotField showAll="0"/>
    <pivotField showAll="0"/>
  </pivotFields>
  <rowFields count="2">
    <field x="3"/>
    <field x="1"/>
  </rowFields>
  <rowItems count="9">
    <i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3" baseItem="0"/>
    <dataField name="Sum of Shares" fld="6" baseField="3" baseItem="0"/>
    <dataField name="Sum of Comments" fld="7" baseField="3" baseItem="0"/>
  </dataFields>
  <formats count="48">
    <format dxfId="77">
      <pivotArea collapsedLevelsAreSubtotals="1" fieldPosition="0">
        <references count="1">
          <reference field="3" count="1">
            <x v="0"/>
          </reference>
        </references>
      </pivotArea>
    </format>
    <format dxfId="76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75">
      <pivotArea collapsedLevelsAreSubtotals="1" fieldPosition="0">
        <references count="1">
          <reference field="3" count="1">
            <x v="1"/>
          </reference>
        </references>
      </pivotArea>
    </format>
    <format dxfId="74">
      <pivotArea collapsedLevelsAreSubtotals="1" fieldPosition="0">
        <references count="2">
          <reference field="1" count="2">
            <x v="0"/>
            <x v="1"/>
          </reference>
          <reference field="3" count="1" selected="0">
            <x v="1"/>
          </reference>
        </references>
      </pivotArea>
    </format>
    <format dxfId="73">
      <pivotArea collapsedLevelsAreSubtotals="1" fieldPosition="0">
        <references count="1">
          <reference field="3" count="1">
            <x v="2"/>
          </reference>
        </references>
      </pivotArea>
    </format>
    <format dxfId="72">
      <pivotArea collapsedLevelsAreSubtotals="1" fieldPosition="0">
        <references count="2">
          <reference field="1" count="0"/>
          <reference field="3" count="1" selected="0">
            <x v="2"/>
          </reference>
        </references>
      </pivotArea>
    </format>
    <format dxfId="71">
      <pivotArea collapsedLevelsAreSubtotals="1" fieldPosition="0">
        <references count="2">
          <reference field="4294967294" count="1" selected="0">
            <x v="0"/>
          </reference>
          <reference field="3" count="1">
            <x v="0"/>
          </reference>
        </references>
      </pivotArea>
    </format>
    <format dxfId="70">
      <pivotArea collapsedLevelsAreSubtotals="1" fieldPosition="0">
        <references count="3">
          <reference field="4294967294" count="1" selected="0">
            <x v="0"/>
          </reference>
          <reference field="1" count="1">
            <x v="2"/>
          </reference>
          <reference field="3" count="1" selected="0">
            <x v="0"/>
          </reference>
        </references>
      </pivotArea>
    </format>
    <format dxfId="69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68">
      <pivotArea collapsedLevelsAreSubtotals="1" fieldPosition="0">
        <references count="3">
          <reference field="4294967294" count="1" selected="0">
            <x v="0"/>
          </reference>
          <reference field="1" count="2">
            <x v="0"/>
            <x v="1"/>
          </reference>
          <reference field="3" count="1" selected="0">
            <x v="1"/>
          </reference>
        </references>
      </pivotArea>
    </format>
    <format dxfId="67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66">
      <pivotArea collapsedLevelsAreSubtotals="1" fieldPosition="0">
        <references count="3">
          <reference field="4294967294" count="1" selected="0">
            <x v="0"/>
          </reference>
          <reference field="1" count="0"/>
          <reference field="3" count="1" selected="0">
            <x v="2"/>
          </reference>
        </references>
      </pivotArea>
    </format>
    <format dxfId="6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4">
      <pivotArea dataOnly="0" outline="0" fieldPosition="0">
        <references count="1">
          <reference field="4294967294" count="1">
            <x v="0"/>
          </reference>
        </references>
      </pivotArea>
    </format>
    <format dxfId="63">
      <pivotArea dataOnly="0" outline="0" fieldPosition="0">
        <references count="1">
          <reference field="4294967294" count="1">
            <x v="0"/>
          </reference>
        </references>
      </pivotArea>
    </format>
    <format dxfId="62">
      <pivotArea collapsedLevelsAreSubtotals="1" fieldPosition="0">
        <references count="2">
          <reference field="4294967294" count="1" selected="0">
            <x v="1"/>
          </reference>
          <reference field="3" count="1">
            <x v="0"/>
          </reference>
        </references>
      </pivotArea>
    </format>
    <format dxfId="61">
      <pivotArea collapsedLevelsAreSubtotals="1" fieldPosition="0">
        <references count="3">
          <reference field="4294967294" count="1" selected="0">
            <x v="1"/>
          </reference>
          <reference field="1" count="1">
            <x v="2"/>
          </reference>
          <reference field="3" count="1" selected="0">
            <x v="0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1"/>
          </reference>
          <reference field="3" count="1">
            <x v="1"/>
          </reference>
        </references>
      </pivotArea>
    </format>
    <format dxfId="59">
      <pivotArea collapsedLevelsAreSubtotals="1" fieldPosition="0">
        <references count="3">
          <reference field="4294967294" count="1" selected="0">
            <x v="1"/>
          </reference>
          <reference field="1" count="2">
            <x v="0"/>
            <x v="1"/>
          </reference>
          <reference field="3" count="1" selected="0">
            <x v="1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1"/>
          </reference>
          <reference field="3" count="1">
            <x v="2"/>
          </reference>
        </references>
      </pivotArea>
    </format>
    <format dxfId="57">
      <pivotArea collapsedLevelsAreSubtotals="1" fieldPosition="0">
        <references count="3">
          <reference field="4294967294" count="1" selected="0">
            <x v="1"/>
          </reference>
          <reference field="1" count="0"/>
          <reference field="3" count="1" selected="0">
            <x v="2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2"/>
          </reference>
          <reference field="3" count="1">
            <x v="0"/>
          </reference>
        </references>
      </pivotArea>
    </format>
    <format dxfId="54">
      <pivotArea collapsedLevelsAreSubtotals="1" fieldPosition="0">
        <references count="3">
          <reference field="4294967294" count="1" selected="0">
            <x v="2"/>
          </reference>
          <reference field="1" count="1">
            <x v="2"/>
          </reference>
          <reference field="3" count="1" selected="0">
            <x v="0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2"/>
          </reference>
          <reference field="3" count="1">
            <x v="1"/>
          </reference>
        </references>
      </pivotArea>
    </format>
    <format dxfId="52">
      <pivotArea collapsedLevelsAreSubtotals="1" fieldPosition="0">
        <references count="3">
          <reference field="4294967294" count="1" selected="0">
            <x v="2"/>
          </reference>
          <reference field="1" count="2">
            <x v="0"/>
            <x v="1"/>
          </reference>
          <reference field="3" count="1" selected="0">
            <x v="1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2"/>
          </reference>
          <reference field="3" count="1">
            <x v="2"/>
          </reference>
        </references>
      </pivotArea>
    </format>
    <format dxfId="50">
      <pivotArea collapsedLevelsAreSubtotals="1" fieldPosition="0">
        <references count="3">
          <reference field="4294967294" count="1" selected="0">
            <x v="2"/>
          </reference>
          <reference field="1" count="0"/>
          <reference field="3" count="1" selected="0">
            <x v="2"/>
          </reference>
        </references>
      </pivotArea>
    </format>
    <format dxfId="4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8">
      <pivotArea dataOnly="0" labelOnly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47">
      <pivotArea dataOnly="0" labelOnly="1" fieldPosition="0">
        <references count="2">
          <reference field="1" count="1">
            <x v="0"/>
          </reference>
          <reference field="3" count="1" selected="0">
            <x v="1"/>
          </reference>
        </references>
      </pivotArea>
    </format>
    <format dxfId="46">
      <pivotArea dataOnly="0" labelOnly="1" fieldPosition="0">
        <references count="2">
          <reference field="1" count="1">
            <x v="1"/>
          </reference>
          <reference field="3" count="1" selected="0">
            <x v="1"/>
          </reference>
        </references>
      </pivotArea>
    </format>
    <format dxfId="45">
      <pivotArea dataOnly="0" labelOnly="1" fieldPosition="0">
        <references count="2">
          <reference field="1" count="1">
            <x v="0"/>
          </reference>
          <reference field="3" count="1" selected="0">
            <x v="2"/>
          </reference>
        </references>
      </pivotArea>
    </format>
    <format dxfId="44">
      <pivotArea dataOnly="0" labelOnly="1" fieldPosition="0">
        <references count="2">
          <reference field="1" count="1">
            <x v="1"/>
          </reference>
          <reference field="3" count="1" selected="0">
            <x v="2"/>
          </reference>
        </references>
      </pivotArea>
    </format>
    <format dxfId="43">
      <pivotArea dataOnly="0" labelOnly="1" fieldPosition="0">
        <references count="2">
          <reference field="1" count="1">
            <x v="2"/>
          </reference>
          <reference field="3" count="1" selected="0">
            <x v="2"/>
          </reference>
        </references>
      </pivotArea>
    </format>
    <format dxfId="42">
      <pivotArea collapsedLevelsAreSubtotals="1" fieldPosition="0">
        <references count="2">
          <reference field="1" count="1">
            <x v="2"/>
          </reference>
          <reference field="3" count="1" selected="0">
            <x v="0"/>
          </reference>
        </references>
      </pivotArea>
    </format>
    <format dxfId="41">
      <pivotArea collapsedLevelsAreSubtotals="1" fieldPosition="0">
        <references count="2">
          <reference field="1" count="1">
            <x v="0"/>
          </reference>
          <reference field="3" count="1" selected="0">
            <x v="1"/>
          </reference>
        </references>
      </pivotArea>
    </format>
    <format dxfId="40">
      <pivotArea collapsedLevelsAreSubtotals="1" fieldPosition="0">
        <references count="2">
          <reference field="1" count="1">
            <x v="1"/>
          </reference>
          <reference field="3" count="1" selected="0">
            <x v="1"/>
          </reference>
        </references>
      </pivotArea>
    </format>
    <format dxfId="39">
      <pivotArea collapsedLevelsAreSubtotals="1" fieldPosition="0">
        <references count="2">
          <reference field="1" count="1">
            <x v="0"/>
          </reference>
          <reference field="3" count="1" selected="0">
            <x v="2"/>
          </reference>
        </references>
      </pivotArea>
    </format>
    <format dxfId="38">
      <pivotArea collapsedLevelsAreSubtotals="1" fieldPosition="0">
        <references count="2">
          <reference field="1" count="2">
            <x v="1"/>
            <x v="2"/>
          </reference>
          <reference field="3" count="1" selected="0">
            <x v="2"/>
          </reference>
        </references>
      </pivotArea>
    </format>
    <format dxfId="37">
      <pivotArea collapsedLevelsAreSubtotals="1" fieldPosition="0">
        <references count="3">
          <reference field="4294967294" count="1" selected="0">
            <x v="0"/>
          </reference>
          <reference field="1" count="1">
            <x v="0"/>
          </reference>
          <reference field="3" count="1" selected="0">
            <x v="2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0"/>
          </reference>
          <reference field="1" count="1">
            <x v="1"/>
          </reference>
          <reference field="3" count="1" selected="0">
            <x v="2"/>
          </reference>
        </references>
      </pivotArea>
    </format>
    <format dxfId="35">
      <pivotArea collapsedLevelsAreSubtotals="1" fieldPosition="0">
        <references count="3">
          <reference field="4294967294" count="1" selected="0">
            <x v="0"/>
          </reference>
          <reference field="1" count="1">
            <x v="0"/>
          </reference>
          <reference field="3" count="1" selected="0">
            <x v="1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0"/>
          </reference>
          <reference field="1" count="1">
            <x v="1"/>
          </reference>
          <reference field="3" count="1" selected="0">
            <x v="1"/>
          </reference>
        </references>
      </pivotArea>
    </format>
    <format dxfId="33">
      <pivotArea grandRow="1" outline="0" collapsedLevelsAreSubtotals="1" fieldPosition="0"/>
    </format>
    <format dxfId="32">
      <pivotArea field="3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31">
      <pivotArea grandRow="1" outline="0" collapsedLevelsAreSubtotals="1" fieldPosition="0"/>
    </format>
    <format dxfId="30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49D57-7031-41AE-B6B2-F103A8EF7EAD}" name="PivotTable4" cacheId="1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3:C8" firstHeaderRow="0" firstDataRow="1" firstDataCol="1"/>
  <pivotFields count="13">
    <pivotField dataField="1"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5">
    <i>
      <x v="4"/>
    </i>
    <i>
      <x/>
    </i>
    <i>
      <x v="3"/>
    </i>
    <i>
      <x v="2"/>
    </i>
    <i>
      <x v="1"/>
    </i>
  </rowItems>
  <colFields count="1">
    <field x="-2"/>
  </colFields>
  <colItems count="2">
    <i>
      <x/>
    </i>
    <i i="1">
      <x v="1"/>
    </i>
  </colItems>
  <dataFields count="2">
    <dataField name="Avg Clicks Per Post" fld="10" subtotal="average" baseField="11" baseItem="0"/>
    <dataField name="Count of Post ID" fld="0" subtotal="count" baseField="0" baseItem="0"/>
  </dataFields>
  <formats count="7">
    <format dxfId="29">
      <pivotArea collapsedLevelsAreSubtotals="1" fieldPosition="0">
        <references count="2">
          <reference field="4294967294" count="1" selected="0">
            <x v="0"/>
          </reference>
          <reference field="11" count="0"/>
        </references>
      </pivotArea>
    </format>
    <format dxfId="28">
      <pivotArea collapsedLevelsAreSubtotals="1" fieldPosition="0">
        <references count="1">
          <reference field="11" count="0"/>
        </references>
      </pivotArea>
    </format>
    <format dxfId="27">
      <pivotArea dataOnly="0" labelOnly="1" fieldPosition="0">
        <references count="1">
          <reference field="11" count="0"/>
        </references>
      </pivotArea>
    </format>
    <format dxfId="26">
      <pivotArea collapsedLevelsAreSubtotals="1" fieldPosition="0">
        <references count="1">
          <reference field="11" count="0"/>
        </references>
      </pivotArea>
    </format>
    <format dxfId="25">
      <pivotArea dataOnly="0" labelOnly="1" fieldPosition="0">
        <references count="1">
          <reference field="11" count="0"/>
        </references>
      </pivotArea>
    </format>
    <format dxfId="24">
      <pivotArea field="11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1FC7F-212D-4348-89D1-B478059AE2A2}" name="PivotTable2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3:D8" firstHeaderRow="0" firstDataRow="1" firstDataCol="1"/>
  <pivotFields count="14">
    <pivotField showAll="0"/>
    <pivotField showAll="0"/>
    <pivotField numFmtId="164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 sortType="descending">
      <items count="6">
        <item x="4"/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1"/>
  </rowFields>
  <rowItems count="5">
    <i>
      <x v="2"/>
    </i>
    <i>
      <x v="4"/>
    </i>
    <i>
      <x v="1"/>
    </i>
    <i>
      <x v="3"/>
    </i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nquency" fld="10" subtotal="count" baseField="11" baseItem="0"/>
    <dataField name="Sum of Impressions" fld="8" baseField="0" baseItem="0" numFmtId="168"/>
    <dataField name="Average of Total Enagagement" fld="13" subtotal="average" baseField="11" baseItem="1" numFmtId="168"/>
  </dataFields>
  <formats count="14">
    <format dxfId="22">
      <pivotArea collapsedLevelsAreSubtotals="1" fieldPosition="0">
        <references count="1">
          <reference field="11" count="0"/>
        </references>
      </pivotArea>
    </format>
    <format dxfId="21">
      <pivotArea collapsedLevelsAreSubtotals="1" fieldPosition="0">
        <references count="1">
          <reference field="11" count="0"/>
        </references>
      </pivotArea>
    </format>
    <format dxfId="20">
      <pivotArea dataOnly="0" labelOnly="1" fieldPosition="0">
        <references count="1">
          <reference field="11" count="0"/>
        </references>
      </pivotArea>
    </format>
    <format dxfId="19">
      <pivotArea field="11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collapsedLevelsAreSubtotals="1" fieldPosition="0">
        <references count="1">
          <reference field="11" count="0"/>
        </references>
      </pivotArea>
    </format>
    <format dxfId="16">
      <pivotArea dataOnly="0" labelOnly="1" fieldPosition="0">
        <references count="1">
          <reference field="11" count="0"/>
        </references>
      </pivotArea>
    </format>
    <format dxfId="1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11" count="1">
            <x v="2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11" count="1">
            <x v="4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11" count="1">
            <x v="1"/>
          </reference>
        </references>
      </pivotArea>
    </format>
    <format dxfId="11">
      <pivotArea dataOnly="0" labelOnly="1" fieldPosition="0">
        <references count="1">
          <reference field="11" count="3">
            <x v="1"/>
            <x v="2"/>
            <x v="4"/>
          </reference>
        </references>
      </pivotArea>
    </format>
    <format dxfId="10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9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7B235-CF92-48B5-9C13-139FD92EFF7A}" name="PivotTable6" cacheId="2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3:D8" firstHeaderRow="0" firstDataRow="1" firstDataCol="1"/>
  <pivotFields count="14"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1"/>
  </rowFields>
  <rowItems count="5">
    <i>
      <x v="1"/>
    </i>
    <i>
      <x v="4"/>
    </i>
    <i>
      <x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 Enagagement" fld="13" subtotal="average" baseField="11" baseItem="0"/>
    <dataField name="Average of Clicks" fld="10" subtotal="average" baseField="11" baseItem="0"/>
    <dataField name="Frequency" fld="10" subtotal="count" baseField="11" baseItem="1"/>
  </dataFields>
  <formats count="5">
    <format dxfId="8">
      <pivotArea collapsedLevelsAreSubtotals="1" fieldPosition="0">
        <references count="1">
          <reference field="11" count="0"/>
        </references>
      </pivotArea>
    </format>
    <format dxfId="7">
      <pivotArea collapsedLevelsAreSubtotals="1" fieldPosition="0">
        <references count="1">
          <reference field="11" count="0"/>
        </references>
      </pivotArea>
    </format>
    <format dxfId="6">
      <pivotArea dataOnly="0" labelOnly="1" fieldPosition="0">
        <references count="1">
          <reference field="11" count="0"/>
        </references>
      </pivotArea>
    </format>
    <format dxfId="5">
      <pivotArea collapsedLevelsAreSubtotals="1" fieldPosition="0">
        <references count="2">
          <reference field="4294967294" count="1" selected="0">
            <x v="0"/>
          </reference>
          <reference field="11" count="3">
            <x v="0"/>
            <x v="1"/>
            <x v="4"/>
          </reference>
        </references>
      </pivotArea>
    </format>
    <format dxfId="4">
      <pivotArea dataOnly="0" labelOnly="1" fieldPosition="0">
        <references count="1">
          <reference field="11" count="3">
            <x v="0"/>
            <x v="1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5AFB0-F35E-43D4-8156-3EEA12AECDB3}" name="PivotTable10" cacheId="3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A3:C12" firstHeaderRow="0" firstDataRow="1" firstDataCol="1"/>
  <pivotFields count="14">
    <pivotField dataField="1" showAll="0"/>
    <pivotField axis="axisRow" showAll="0">
      <items count="4">
        <item x="0"/>
        <item x="1"/>
        <item x="2"/>
        <item t="default"/>
      </items>
    </pivotField>
    <pivotField numFmtId="164" showAll="0"/>
    <pivotField axis="axisRow" showAll="0">
      <items count="4">
        <item x="2"/>
        <item x="1"/>
        <item x="0"/>
        <item t="default"/>
      </items>
    </pivotField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dataField="1" numFmtId="165" showAll="0"/>
  </pivotFields>
  <rowFields count="2">
    <field x="3"/>
    <field x="1"/>
  </rowFields>
  <rowItems count="9">
    <i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</rowItems>
  <colFields count="1">
    <field x="-2"/>
  </colFields>
  <colItems count="2">
    <i>
      <x/>
    </i>
    <i i="1">
      <x v="1"/>
    </i>
  </colItems>
  <dataFields count="2">
    <dataField name="Sum of Toatal engagement" fld="13" baseField="1" baseItem="2" numFmtId="168"/>
    <dataField name="Posts" fld="0" subtotal="count" baseField="3" baseItem="0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7D58D3-1ED4-4E08-853F-1901A089590B}" name="PivotTable1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" rowHeaderCaption="WEEK">
  <location ref="A3:E70" firstHeaderRow="0" firstDataRow="1" firstDataCol="1"/>
  <pivotFields count="8">
    <pivotField axis="axisRow" numFmtId="16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dataField="1" numFmtId="165" showAll="0"/>
    <pivotField dataField="1" numFmtId="165" showAll="0"/>
    <pivotField numFmtId="165" showAll="0"/>
    <pivotField numFmtId="165" showAll="0"/>
    <pivotField dataField="1" numFmtId="165" showAll="0"/>
    <pivotField dataField="1" dragToRow="0" dragToCol="0" dragToPage="0" showAll="0" defaultSubtotal="0"/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w_Followers" fld="2" baseField="0" baseItem="7"/>
    <dataField name="Sum of Unfollows" fld="3" baseField="0" baseItem="7"/>
    <dataField name="Sum of Net Follower Gain" fld="7" baseField="0" baseItem="0" numFmtId="165"/>
    <dataField name="Sum of Ad_Spend" fld="6" baseField="0" baseItem="0"/>
  </dataFields>
  <formats count="1">
    <format dxfId="2">
      <pivotArea dataOnly="0" fieldPosition="0">
        <references count="1">
          <reference field="0" count="1">
            <x v="22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1D2720-4D98-4C24-BF91-1A918BAFFA1A}" name="PivotTable1" cacheId="4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" rowHeaderCaption="WEEKS">
  <location ref="A1:E68" firstHeaderRow="0" firstDataRow="1" firstDataCol="1"/>
  <pivotFields count="8">
    <pivotField axis="axisRow" numFmtId="16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dataField="1" numFmtId="165" showAll="0"/>
    <pivotField dataField="1" numFmtId="165" showAll="0"/>
    <pivotField numFmtId="165" showAll="0"/>
    <pivotField numFmtId="165" showAll="0"/>
    <pivotField dataField="1" numFmtId="165" showAll="0"/>
    <pivotField dataField="1" dragToRow="0" dragToCol="0" dragToPage="0" showAll="0" defaultSubtotal="0"/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New_Followers" fld="2" baseField="0" baseItem="7"/>
    <dataField name="Sum of Unfollows" fld="3" baseField="0" baseItem="7"/>
    <dataField name="Sum of Net Follower Gain" fld="7" baseField="0" baseItem="0" numFmtId="165"/>
    <dataField name="Sum of Ad_Spend" fld="6" baseField="0" baseItem="0"/>
  </dataFields>
  <formats count="2">
    <format dxfId="1">
      <pivotArea dataOnly="0" fieldPosition="0">
        <references count="1">
          <reference field="0" count="1">
            <x v="22"/>
          </reference>
        </references>
      </pivotArea>
    </format>
    <format dxfId="0">
      <pivotArea dataOnly="0" fieldPosition="0">
        <references count="1">
          <reference field="0" count="1">
            <x v="22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83"/>
  <sheetViews>
    <sheetView workbookViewId="0">
      <selection activeCell="C13" sqref="C13"/>
    </sheetView>
  </sheetViews>
  <sheetFormatPr defaultColWidth="14.44140625" defaultRowHeight="15" customHeight="1"/>
  <cols>
    <col min="1" max="2" width="8.6640625" customWidth="1"/>
    <col min="3" max="3" width="18.88671875" style="4" customWidth="1"/>
    <col min="4" max="5" width="8.6640625" customWidth="1"/>
    <col min="6" max="6" width="8.21875" style="8" bestFit="1" customWidth="1"/>
    <col min="7" max="7" width="7.33203125" style="8" bestFit="1" customWidth="1"/>
    <col min="8" max="8" width="10.44140625" style="8" bestFit="1" customWidth="1"/>
    <col min="9" max="9" width="11.5546875" style="8" bestFit="1" customWidth="1"/>
    <col min="10" max="10" width="9.33203125" style="8" bestFit="1" customWidth="1"/>
    <col min="11" max="11" width="7.109375" style="8" bestFit="1" customWidth="1"/>
    <col min="12" max="12" width="35.44140625" bestFit="1" customWidth="1"/>
    <col min="13" max="13" width="35.44140625" customWidth="1"/>
    <col min="14" max="14" width="15.77734375" bestFit="1" customWidth="1"/>
    <col min="15" max="15" width="11.44140625" bestFit="1" customWidth="1"/>
    <col min="16" max="16" width="15.44140625" bestFit="1" customWidth="1"/>
    <col min="17" max="17" width="16.44140625" bestFit="1" customWidth="1"/>
    <col min="18" max="18" width="42.33203125" bestFit="1" customWidth="1"/>
    <col min="19" max="19" width="8.44140625" bestFit="1" customWidth="1"/>
    <col min="20" max="20" width="10" bestFit="1" customWidth="1"/>
    <col min="21" max="21" width="13.88671875" bestFit="1" customWidth="1"/>
    <col min="22" max="22" width="15.33203125" bestFit="1" customWidth="1"/>
    <col min="23" max="23" width="9.33203125" bestFit="1" customWidth="1"/>
    <col min="24" max="24" width="9.109375" bestFit="1" customWidth="1"/>
    <col min="25" max="25" width="19" bestFit="1" customWidth="1"/>
    <col min="26" max="26" width="20" bestFit="1" customWidth="1"/>
    <col min="27" max="27" width="19" customWidth="1"/>
    <col min="28" max="40" width="8.6640625" customWidth="1"/>
  </cols>
  <sheetData>
    <row r="1" spans="1:27" ht="14.4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" t="s">
        <v>11</v>
      </c>
      <c r="M1" s="1" t="s">
        <v>12</v>
      </c>
      <c r="N1" s="108" t="s">
        <v>418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4">
      <c r="A2" s="1" t="s">
        <v>13</v>
      </c>
      <c r="B2" s="1" t="s">
        <v>14</v>
      </c>
      <c r="C2" s="3">
        <v>45781</v>
      </c>
      <c r="D2" s="1" t="s">
        <v>15</v>
      </c>
      <c r="E2" s="1" t="s">
        <v>16</v>
      </c>
      <c r="F2" s="7">
        <v>2414</v>
      </c>
      <c r="G2" s="7">
        <v>245</v>
      </c>
      <c r="H2" s="7">
        <v>137</v>
      </c>
      <c r="I2" s="7">
        <v>21181</v>
      </c>
      <c r="J2" s="7">
        <v>45292</v>
      </c>
      <c r="K2" s="7">
        <v>133</v>
      </c>
      <c r="L2" s="1" t="s">
        <v>17</v>
      </c>
      <c r="M2" s="1" t="s">
        <v>18</v>
      </c>
      <c r="N2" s="8">
        <f t="shared" ref="N2:N65" si="0">F2+G2+H2</f>
        <v>2796</v>
      </c>
      <c r="O2" s="1"/>
      <c r="P2" s="30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4">
      <c r="A3" s="1" t="s">
        <v>19</v>
      </c>
      <c r="B3" s="1" t="s">
        <v>14</v>
      </c>
      <c r="C3" s="3">
        <v>45689</v>
      </c>
      <c r="D3" s="1" t="s">
        <v>15</v>
      </c>
      <c r="E3" s="1" t="s">
        <v>20</v>
      </c>
      <c r="F3" s="7">
        <v>1934</v>
      </c>
      <c r="G3" s="7">
        <v>210</v>
      </c>
      <c r="H3" s="7">
        <v>393</v>
      </c>
      <c r="I3" s="7">
        <v>29129</v>
      </c>
      <c r="J3" s="7">
        <v>73287</v>
      </c>
      <c r="K3" s="7">
        <v>273</v>
      </c>
      <c r="L3" s="1" t="s">
        <v>21</v>
      </c>
      <c r="M3" s="1" t="s">
        <v>22</v>
      </c>
      <c r="N3" s="8">
        <f t="shared" si="0"/>
        <v>2537</v>
      </c>
      <c r="O3" s="1"/>
      <c r="P3" s="30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4">
      <c r="A4" s="1" t="s">
        <v>23</v>
      </c>
      <c r="B4" s="1" t="s">
        <v>24</v>
      </c>
      <c r="C4" s="3">
        <v>45629</v>
      </c>
      <c r="D4" s="1" t="s">
        <v>25</v>
      </c>
      <c r="E4" s="1" t="s">
        <v>26</v>
      </c>
      <c r="F4" s="7">
        <v>3092</v>
      </c>
      <c r="G4" s="7">
        <v>177</v>
      </c>
      <c r="H4" s="7">
        <v>81</v>
      </c>
      <c r="I4" s="7">
        <v>47533</v>
      </c>
      <c r="J4" s="7">
        <v>29220</v>
      </c>
      <c r="K4" s="7">
        <v>121</v>
      </c>
      <c r="L4" s="1" t="s">
        <v>27</v>
      </c>
      <c r="M4" s="1" t="s">
        <v>18</v>
      </c>
      <c r="N4" s="8">
        <f t="shared" si="0"/>
        <v>3350</v>
      </c>
      <c r="O4" s="1"/>
      <c r="P4" s="30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4.4">
      <c r="A5" s="1" t="s">
        <v>28</v>
      </c>
      <c r="B5" s="1" t="s">
        <v>14</v>
      </c>
      <c r="C5" s="3">
        <v>45629</v>
      </c>
      <c r="D5" s="1" t="s">
        <v>15</v>
      </c>
      <c r="E5" s="1" t="s">
        <v>29</v>
      </c>
      <c r="F5" s="7">
        <v>3173</v>
      </c>
      <c r="G5" s="7">
        <v>229</v>
      </c>
      <c r="H5" s="7">
        <v>197</v>
      </c>
      <c r="I5" s="7">
        <v>29604</v>
      </c>
      <c r="J5" s="7">
        <v>21809</v>
      </c>
      <c r="K5" s="7">
        <v>272</v>
      </c>
      <c r="L5" s="1" t="s">
        <v>17</v>
      </c>
      <c r="M5" s="1" t="s">
        <v>18</v>
      </c>
      <c r="N5" s="8">
        <f t="shared" si="0"/>
        <v>3599</v>
      </c>
      <c r="O5" s="1"/>
      <c r="P5" s="30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4">
      <c r="A6" s="1" t="s">
        <v>30</v>
      </c>
      <c r="B6" s="1" t="s">
        <v>31</v>
      </c>
      <c r="C6" s="3">
        <v>45388</v>
      </c>
      <c r="D6" s="1" t="s">
        <v>15</v>
      </c>
      <c r="E6" s="1" t="s">
        <v>32</v>
      </c>
      <c r="F6" s="7">
        <v>2748</v>
      </c>
      <c r="G6" s="7">
        <v>145</v>
      </c>
      <c r="H6" s="7">
        <v>315</v>
      </c>
      <c r="I6" s="7">
        <v>24401</v>
      </c>
      <c r="J6" s="7">
        <v>61182</v>
      </c>
      <c r="K6" s="7">
        <v>200</v>
      </c>
      <c r="L6" s="1" t="s">
        <v>33</v>
      </c>
      <c r="M6" s="1" t="s">
        <v>22</v>
      </c>
      <c r="N6" s="8">
        <f t="shared" si="0"/>
        <v>3208</v>
      </c>
      <c r="O6" s="1"/>
      <c r="P6" s="30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4.4">
      <c r="A7" s="1" t="s">
        <v>34</v>
      </c>
      <c r="B7" s="1" t="s">
        <v>31</v>
      </c>
      <c r="C7" s="3">
        <v>45456</v>
      </c>
      <c r="D7" s="1" t="s">
        <v>15</v>
      </c>
      <c r="E7" s="1" t="s">
        <v>35</v>
      </c>
      <c r="F7" s="7">
        <v>3882</v>
      </c>
      <c r="G7" s="7">
        <v>239</v>
      </c>
      <c r="H7" s="7">
        <v>275</v>
      </c>
      <c r="I7" s="7">
        <v>58748</v>
      </c>
      <c r="J7" s="7">
        <v>44646</v>
      </c>
      <c r="K7" s="7">
        <v>149</v>
      </c>
      <c r="L7" s="1" t="s">
        <v>33</v>
      </c>
      <c r="M7" s="1" t="s">
        <v>22</v>
      </c>
      <c r="N7" s="8">
        <f t="shared" si="0"/>
        <v>4396</v>
      </c>
      <c r="O7" s="1"/>
      <c r="P7" s="30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4">
      <c r="A8" s="1" t="s">
        <v>36</v>
      </c>
      <c r="B8" s="1" t="s">
        <v>24</v>
      </c>
      <c r="C8" s="3">
        <v>45645</v>
      </c>
      <c r="D8" s="1" t="s">
        <v>25</v>
      </c>
      <c r="E8" s="1" t="s">
        <v>37</v>
      </c>
      <c r="F8" s="7">
        <v>4674</v>
      </c>
      <c r="G8" s="7">
        <v>409</v>
      </c>
      <c r="H8" s="7">
        <v>327</v>
      </c>
      <c r="I8" s="7">
        <v>20756</v>
      </c>
      <c r="J8" s="7">
        <v>63599</v>
      </c>
      <c r="K8" s="7">
        <v>212</v>
      </c>
      <c r="L8" s="1" t="s">
        <v>17</v>
      </c>
      <c r="M8" s="1" t="s">
        <v>18</v>
      </c>
      <c r="N8" s="8">
        <f t="shared" si="0"/>
        <v>5410</v>
      </c>
      <c r="O8" s="1"/>
      <c r="P8" s="30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4">
      <c r="A9" s="1" t="s">
        <v>38</v>
      </c>
      <c r="B9" s="1" t="s">
        <v>24</v>
      </c>
      <c r="C9" s="3">
        <v>45421</v>
      </c>
      <c r="D9" s="1" t="s">
        <v>25</v>
      </c>
      <c r="E9" s="1" t="s">
        <v>29</v>
      </c>
      <c r="F9" s="7">
        <v>1428</v>
      </c>
      <c r="G9" s="7">
        <v>347</v>
      </c>
      <c r="H9" s="7">
        <v>67</v>
      </c>
      <c r="I9" s="7">
        <v>21148</v>
      </c>
      <c r="J9" s="7">
        <v>19712</v>
      </c>
      <c r="K9" s="7">
        <v>120</v>
      </c>
      <c r="L9" s="1" t="s">
        <v>39</v>
      </c>
      <c r="M9" s="1" t="s">
        <v>18</v>
      </c>
      <c r="N9" s="8">
        <f t="shared" si="0"/>
        <v>1842</v>
      </c>
      <c r="O9" s="1"/>
      <c r="P9" s="30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4.4">
      <c r="A10" s="1" t="s">
        <v>40</v>
      </c>
      <c r="B10" s="1" t="s">
        <v>24</v>
      </c>
      <c r="C10" s="3">
        <v>45823</v>
      </c>
      <c r="D10" s="1" t="s">
        <v>15</v>
      </c>
      <c r="E10" s="1" t="s">
        <v>41</v>
      </c>
      <c r="F10" s="7">
        <v>4432</v>
      </c>
      <c r="G10" s="7">
        <v>223</v>
      </c>
      <c r="H10" s="7">
        <v>299</v>
      </c>
      <c r="I10" s="7">
        <v>59016</v>
      </c>
      <c r="J10" s="7">
        <v>21742</v>
      </c>
      <c r="K10" s="7">
        <v>171</v>
      </c>
      <c r="L10" s="1" t="s">
        <v>42</v>
      </c>
      <c r="M10" s="1" t="s">
        <v>18</v>
      </c>
      <c r="N10" s="8">
        <f t="shared" si="0"/>
        <v>4954</v>
      </c>
      <c r="O10" s="1"/>
      <c r="P10" s="30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4.4">
      <c r="A11" s="1" t="s">
        <v>43</v>
      </c>
      <c r="B11" s="1" t="s">
        <v>24</v>
      </c>
      <c r="C11" s="3">
        <v>45630</v>
      </c>
      <c r="D11" s="1" t="s">
        <v>15</v>
      </c>
      <c r="E11" s="1" t="s">
        <v>29</v>
      </c>
      <c r="F11" s="7">
        <v>2357</v>
      </c>
      <c r="G11" s="7">
        <v>274</v>
      </c>
      <c r="H11" s="7">
        <v>172</v>
      </c>
      <c r="I11" s="7">
        <v>21566</v>
      </c>
      <c r="J11" s="7">
        <v>66829</v>
      </c>
      <c r="K11" s="7">
        <v>284</v>
      </c>
      <c r="L11" s="1" t="s">
        <v>42</v>
      </c>
      <c r="M11" s="1" t="s">
        <v>18</v>
      </c>
      <c r="N11" s="8">
        <f t="shared" si="0"/>
        <v>2803</v>
      </c>
      <c r="O11" s="1"/>
      <c r="P11" s="30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4">
      <c r="A12" s="1" t="s">
        <v>44</v>
      </c>
      <c r="B12" s="1" t="s">
        <v>24</v>
      </c>
      <c r="C12" s="3">
        <v>45357</v>
      </c>
      <c r="D12" s="1" t="s">
        <v>15</v>
      </c>
      <c r="E12" s="1" t="s">
        <v>16</v>
      </c>
      <c r="F12" s="7">
        <v>1971</v>
      </c>
      <c r="G12" s="7">
        <v>370</v>
      </c>
      <c r="H12" s="7">
        <v>306</v>
      </c>
      <c r="I12" s="7">
        <v>31316</v>
      </c>
      <c r="J12" s="7">
        <v>27897</v>
      </c>
      <c r="K12" s="7">
        <v>88</v>
      </c>
      <c r="L12" s="1" t="s">
        <v>45</v>
      </c>
      <c r="M12" s="1" t="s">
        <v>22</v>
      </c>
      <c r="N12" s="8">
        <f t="shared" si="0"/>
        <v>2647</v>
      </c>
      <c r="O12" s="1"/>
      <c r="P12" s="30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4.4">
      <c r="A13" s="1" t="s">
        <v>46</v>
      </c>
      <c r="B13" s="1" t="s">
        <v>14</v>
      </c>
      <c r="C13" s="3">
        <v>45426</v>
      </c>
      <c r="D13" s="1" t="s">
        <v>15</v>
      </c>
      <c r="E13" s="1" t="s">
        <v>16</v>
      </c>
      <c r="F13" s="7">
        <v>1485</v>
      </c>
      <c r="G13" s="7">
        <v>353</v>
      </c>
      <c r="H13" s="7">
        <v>244</v>
      </c>
      <c r="I13" s="7">
        <v>38419</v>
      </c>
      <c r="J13" s="7">
        <v>38556</v>
      </c>
      <c r="K13" s="7">
        <v>86</v>
      </c>
      <c r="L13" s="1" t="s">
        <v>17</v>
      </c>
      <c r="M13" s="1" t="s">
        <v>18</v>
      </c>
      <c r="N13" s="8">
        <f t="shared" si="0"/>
        <v>2082</v>
      </c>
      <c r="O13" s="1"/>
      <c r="P13" s="30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4.4">
      <c r="A14" s="1" t="s">
        <v>47</v>
      </c>
      <c r="B14" s="1" t="s">
        <v>24</v>
      </c>
      <c r="C14" s="3">
        <v>45826</v>
      </c>
      <c r="D14" s="1" t="s">
        <v>25</v>
      </c>
      <c r="E14" s="1" t="s">
        <v>16</v>
      </c>
      <c r="F14" s="7">
        <v>3956</v>
      </c>
      <c r="G14" s="7">
        <v>319</v>
      </c>
      <c r="H14" s="7">
        <v>61</v>
      </c>
      <c r="I14" s="7">
        <v>58162</v>
      </c>
      <c r="J14" s="7">
        <v>28720</v>
      </c>
      <c r="K14" s="7">
        <v>213</v>
      </c>
      <c r="L14" s="1" t="s">
        <v>27</v>
      </c>
      <c r="M14" s="1" t="s">
        <v>18</v>
      </c>
      <c r="N14" s="8">
        <f t="shared" si="0"/>
        <v>4336</v>
      </c>
      <c r="O14" s="1"/>
      <c r="P14" s="30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4.4">
      <c r="A15" s="1" t="s">
        <v>48</v>
      </c>
      <c r="B15" s="1" t="s">
        <v>24</v>
      </c>
      <c r="C15" s="3">
        <v>45573</v>
      </c>
      <c r="D15" s="1" t="s">
        <v>15</v>
      </c>
      <c r="E15" s="1" t="s">
        <v>49</v>
      </c>
      <c r="F15" s="7">
        <v>2460</v>
      </c>
      <c r="G15" s="7">
        <v>409</v>
      </c>
      <c r="H15" s="7">
        <v>253</v>
      </c>
      <c r="I15" s="7">
        <v>36702</v>
      </c>
      <c r="J15" s="7">
        <v>46122</v>
      </c>
      <c r="K15" s="7">
        <v>264</v>
      </c>
      <c r="L15" s="1" t="s">
        <v>42</v>
      </c>
      <c r="M15" s="1" t="s">
        <v>18</v>
      </c>
      <c r="N15" s="8">
        <f t="shared" si="0"/>
        <v>3122</v>
      </c>
      <c r="O15" s="1"/>
      <c r="P15" s="30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4.4">
      <c r="A16" s="1" t="s">
        <v>50</v>
      </c>
      <c r="B16" s="1" t="s">
        <v>24</v>
      </c>
      <c r="C16" s="3">
        <v>45418</v>
      </c>
      <c r="D16" s="1" t="s">
        <v>15</v>
      </c>
      <c r="E16" s="1" t="s">
        <v>51</v>
      </c>
      <c r="F16" s="7">
        <v>3476</v>
      </c>
      <c r="G16" s="7">
        <v>355</v>
      </c>
      <c r="H16" s="7">
        <v>396</v>
      </c>
      <c r="I16" s="7">
        <v>37492</v>
      </c>
      <c r="J16" s="7">
        <v>27285</v>
      </c>
      <c r="K16" s="7">
        <v>179</v>
      </c>
      <c r="L16" s="1" t="s">
        <v>42</v>
      </c>
      <c r="M16" s="1" t="s">
        <v>18</v>
      </c>
      <c r="N16" s="8">
        <f t="shared" si="0"/>
        <v>4227</v>
      </c>
      <c r="O16" s="1"/>
      <c r="P16" s="30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4.4">
      <c r="A17" s="1" t="s">
        <v>52</v>
      </c>
      <c r="B17" s="1" t="s">
        <v>24</v>
      </c>
      <c r="C17" s="3">
        <v>45655</v>
      </c>
      <c r="D17" s="1" t="s">
        <v>25</v>
      </c>
      <c r="E17" s="1" t="s">
        <v>26</v>
      </c>
      <c r="F17" s="7">
        <v>4049</v>
      </c>
      <c r="G17" s="7">
        <v>377</v>
      </c>
      <c r="H17" s="7">
        <v>94</v>
      </c>
      <c r="I17" s="7">
        <v>48182</v>
      </c>
      <c r="J17" s="7">
        <v>42875</v>
      </c>
      <c r="K17" s="7">
        <v>172</v>
      </c>
      <c r="L17" s="1" t="s">
        <v>27</v>
      </c>
      <c r="M17" s="1" t="s">
        <v>18</v>
      </c>
      <c r="N17" s="8">
        <f t="shared" si="0"/>
        <v>4520</v>
      </c>
      <c r="O17" s="1"/>
      <c r="P17" s="30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.4">
      <c r="A18" s="1" t="s">
        <v>53</v>
      </c>
      <c r="B18" s="1" t="s">
        <v>24</v>
      </c>
      <c r="C18" s="3">
        <v>45453</v>
      </c>
      <c r="D18" s="1" t="s">
        <v>15</v>
      </c>
      <c r="E18" s="1" t="s">
        <v>35</v>
      </c>
      <c r="F18" s="7">
        <v>1514</v>
      </c>
      <c r="G18" s="7">
        <v>164</v>
      </c>
      <c r="H18" s="7">
        <v>275</v>
      </c>
      <c r="I18" s="7">
        <v>41364</v>
      </c>
      <c r="J18" s="7">
        <v>44389</v>
      </c>
      <c r="K18" s="7">
        <v>83</v>
      </c>
      <c r="L18" s="1" t="s">
        <v>42</v>
      </c>
      <c r="M18" s="1" t="s">
        <v>18</v>
      </c>
      <c r="N18" s="8">
        <f t="shared" si="0"/>
        <v>1953</v>
      </c>
      <c r="O18" s="1"/>
      <c r="P18" s="30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4.4">
      <c r="A19" s="1" t="s">
        <v>54</v>
      </c>
      <c r="B19" s="1" t="s">
        <v>14</v>
      </c>
      <c r="C19" s="3">
        <v>45325</v>
      </c>
      <c r="D19" s="1" t="s">
        <v>25</v>
      </c>
      <c r="E19" s="1" t="s">
        <v>32</v>
      </c>
      <c r="F19" s="7">
        <v>4281</v>
      </c>
      <c r="G19" s="7">
        <v>101</v>
      </c>
      <c r="H19" s="7">
        <v>163</v>
      </c>
      <c r="I19" s="7">
        <v>32278</v>
      </c>
      <c r="J19" s="7">
        <v>53382</v>
      </c>
      <c r="K19" s="7">
        <v>235</v>
      </c>
      <c r="L19" s="1" t="s">
        <v>42</v>
      </c>
      <c r="M19" s="1" t="s">
        <v>55</v>
      </c>
      <c r="N19" s="8">
        <f t="shared" si="0"/>
        <v>4545</v>
      </c>
      <c r="O19" s="1"/>
      <c r="P19" s="30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4">
      <c r="A20" s="1" t="s">
        <v>56</v>
      </c>
      <c r="B20" s="1" t="s">
        <v>31</v>
      </c>
      <c r="C20" s="3">
        <v>45458</v>
      </c>
      <c r="D20" s="1" t="s">
        <v>57</v>
      </c>
      <c r="E20" s="1" t="s">
        <v>37</v>
      </c>
      <c r="F20" s="7">
        <v>1751</v>
      </c>
      <c r="G20" s="7">
        <v>143</v>
      </c>
      <c r="H20" s="7">
        <v>151</v>
      </c>
      <c r="I20" s="7">
        <v>31826</v>
      </c>
      <c r="J20" s="7">
        <v>47729</v>
      </c>
      <c r="K20" s="7">
        <v>95</v>
      </c>
      <c r="L20" s="1" t="s">
        <v>58</v>
      </c>
      <c r="M20" s="1" t="s">
        <v>59</v>
      </c>
      <c r="N20" s="8">
        <f t="shared" si="0"/>
        <v>2045</v>
      </c>
      <c r="O20" s="1"/>
      <c r="P20" s="30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4.4">
      <c r="A21" s="1" t="s">
        <v>60</v>
      </c>
      <c r="B21" s="1" t="s">
        <v>14</v>
      </c>
      <c r="C21" s="3">
        <v>45478</v>
      </c>
      <c r="D21" s="1" t="s">
        <v>15</v>
      </c>
      <c r="E21" s="1" t="s">
        <v>51</v>
      </c>
      <c r="F21" s="7">
        <v>3753</v>
      </c>
      <c r="G21" s="7">
        <v>411</v>
      </c>
      <c r="H21" s="7">
        <v>308</v>
      </c>
      <c r="I21" s="7">
        <v>29138</v>
      </c>
      <c r="J21" s="7">
        <v>27678</v>
      </c>
      <c r="K21" s="7">
        <v>90</v>
      </c>
      <c r="L21" s="1" t="s">
        <v>21</v>
      </c>
      <c r="M21" s="1" t="s">
        <v>22</v>
      </c>
      <c r="N21" s="8">
        <f t="shared" si="0"/>
        <v>4472</v>
      </c>
      <c r="O21" s="1"/>
      <c r="P21" s="30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4.4">
      <c r="A22" s="1" t="s">
        <v>61</v>
      </c>
      <c r="B22" s="1" t="s">
        <v>14</v>
      </c>
      <c r="C22" s="3">
        <v>45603</v>
      </c>
      <c r="D22" s="1" t="s">
        <v>25</v>
      </c>
      <c r="E22" s="1" t="s">
        <v>29</v>
      </c>
      <c r="F22" s="7">
        <v>1678</v>
      </c>
      <c r="G22" s="7">
        <v>423</v>
      </c>
      <c r="H22" s="7">
        <v>323</v>
      </c>
      <c r="I22" s="7">
        <v>55668</v>
      </c>
      <c r="J22" s="7">
        <v>37945</v>
      </c>
      <c r="K22" s="7">
        <v>230</v>
      </c>
      <c r="L22" s="1" t="s">
        <v>42</v>
      </c>
      <c r="M22" s="1" t="s">
        <v>55</v>
      </c>
      <c r="N22" s="8">
        <f t="shared" si="0"/>
        <v>2424</v>
      </c>
      <c r="O22" s="1"/>
      <c r="P22" s="30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4.4">
      <c r="A23" s="1" t="s">
        <v>62</v>
      </c>
      <c r="B23" s="1" t="s">
        <v>14</v>
      </c>
      <c r="C23" s="3">
        <v>45823</v>
      </c>
      <c r="D23" s="1" t="s">
        <v>15</v>
      </c>
      <c r="E23" s="1" t="s">
        <v>35</v>
      </c>
      <c r="F23" s="7">
        <v>4896</v>
      </c>
      <c r="G23" s="7">
        <v>466</v>
      </c>
      <c r="H23" s="7">
        <v>233</v>
      </c>
      <c r="I23" s="7">
        <v>28621</v>
      </c>
      <c r="J23" s="7">
        <v>34270</v>
      </c>
      <c r="K23" s="7">
        <v>84</v>
      </c>
      <c r="L23" s="1" t="s">
        <v>17</v>
      </c>
      <c r="M23" s="1" t="s">
        <v>18</v>
      </c>
      <c r="N23" s="8">
        <f t="shared" si="0"/>
        <v>5595</v>
      </c>
      <c r="O23" s="1"/>
      <c r="P23" s="30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4">
      <c r="A24" s="1" t="s">
        <v>63</v>
      </c>
      <c r="B24" s="1" t="s">
        <v>31</v>
      </c>
      <c r="C24" s="3">
        <v>45452</v>
      </c>
      <c r="D24" s="1" t="s">
        <v>57</v>
      </c>
      <c r="E24" s="1" t="s">
        <v>49</v>
      </c>
      <c r="F24" s="7">
        <v>2786</v>
      </c>
      <c r="G24" s="7">
        <v>368</v>
      </c>
      <c r="H24" s="7">
        <v>208</v>
      </c>
      <c r="I24" s="7">
        <v>42000</v>
      </c>
      <c r="J24" s="7">
        <v>39967</v>
      </c>
      <c r="K24" s="7">
        <v>103</v>
      </c>
      <c r="L24" s="1" t="s">
        <v>58</v>
      </c>
      <c r="M24" s="1" t="s">
        <v>59</v>
      </c>
      <c r="N24" s="8">
        <f t="shared" si="0"/>
        <v>3362</v>
      </c>
      <c r="O24" s="1"/>
      <c r="P24" s="30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4.4">
      <c r="A25" s="1" t="s">
        <v>64</v>
      </c>
      <c r="B25" s="1" t="s">
        <v>24</v>
      </c>
      <c r="C25" s="3">
        <v>45583</v>
      </c>
      <c r="D25" s="1" t="s">
        <v>15</v>
      </c>
      <c r="E25" s="1" t="s">
        <v>26</v>
      </c>
      <c r="F25" s="7">
        <v>2607</v>
      </c>
      <c r="G25" s="7">
        <v>379</v>
      </c>
      <c r="H25" s="7">
        <v>180</v>
      </c>
      <c r="I25" s="7">
        <v>28712</v>
      </c>
      <c r="J25" s="7">
        <v>61620</v>
      </c>
      <c r="K25" s="7">
        <v>174</v>
      </c>
      <c r="L25" s="1" t="s">
        <v>45</v>
      </c>
      <c r="M25" s="1" t="s">
        <v>22</v>
      </c>
      <c r="N25" s="8">
        <f t="shared" si="0"/>
        <v>3166</v>
      </c>
      <c r="O25" s="1"/>
      <c r="P25" s="30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4">
      <c r="A26" s="1" t="s">
        <v>65</v>
      </c>
      <c r="B26" s="1" t="s">
        <v>31</v>
      </c>
      <c r="C26" s="3">
        <v>45575</v>
      </c>
      <c r="D26" s="1" t="s">
        <v>57</v>
      </c>
      <c r="E26" s="1" t="s">
        <v>49</v>
      </c>
      <c r="F26" s="7">
        <v>4013</v>
      </c>
      <c r="G26" s="7">
        <v>320</v>
      </c>
      <c r="H26" s="7">
        <v>92</v>
      </c>
      <c r="I26" s="7">
        <v>54605</v>
      </c>
      <c r="J26" s="7">
        <v>60169</v>
      </c>
      <c r="K26" s="7">
        <v>232</v>
      </c>
      <c r="L26" s="1" t="s">
        <v>58</v>
      </c>
      <c r="M26" s="1" t="s">
        <v>59</v>
      </c>
      <c r="N26" s="8">
        <f t="shared" si="0"/>
        <v>4425</v>
      </c>
      <c r="O26" s="1"/>
      <c r="P26" s="30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4.4">
      <c r="A27" s="1" t="s">
        <v>66</v>
      </c>
      <c r="B27" s="1" t="s">
        <v>24</v>
      </c>
      <c r="C27" s="3">
        <v>45791</v>
      </c>
      <c r="D27" s="1" t="s">
        <v>25</v>
      </c>
      <c r="E27" s="1" t="s">
        <v>49</v>
      </c>
      <c r="F27" s="7">
        <v>2707</v>
      </c>
      <c r="G27" s="7">
        <v>103</v>
      </c>
      <c r="H27" s="7">
        <v>51</v>
      </c>
      <c r="I27" s="7">
        <v>55302</v>
      </c>
      <c r="J27" s="7">
        <v>18801</v>
      </c>
      <c r="K27" s="7">
        <v>147</v>
      </c>
      <c r="L27" s="1" t="s">
        <v>39</v>
      </c>
      <c r="M27" s="1" t="s">
        <v>18</v>
      </c>
      <c r="N27" s="8">
        <f t="shared" si="0"/>
        <v>2861</v>
      </c>
      <c r="O27" s="1"/>
      <c r="P27" s="30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4">
      <c r="A28" s="1" t="s">
        <v>67</v>
      </c>
      <c r="B28" s="1" t="s">
        <v>14</v>
      </c>
      <c r="C28" s="3">
        <v>45625</v>
      </c>
      <c r="D28" s="1" t="s">
        <v>15</v>
      </c>
      <c r="E28" s="1" t="s">
        <v>35</v>
      </c>
      <c r="F28" s="7">
        <v>2824</v>
      </c>
      <c r="G28" s="7">
        <v>425</v>
      </c>
      <c r="H28" s="7">
        <v>274</v>
      </c>
      <c r="I28" s="7">
        <v>31004</v>
      </c>
      <c r="J28" s="7">
        <v>53488</v>
      </c>
      <c r="K28" s="7">
        <v>268</v>
      </c>
      <c r="L28" s="1" t="s">
        <v>17</v>
      </c>
      <c r="M28" s="1" t="s">
        <v>18</v>
      </c>
      <c r="N28" s="8">
        <f t="shared" si="0"/>
        <v>3523</v>
      </c>
      <c r="O28" s="1"/>
      <c r="P28" s="30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4.4">
      <c r="A29" s="1" t="s">
        <v>68</v>
      </c>
      <c r="B29" s="1" t="s">
        <v>31</v>
      </c>
      <c r="C29" s="3">
        <v>45356</v>
      </c>
      <c r="D29" s="1" t="s">
        <v>57</v>
      </c>
      <c r="E29" s="1" t="s">
        <v>20</v>
      </c>
      <c r="F29" s="7">
        <v>3558</v>
      </c>
      <c r="G29" s="7">
        <v>314</v>
      </c>
      <c r="H29" s="7">
        <v>199</v>
      </c>
      <c r="I29" s="7">
        <v>49612</v>
      </c>
      <c r="J29" s="7">
        <v>53929</v>
      </c>
      <c r="K29" s="7">
        <v>206</v>
      </c>
      <c r="L29" s="1" t="s">
        <v>58</v>
      </c>
      <c r="M29" s="1" t="s">
        <v>59</v>
      </c>
      <c r="N29" s="8">
        <f t="shared" si="0"/>
        <v>4071</v>
      </c>
      <c r="O29" s="1"/>
      <c r="P29" s="30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4">
      <c r="A30" s="1" t="s">
        <v>69</v>
      </c>
      <c r="B30" s="1" t="s">
        <v>24</v>
      </c>
      <c r="C30" s="3">
        <v>45734</v>
      </c>
      <c r="D30" s="1" t="s">
        <v>25</v>
      </c>
      <c r="E30" s="1" t="s">
        <v>20</v>
      </c>
      <c r="F30" s="7">
        <v>3418</v>
      </c>
      <c r="G30" s="7">
        <v>188</v>
      </c>
      <c r="H30" s="7">
        <v>387</v>
      </c>
      <c r="I30" s="7">
        <v>57431</v>
      </c>
      <c r="J30" s="7">
        <v>36933</v>
      </c>
      <c r="K30" s="7">
        <v>202</v>
      </c>
      <c r="L30" s="1" t="s">
        <v>27</v>
      </c>
      <c r="M30" s="1" t="s">
        <v>18</v>
      </c>
      <c r="N30" s="8">
        <f t="shared" si="0"/>
        <v>3993</v>
      </c>
      <c r="O30" s="1"/>
      <c r="P30" s="30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4">
      <c r="A31" s="1" t="s">
        <v>70</v>
      </c>
      <c r="B31" s="1" t="s">
        <v>24</v>
      </c>
      <c r="C31" s="3">
        <v>45773</v>
      </c>
      <c r="D31" s="1" t="s">
        <v>15</v>
      </c>
      <c r="E31" s="1" t="s">
        <v>16</v>
      </c>
      <c r="F31" s="7">
        <v>2411</v>
      </c>
      <c r="G31" s="7">
        <v>194</v>
      </c>
      <c r="H31" s="7">
        <v>168</v>
      </c>
      <c r="I31" s="7">
        <v>26665</v>
      </c>
      <c r="J31" s="7">
        <v>71699</v>
      </c>
      <c r="K31" s="7">
        <v>197</v>
      </c>
      <c r="L31" s="1" t="s">
        <v>42</v>
      </c>
      <c r="M31" s="1" t="s">
        <v>18</v>
      </c>
      <c r="N31" s="8">
        <f t="shared" si="0"/>
        <v>2773</v>
      </c>
      <c r="O31" s="1"/>
      <c r="P31" s="30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4">
      <c r="A32" s="1" t="s">
        <v>71</v>
      </c>
      <c r="B32" s="1" t="s">
        <v>14</v>
      </c>
      <c r="C32" s="3">
        <v>45658</v>
      </c>
      <c r="D32" s="1" t="s">
        <v>15</v>
      </c>
      <c r="E32" s="1" t="s">
        <v>26</v>
      </c>
      <c r="F32" s="7">
        <v>4036</v>
      </c>
      <c r="G32" s="7">
        <v>112</v>
      </c>
      <c r="H32" s="7">
        <v>382</v>
      </c>
      <c r="I32" s="7">
        <v>56284</v>
      </c>
      <c r="J32" s="7">
        <v>29440</v>
      </c>
      <c r="K32" s="7">
        <v>279</v>
      </c>
      <c r="L32" s="1" t="s">
        <v>17</v>
      </c>
      <c r="M32" s="1" t="s">
        <v>18</v>
      </c>
      <c r="N32" s="8">
        <f t="shared" si="0"/>
        <v>4530</v>
      </c>
      <c r="O32" s="1"/>
      <c r="P32" s="30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4">
      <c r="A33" s="1" t="s">
        <v>72</v>
      </c>
      <c r="B33" s="1" t="s">
        <v>24</v>
      </c>
      <c r="C33" s="3">
        <v>45419</v>
      </c>
      <c r="D33" s="1" t="s">
        <v>25</v>
      </c>
      <c r="E33" s="1" t="s">
        <v>20</v>
      </c>
      <c r="F33" s="7">
        <v>2776</v>
      </c>
      <c r="G33" s="7">
        <v>307</v>
      </c>
      <c r="H33" s="7">
        <v>178</v>
      </c>
      <c r="I33" s="7">
        <v>43365</v>
      </c>
      <c r="J33" s="7">
        <v>48408</v>
      </c>
      <c r="K33" s="7">
        <v>138</v>
      </c>
      <c r="L33" s="1" t="s">
        <v>17</v>
      </c>
      <c r="M33" s="1" t="s">
        <v>18</v>
      </c>
      <c r="N33" s="8">
        <f t="shared" si="0"/>
        <v>3261</v>
      </c>
      <c r="O33" s="1"/>
      <c r="P33" s="30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4">
      <c r="A34" s="1" t="s">
        <v>73</v>
      </c>
      <c r="B34" s="1" t="s">
        <v>24</v>
      </c>
      <c r="C34" s="3">
        <v>45574</v>
      </c>
      <c r="D34" s="1" t="s">
        <v>25</v>
      </c>
      <c r="E34" s="1" t="s">
        <v>16</v>
      </c>
      <c r="F34" s="7">
        <v>4929</v>
      </c>
      <c r="G34" s="7">
        <v>182</v>
      </c>
      <c r="H34" s="7">
        <v>95</v>
      </c>
      <c r="I34" s="7">
        <v>32181</v>
      </c>
      <c r="J34" s="7">
        <v>31084</v>
      </c>
      <c r="K34" s="7">
        <v>289</v>
      </c>
      <c r="L34" s="1" t="s">
        <v>39</v>
      </c>
      <c r="M34" s="1" t="s">
        <v>18</v>
      </c>
      <c r="N34" s="8">
        <f t="shared" si="0"/>
        <v>5206</v>
      </c>
      <c r="O34" s="1"/>
      <c r="P34" s="30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4">
      <c r="A35" s="1" t="s">
        <v>74</v>
      </c>
      <c r="B35" s="1" t="s">
        <v>14</v>
      </c>
      <c r="C35" s="3">
        <v>45666</v>
      </c>
      <c r="D35" s="1" t="s">
        <v>15</v>
      </c>
      <c r="E35" s="1" t="s">
        <v>26</v>
      </c>
      <c r="F35" s="7">
        <v>1015</v>
      </c>
      <c r="G35" s="7">
        <v>366</v>
      </c>
      <c r="H35" s="7">
        <v>308</v>
      </c>
      <c r="I35" s="7">
        <v>38127</v>
      </c>
      <c r="J35" s="7">
        <v>63790</v>
      </c>
      <c r="K35" s="7">
        <v>287</v>
      </c>
      <c r="L35" s="1" t="s">
        <v>17</v>
      </c>
      <c r="M35" s="1" t="s">
        <v>18</v>
      </c>
      <c r="N35" s="8">
        <f t="shared" si="0"/>
        <v>1689</v>
      </c>
      <c r="O35" s="1"/>
      <c r="P35" s="30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4">
      <c r="A36" s="1" t="s">
        <v>75</v>
      </c>
      <c r="B36" s="1" t="s">
        <v>24</v>
      </c>
      <c r="C36" s="3">
        <v>45785</v>
      </c>
      <c r="D36" s="1" t="s">
        <v>25</v>
      </c>
      <c r="E36" s="1" t="s">
        <v>51</v>
      </c>
      <c r="F36" s="7">
        <v>3316</v>
      </c>
      <c r="G36" s="7">
        <v>332</v>
      </c>
      <c r="H36" s="7">
        <v>268</v>
      </c>
      <c r="I36" s="7">
        <v>40095</v>
      </c>
      <c r="J36" s="7">
        <v>36913</v>
      </c>
      <c r="K36" s="7">
        <v>265</v>
      </c>
      <c r="L36" s="1" t="s">
        <v>27</v>
      </c>
      <c r="M36" s="1" t="s">
        <v>18</v>
      </c>
      <c r="N36" s="8">
        <f t="shared" si="0"/>
        <v>3916</v>
      </c>
      <c r="O36" s="1"/>
      <c r="P36" s="30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4">
      <c r="A37" s="1" t="s">
        <v>76</v>
      </c>
      <c r="B37" s="1" t="s">
        <v>14</v>
      </c>
      <c r="C37" s="3">
        <v>45416</v>
      </c>
      <c r="D37" s="1" t="s">
        <v>15</v>
      </c>
      <c r="E37" s="1" t="s">
        <v>29</v>
      </c>
      <c r="F37" s="7">
        <v>2274</v>
      </c>
      <c r="G37" s="7">
        <v>243</v>
      </c>
      <c r="H37" s="7">
        <v>222</v>
      </c>
      <c r="I37" s="7">
        <v>43066</v>
      </c>
      <c r="J37" s="7">
        <v>59174</v>
      </c>
      <c r="K37" s="7">
        <v>80</v>
      </c>
      <c r="L37" s="1" t="s">
        <v>21</v>
      </c>
      <c r="M37" s="1" t="s">
        <v>22</v>
      </c>
      <c r="N37" s="8">
        <f t="shared" si="0"/>
        <v>2739</v>
      </c>
      <c r="O37" s="1"/>
      <c r="P37" s="30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4">
      <c r="A38" s="1" t="s">
        <v>77</v>
      </c>
      <c r="B38" s="1" t="s">
        <v>24</v>
      </c>
      <c r="C38" s="3">
        <v>45804</v>
      </c>
      <c r="D38" s="1" t="s">
        <v>25</v>
      </c>
      <c r="E38" s="1" t="s">
        <v>20</v>
      </c>
      <c r="F38" s="7">
        <v>4095</v>
      </c>
      <c r="G38" s="7">
        <v>385</v>
      </c>
      <c r="H38" s="7">
        <v>400</v>
      </c>
      <c r="I38" s="7">
        <v>45300</v>
      </c>
      <c r="J38" s="7">
        <v>31795</v>
      </c>
      <c r="K38" s="7">
        <v>80</v>
      </c>
      <c r="L38" s="1" t="s">
        <v>27</v>
      </c>
      <c r="M38" s="1" t="s">
        <v>18</v>
      </c>
      <c r="N38" s="8">
        <f t="shared" si="0"/>
        <v>4880</v>
      </c>
      <c r="O38" s="1"/>
      <c r="P38" s="30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4.4">
      <c r="A39" s="1" t="s">
        <v>78</v>
      </c>
      <c r="B39" s="1" t="s">
        <v>14</v>
      </c>
      <c r="C39" s="3">
        <v>45545</v>
      </c>
      <c r="D39" s="1" t="s">
        <v>25</v>
      </c>
      <c r="E39" s="1" t="s">
        <v>26</v>
      </c>
      <c r="F39" s="7">
        <v>1230</v>
      </c>
      <c r="G39" s="7">
        <v>309</v>
      </c>
      <c r="H39" s="7">
        <v>207</v>
      </c>
      <c r="I39" s="7">
        <v>44629</v>
      </c>
      <c r="J39" s="7">
        <v>40699</v>
      </c>
      <c r="K39" s="7">
        <v>195</v>
      </c>
      <c r="L39" s="1" t="s">
        <v>42</v>
      </c>
      <c r="M39" s="1" t="s">
        <v>55</v>
      </c>
      <c r="N39" s="8">
        <f t="shared" si="0"/>
        <v>1746</v>
      </c>
      <c r="O39" s="1"/>
      <c r="P39" s="30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4.4">
      <c r="A40" s="1" t="s">
        <v>79</v>
      </c>
      <c r="B40" s="1" t="s">
        <v>14</v>
      </c>
      <c r="C40" s="3">
        <v>45621</v>
      </c>
      <c r="D40" s="1" t="s">
        <v>15</v>
      </c>
      <c r="E40" s="1" t="s">
        <v>49</v>
      </c>
      <c r="F40" s="7">
        <v>1341</v>
      </c>
      <c r="G40" s="7">
        <v>472</v>
      </c>
      <c r="H40" s="7">
        <v>238</v>
      </c>
      <c r="I40" s="7">
        <v>51386</v>
      </c>
      <c r="J40" s="7">
        <v>51706</v>
      </c>
      <c r="K40" s="7">
        <v>133</v>
      </c>
      <c r="L40" s="1" t="s">
        <v>21</v>
      </c>
      <c r="M40" s="1" t="s">
        <v>22</v>
      </c>
      <c r="N40" s="8">
        <f t="shared" si="0"/>
        <v>2051</v>
      </c>
      <c r="O40" s="1"/>
      <c r="P40" s="30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4">
      <c r="A41" s="1" t="s">
        <v>80</v>
      </c>
      <c r="B41" s="1" t="s">
        <v>24</v>
      </c>
      <c r="C41" s="3">
        <v>45818</v>
      </c>
      <c r="D41" s="1" t="s">
        <v>15</v>
      </c>
      <c r="E41" s="1" t="s">
        <v>20</v>
      </c>
      <c r="F41" s="7">
        <v>3615</v>
      </c>
      <c r="G41" s="7">
        <v>192</v>
      </c>
      <c r="H41" s="7">
        <v>162</v>
      </c>
      <c r="I41" s="7">
        <v>27492</v>
      </c>
      <c r="J41" s="7">
        <v>35341</v>
      </c>
      <c r="K41" s="7">
        <v>125</v>
      </c>
      <c r="L41" s="1" t="s">
        <v>42</v>
      </c>
      <c r="M41" s="1" t="s">
        <v>18</v>
      </c>
      <c r="N41" s="8">
        <f t="shared" si="0"/>
        <v>3969</v>
      </c>
      <c r="O41" s="1"/>
      <c r="P41" s="30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4">
      <c r="A42" s="1" t="s">
        <v>81</v>
      </c>
      <c r="B42" s="1" t="s">
        <v>14</v>
      </c>
      <c r="C42" s="3">
        <v>45401</v>
      </c>
      <c r="D42" s="1" t="s">
        <v>15</v>
      </c>
      <c r="E42" s="1" t="s">
        <v>26</v>
      </c>
      <c r="F42" s="7">
        <v>4001</v>
      </c>
      <c r="G42" s="7">
        <v>353</v>
      </c>
      <c r="H42" s="7">
        <v>129</v>
      </c>
      <c r="I42" s="7">
        <v>41265</v>
      </c>
      <c r="J42" s="7">
        <v>37279</v>
      </c>
      <c r="K42" s="7">
        <v>275</v>
      </c>
      <c r="L42" s="1" t="s">
        <v>17</v>
      </c>
      <c r="M42" s="1" t="s">
        <v>18</v>
      </c>
      <c r="N42" s="8">
        <f t="shared" si="0"/>
        <v>4483</v>
      </c>
      <c r="O42" s="1"/>
      <c r="P42" s="30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4.4">
      <c r="A43" s="1" t="s">
        <v>82</v>
      </c>
      <c r="B43" s="1" t="s">
        <v>14</v>
      </c>
      <c r="C43" s="3">
        <v>45683</v>
      </c>
      <c r="D43" s="1" t="s">
        <v>25</v>
      </c>
      <c r="E43" s="1" t="s">
        <v>35</v>
      </c>
      <c r="F43" s="7">
        <v>3451</v>
      </c>
      <c r="G43" s="7">
        <v>363</v>
      </c>
      <c r="H43" s="7">
        <v>393</v>
      </c>
      <c r="I43" s="7">
        <v>44853</v>
      </c>
      <c r="J43" s="7">
        <v>69032</v>
      </c>
      <c r="K43" s="7">
        <v>211</v>
      </c>
      <c r="L43" s="1" t="s">
        <v>42</v>
      </c>
      <c r="M43" s="1" t="s">
        <v>55</v>
      </c>
      <c r="N43" s="8">
        <f t="shared" si="0"/>
        <v>4207</v>
      </c>
      <c r="O43" s="1"/>
      <c r="P43" s="30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4.4">
      <c r="A44" s="1" t="s">
        <v>83</v>
      </c>
      <c r="B44" s="1" t="s">
        <v>14</v>
      </c>
      <c r="C44" s="3">
        <v>45702</v>
      </c>
      <c r="D44" s="1" t="s">
        <v>15</v>
      </c>
      <c r="E44" s="1" t="s">
        <v>41</v>
      </c>
      <c r="F44" s="7">
        <v>4891</v>
      </c>
      <c r="G44" s="7">
        <v>450</v>
      </c>
      <c r="H44" s="7">
        <v>387</v>
      </c>
      <c r="I44" s="7">
        <v>48746</v>
      </c>
      <c r="J44" s="7">
        <v>37312</v>
      </c>
      <c r="K44" s="7">
        <v>154</v>
      </c>
      <c r="L44" s="1" t="s">
        <v>17</v>
      </c>
      <c r="M44" s="1" t="s">
        <v>18</v>
      </c>
      <c r="N44" s="8">
        <f t="shared" si="0"/>
        <v>5728</v>
      </c>
      <c r="O44" s="1"/>
      <c r="P44" s="30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4">
      <c r="A45" s="1" t="s">
        <v>84</v>
      </c>
      <c r="B45" s="1" t="s">
        <v>14</v>
      </c>
      <c r="C45" s="3">
        <v>45541</v>
      </c>
      <c r="D45" s="1" t="s">
        <v>15</v>
      </c>
      <c r="E45" s="1" t="s">
        <v>26</v>
      </c>
      <c r="F45" s="7">
        <v>1452</v>
      </c>
      <c r="G45" s="7">
        <v>281</v>
      </c>
      <c r="H45" s="7">
        <v>326</v>
      </c>
      <c r="I45" s="7">
        <v>51556</v>
      </c>
      <c r="J45" s="7">
        <v>62599</v>
      </c>
      <c r="K45" s="7">
        <v>290</v>
      </c>
      <c r="L45" s="1" t="s">
        <v>21</v>
      </c>
      <c r="M45" s="1" t="s">
        <v>22</v>
      </c>
      <c r="N45" s="8">
        <f t="shared" si="0"/>
        <v>2059</v>
      </c>
      <c r="O45" s="1"/>
      <c r="P45" s="30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4">
      <c r="A46" s="1" t="s">
        <v>85</v>
      </c>
      <c r="B46" s="1" t="s">
        <v>31</v>
      </c>
      <c r="C46" s="3">
        <v>45487</v>
      </c>
      <c r="D46" s="1" t="s">
        <v>15</v>
      </c>
      <c r="E46" s="1" t="s">
        <v>51</v>
      </c>
      <c r="F46" s="7">
        <v>3806</v>
      </c>
      <c r="G46" s="7">
        <v>114</v>
      </c>
      <c r="H46" s="7">
        <v>278</v>
      </c>
      <c r="I46" s="7">
        <v>36148</v>
      </c>
      <c r="J46" s="7">
        <v>24209</v>
      </c>
      <c r="K46" s="7">
        <v>201</v>
      </c>
      <c r="L46" s="1" t="s">
        <v>33</v>
      </c>
      <c r="M46" s="1" t="s">
        <v>22</v>
      </c>
      <c r="N46" s="8">
        <f t="shared" si="0"/>
        <v>4198</v>
      </c>
      <c r="O46" s="1"/>
      <c r="P46" s="30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4">
      <c r="A47" s="1" t="s">
        <v>86</v>
      </c>
      <c r="B47" s="1" t="s">
        <v>14</v>
      </c>
      <c r="C47" s="3">
        <v>45334</v>
      </c>
      <c r="D47" s="1" t="s">
        <v>15</v>
      </c>
      <c r="E47" s="1" t="s">
        <v>20</v>
      </c>
      <c r="F47" s="7">
        <v>2923</v>
      </c>
      <c r="G47" s="7">
        <v>330</v>
      </c>
      <c r="H47" s="7">
        <v>250</v>
      </c>
      <c r="I47" s="7">
        <v>23993</v>
      </c>
      <c r="J47" s="7">
        <v>74590</v>
      </c>
      <c r="K47" s="7">
        <v>92</v>
      </c>
      <c r="L47" s="1" t="s">
        <v>21</v>
      </c>
      <c r="M47" s="1" t="s">
        <v>22</v>
      </c>
      <c r="N47" s="8">
        <f t="shared" si="0"/>
        <v>3503</v>
      </c>
      <c r="O47" s="1"/>
      <c r="P47" s="30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4">
      <c r="A48" s="1" t="s">
        <v>87</v>
      </c>
      <c r="B48" s="1" t="s">
        <v>31</v>
      </c>
      <c r="C48" s="3">
        <v>45365</v>
      </c>
      <c r="D48" s="1" t="s">
        <v>57</v>
      </c>
      <c r="E48" s="1" t="s">
        <v>49</v>
      </c>
      <c r="F48" s="7">
        <v>3361</v>
      </c>
      <c r="G48" s="7">
        <v>188</v>
      </c>
      <c r="H48" s="7">
        <v>358</v>
      </c>
      <c r="I48" s="7">
        <v>39838</v>
      </c>
      <c r="J48" s="7">
        <v>24536</v>
      </c>
      <c r="K48" s="7">
        <v>120</v>
      </c>
      <c r="L48" s="1" t="s">
        <v>58</v>
      </c>
      <c r="M48" s="1" t="s">
        <v>59</v>
      </c>
      <c r="N48" s="8">
        <f t="shared" si="0"/>
        <v>3907</v>
      </c>
      <c r="O48" s="1"/>
      <c r="P48" s="30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4">
      <c r="A49" s="1" t="s">
        <v>88</v>
      </c>
      <c r="B49" s="1" t="s">
        <v>14</v>
      </c>
      <c r="C49" s="3">
        <v>45693</v>
      </c>
      <c r="D49" s="1" t="s">
        <v>25</v>
      </c>
      <c r="E49" s="1" t="s">
        <v>32</v>
      </c>
      <c r="F49" s="7">
        <v>3074</v>
      </c>
      <c r="G49" s="7">
        <v>371</v>
      </c>
      <c r="H49" s="7">
        <v>348</v>
      </c>
      <c r="I49" s="7">
        <v>24104</v>
      </c>
      <c r="J49" s="7">
        <v>57803</v>
      </c>
      <c r="K49" s="7">
        <v>213</v>
      </c>
      <c r="L49" s="1" t="s">
        <v>42</v>
      </c>
      <c r="M49" s="1" t="s">
        <v>55</v>
      </c>
      <c r="N49" s="8">
        <f t="shared" si="0"/>
        <v>3793</v>
      </c>
      <c r="O49" s="1"/>
      <c r="P49" s="30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4">
      <c r="A50" s="1" t="s">
        <v>89</v>
      </c>
      <c r="B50" s="1" t="s">
        <v>24</v>
      </c>
      <c r="C50" s="3">
        <v>45533</v>
      </c>
      <c r="D50" s="1" t="s">
        <v>25</v>
      </c>
      <c r="E50" s="1" t="s">
        <v>37</v>
      </c>
      <c r="F50" s="7">
        <v>4276</v>
      </c>
      <c r="G50" s="7">
        <v>227</v>
      </c>
      <c r="H50" s="7">
        <v>223</v>
      </c>
      <c r="I50" s="7">
        <v>43443</v>
      </c>
      <c r="J50" s="7">
        <v>41005</v>
      </c>
      <c r="K50" s="7">
        <v>191</v>
      </c>
      <c r="L50" s="1" t="s">
        <v>39</v>
      </c>
      <c r="M50" s="1" t="s">
        <v>18</v>
      </c>
      <c r="N50" s="8">
        <f t="shared" si="0"/>
        <v>4726</v>
      </c>
      <c r="O50" s="1"/>
      <c r="P50" s="30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4">
      <c r="A51" s="1" t="s">
        <v>90</v>
      </c>
      <c r="B51" s="1" t="s">
        <v>24</v>
      </c>
      <c r="C51" s="3">
        <v>45769</v>
      </c>
      <c r="D51" s="1" t="s">
        <v>15</v>
      </c>
      <c r="E51" s="1" t="s">
        <v>16</v>
      </c>
      <c r="F51" s="7">
        <v>4401</v>
      </c>
      <c r="G51" s="7">
        <v>421</v>
      </c>
      <c r="H51" s="7">
        <v>216</v>
      </c>
      <c r="I51" s="7">
        <v>24890</v>
      </c>
      <c r="J51" s="7">
        <v>54361</v>
      </c>
      <c r="K51" s="7">
        <v>148</v>
      </c>
      <c r="L51" s="1" t="s">
        <v>42</v>
      </c>
      <c r="M51" s="1" t="s">
        <v>18</v>
      </c>
      <c r="N51" s="8">
        <f t="shared" si="0"/>
        <v>5038</v>
      </c>
      <c r="O51" s="1"/>
      <c r="P51" s="30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4">
      <c r="A52" s="1" t="s">
        <v>91</v>
      </c>
      <c r="B52" s="1" t="s">
        <v>31</v>
      </c>
      <c r="C52" s="3">
        <v>45425</v>
      </c>
      <c r="D52" s="1" t="s">
        <v>57</v>
      </c>
      <c r="E52" s="1" t="s">
        <v>20</v>
      </c>
      <c r="F52" s="7">
        <v>4161</v>
      </c>
      <c r="G52" s="7">
        <v>481</v>
      </c>
      <c r="H52" s="7">
        <v>61</v>
      </c>
      <c r="I52" s="7">
        <v>45884</v>
      </c>
      <c r="J52" s="7">
        <v>48955</v>
      </c>
      <c r="K52" s="7">
        <v>215</v>
      </c>
      <c r="L52" s="1" t="s">
        <v>58</v>
      </c>
      <c r="M52" s="1" t="s">
        <v>59</v>
      </c>
      <c r="N52" s="8">
        <f t="shared" si="0"/>
        <v>4703</v>
      </c>
      <c r="O52" s="1"/>
      <c r="P52" s="30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4">
      <c r="A53" s="1" t="s">
        <v>92</v>
      </c>
      <c r="B53" s="1" t="s">
        <v>24</v>
      </c>
      <c r="C53" s="3">
        <v>45539</v>
      </c>
      <c r="D53" s="1" t="s">
        <v>25</v>
      </c>
      <c r="E53" s="1" t="s">
        <v>26</v>
      </c>
      <c r="F53" s="7">
        <v>2613</v>
      </c>
      <c r="G53" s="7">
        <v>455</v>
      </c>
      <c r="H53" s="7">
        <v>228</v>
      </c>
      <c r="I53" s="7">
        <v>21645</v>
      </c>
      <c r="J53" s="7">
        <v>61334</v>
      </c>
      <c r="K53" s="7">
        <v>261</v>
      </c>
      <c r="L53" s="1" t="s">
        <v>39</v>
      </c>
      <c r="M53" s="1" t="s">
        <v>18</v>
      </c>
      <c r="N53" s="8">
        <f t="shared" si="0"/>
        <v>3296</v>
      </c>
      <c r="O53" s="1"/>
      <c r="P53" s="30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4">
      <c r="A54" s="1" t="s">
        <v>93</v>
      </c>
      <c r="B54" s="1" t="s">
        <v>24</v>
      </c>
      <c r="C54" s="3">
        <v>45516</v>
      </c>
      <c r="D54" s="1" t="s">
        <v>25</v>
      </c>
      <c r="E54" s="1" t="s">
        <v>35</v>
      </c>
      <c r="F54" s="7">
        <v>2842</v>
      </c>
      <c r="G54" s="7">
        <v>213</v>
      </c>
      <c r="H54" s="7">
        <v>331</v>
      </c>
      <c r="I54" s="7">
        <v>57660</v>
      </c>
      <c r="J54" s="7">
        <v>68606</v>
      </c>
      <c r="K54" s="7">
        <v>87</v>
      </c>
      <c r="L54" s="1" t="s">
        <v>27</v>
      </c>
      <c r="M54" s="1" t="s">
        <v>18</v>
      </c>
      <c r="N54" s="8">
        <f t="shared" si="0"/>
        <v>3386</v>
      </c>
      <c r="O54" s="1"/>
      <c r="P54" s="30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4">
      <c r="A55" s="1" t="s">
        <v>94</v>
      </c>
      <c r="B55" s="1" t="s">
        <v>14</v>
      </c>
      <c r="C55" s="3">
        <v>45722</v>
      </c>
      <c r="D55" s="1" t="s">
        <v>15</v>
      </c>
      <c r="E55" s="1" t="s">
        <v>37</v>
      </c>
      <c r="F55" s="7">
        <v>4851</v>
      </c>
      <c r="G55" s="7">
        <v>460</v>
      </c>
      <c r="H55" s="7">
        <v>212</v>
      </c>
      <c r="I55" s="7">
        <v>58075</v>
      </c>
      <c r="J55" s="7">
        <v>59574</v>
      </c>
      <c r="K55" s="7">
        <v>239</v>
      </c>
      <c r="L55" s="1" t="s">
        <v>21</v>
      </c>
      <c r="M55" s="1" t="s">
        <v>22</v>
      </c>
      <c r="N55" s="8">
        <f t="shared" si="0"/>
        <v>5523</v>
      </c>
      <c r="O55" s="1"/>
      <c r="P55" s="30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4">
      <c r="A56" s="1" t="s">
        <v>95</v>
      </c>
      <c r="B56" s="1" t="s">
        <v>24</v>
      </c>
      <c r="C56" s="3">
        <v>45420</v>
      </c>
      <c r="D56" s="1" t="s">
        <v>15</v>
      </c>
      <c r="E56" s="1" t="s">
        <v>20</v>
      </c>
      <c r="F56" s="7">
        <v>1828</v>
      </c>
      <c r="G56" s="7">
        <v>450</v>
      </c>
      <c r="H56" s="7">
        <v>214</v>
      </c>
      <c r="I56" s="7">
        <v>52115</v>
      </c>
      <c r="J56" s="7">
        <v>19166</v>
      </c>
      <c r="K56" s="7">
        <v>190</v>
      </c>
      <c r="L56" s="1" t="s">
        <v>42</v>
      </c>
      <c r="M56" s="1" t="s">
        <v>18</v>
      </c>
      <c r="N56" s="8">
        <f t="shared" si="0"/>
        <v>2492</v>
      </c>
      <c r="O56" s="1"/>
      <c r="P56" s="30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4">
      <c r="A57" s="1" t="s">
        <v>96</v>
      </c>
      <c r="B57" s="1" t="s">
        <v>14</v>
      </c>
      <c r="C57" s="3">
        <v>45707</v>
      </c>
      <c r="D57" s="1" t="s">
        <v>25</v>
      </c>
      <c r="E57" s="1" t="s">
        <v>49</v>
      </c>
      <c r="F57" s="7">
        <v>2422</v>
      </c>
      <c r="G57" s="7">
        <v>455</v>
      </c>
      <c r="H57" s="7">
        <v>376</v>
      </c>
      <c r="I57" s="7">
        <v>23428</v>
      </c>
      <c r="J57" s="7">
        <v>46775</v>
      </c>
      <c r="K57" s="7">
        <v>259</v>
      </c>
      <c r="L57" s="1" t="s">
        <v>42</v>
      </c>
      <c r="M57" s="1" t="s">
        <v>55</v>
      </c>
      <c r="N57" s="8">
        <f t="shared" si="0"/>
        <v>3253</v>
      </c>
      <c r="O57" s="1"/>
      <c r="P57" s="30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4">
      <c r="A58" s="1" t="s">
        <v>97</v>
      </c>
      <c r="B58" s="1" t="s">
        <v>14</v>
      </c>
      <c r="C58" s="3">
        <v>45299</v>
      </c>
      <c r="D58" s="1" t="s">
        <v>15</v>
      </c>
      <c r="E58" s="1" t="s">
        <v>41</v>
      </c>
      <c r="F58" s="7">
        <v>2683</v>
      </c>
      <c r="G58" s="7">
        <v>405</v>
      </c>
      <c r="H58" s="7">
        <v>223</v>
      </c>
      <c r="I58" s="7">
        <v>31233</v>
      </c>
      <c r="J58" s="7">
        <v>58106</v>
      </c>
      <c r="K58" s="7">
        <v>291</v>
      </c>
      <c r="L58" s="1" t="s">
        <v>21</v>
      </c>
      <c r="M58" s="1" t="s">
        <v>22</v>
      </c>
      <c r="N58" s="8">
        <f t="shared" si="0"/>
        <v>3311</v>
      </c>
      <c r="O58" s="1"/>
      <c r="P58" s="30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4">
      <c r="A59" s="1" t="s">
        <v>98</v>
      </c>
      <c r="B59" s="1" t="s">
        <v>31</v>
      </c>
      <c r="C59" s="3">
        <v>45490</v>
      </c>
      <c r="D59" s="1" t="s">
        <v>15</v>
      </c>
      <c r="E59" s="1" t="s">
        <v>41</v>
      </c>
      <c r="F59" s="7">
        <v>3135</v>
      </c>
      <c r="G59" s="7">
        <v>110</v>
      </c>
      <c r="H59" s="7">
        <v>215</v>
      </c>
      <c r="I59" s="7">
        <v>39192</v>
      </c>
      <c r="J59" s="7">
        <v>24744</v>
      </c>
      <c r="K59" s="7">
        <v>177</v>
      </c>
      <c r="L59" s="1" t="s">
        <v>33</v>
      </c>
      <c r="M59" s="1" t="s">
        <v>22</v>
      </c>
      <c r="N59" s="8">
        <f t="shared" si="0"/>
        <v>3460</v>
      </c>
      <c r="O59" s="1"/>
      <c r="P59" s="30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4">
      <c r="A60" s="1" t="s">
        <v>99</v>
      </c>
      <c r="B60" s="1" t="s">
        <v>31</v>
      </c>
      <c r="C60" s="3">
        <v>45514</v>
      </c>
      <c r="D60" s="1" t="s">
        <v>15</v>
      </c>
      <c r="E60" s="1" t="s">
        <v>49</v>
      </c>
      <c r="F60" s="7">
        <v>1105</v>
      </c>
      <c r="G60" s="7">
        <v>181</v>
      </c>
      <c r="H60" s="7">
        <v>55</v>
      </c>
      <c r="I60" s="7">
        <v>53581</v>
      </c>
      <c r="J60" s="7">
        <v>74048</v>
      </c>
      <c r="K60" s="7">
        <v>220</v>
      </c>
      <c r="L60" s="1" t="s">
        <v>33</v>
      </c>
      <c r="M60" s="1" t="s">
        <v>22</v>
      </c>
      <c r="N60" s="8">
        <f t="shared" si="0"/>
        <v>1341</v>
      </c>
      <c r="O60" s="1"/>
      <c r="P60" s="30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4">
      <c r="A61" s="1" t="s">
        <v>100</v>
      </c>
      <c r="B61" s="1" t="s">
        <v>31</v>
      </c>
      <c r="C61" s="3">
        <v>45398</v>
      </c>
      <c r="D61" s="1" t="s">
        <v>15</v>
      </c>
      <c r="E61" s="1" t="s">
        <v>16</v>
      </c>
      <c r="F61" s="7">
        <v>4674</v>
      </c>
      <c r="G61" s="7">
        <v>326</v>
      </c>
      <c r="H61" s="7">
        <v>62</v>
      </c>
      <c r="I61" s="7">
        <v>45503</v>
      </c>
      <c r="J61" s="7">
        <v>46814</v>
      </c>
      <c r="K61" s="7">
        <v>116</v>
      </c>
      <c r="L61" s="1" t="s">
        <v>33</v>
      </c>
      <c r="M61" s="1" t="s">
        <v>22</v>
      </c>
      <c r="N61" s="8">
        <f t="shared" si="0"/>
        <v>5062</v>
      </c>
      <c r="O61" s="1"/>
      <c r="P61" s="30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4">
      <c r="A62" s="1" t="s">
        <v>101</v>
      </c>
      <c r="B62" s="1" t="s">
        <v>31</v>
      </c>
      <c r="C62" s="3">
        <v>45292</v>
      </c>
      <c r="D62" s="1" t="s">
        <v>57</v>
      </c>
      <c r="E62" s="1" t="s">
        <v>20</v>
      </c>
      <c r="F62" s="7">
        <v>3437</v>
      </c>
      <c r="G62" s="7">
        <v>129</v>
      </c>
      <c r="H62" s="7">
        <v>359</v>
      </c>
      <c r="I62" s="7">
        <v>44558</v>
      </c>
      <c r="J62" s="7">
        <v>30854</v>
      </c>
      <c r="K62" s="7">
        <v>171</v>
      </c>
      <c r="L62" s="1" t="s">
        <v>58</v>
      </c>
      <c r="M62" s="1" t="s">
        <v>59</v>
      </c>
      <c r="N62" s="8">
        <f t="shared" si="0"/>
        <v>3925</v>
      </c>
      <c r="O62" s="1"/>
      <c r="P62" s="30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4">
      <c r="A63" s="1" t="s">
        <v>102</v>
      </c>
      <c r="B63" s="1" t="s">
        <v>24</v>
      </c>
      <c r="C63" s="3">
        <v>45599</v>
      </c>
      <c r="D63" s="1" t="s">
        <v>25</v>
      </c>
      <c r="E63" s="1" t="s">
        <v>29</v>
      </c>
      <c r="F63" s="7">
        <v>1959</v>
      </c>
      <c r="G63" s="7">
        <v>316</v>
      </c>
      <c r="H63" s="7">
        <v>82</v>
      </c>
      <c r="I63" s="7">
        <v>54036</v>
      </c>
      <c r="J63" s="7">
        <v>69015</v>
      </c>
      <c r="K63" s="7">
        <v>182</v>
      </c>
      <c r="L63" s="1" t="s">
        <v>27</v>
      </c>
      <c r="M63" s="1" t="s">
        <v>18</v>
      </c>
      <c r="N63" s="8">
        <f t="shared" si="0"/>
        <v>2357</v>
      </c>
      <c r="O63" s="1"/>
      <c r="P63" s="30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4">
      <c r="A64" s="1" t="s">
        <v>103</v>
      </c>
      <c r="B64" s="1" t="s">
        <v>24</v>
      </c>
      <c r="C64" s="3">
        <v>45480</v>
      </c>
      <c r="D64" s="1" t="s">
        <v>15</v>
      </c>
      <c r="E64" s="1" t="s">
        <v>26</v>
      </c>
      <c r="F64" s="7">
        <v>1035</v>
      </c>
      <c r="G64" s="7">
        <v>137</v>
      </c>
      <c r="H64" s="7">
        <v>184</v>
      </c>
      <c r="I64" s="7">
        <v>37302</v>
      </c>
      <c r="J64" s="7">
        <v>68953</v>
      </c>
      <c r="K64" s="7">
        <v>237</v>
      </c>
      <c r="L64" s="1" t="s">
        <v>45</v>
      </c>
      <c r="M64" s="1" t="s">
        <v>22</v>
      </c>
      <c r="N64" s="8">
        <f t="shared" si="0"/>
        <v>1356</v>
      </c>
      <c r="O64" s="1"/>
      <c r="P64" s="30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4">
      <c r="A65" s="1" t="s">
        <v>104</v>
      </c>
      <c r="B65" s="1" t="s">
        <v>24</v>
      </c>
      <c r="C65" s="3">
        <v>45679</v>
      </c>
      <c r="D65" s="1" t="s">
        <v>25</v>
      </c>
      <c r="E65" s="1" t="s">
        <v>26</v>
      </c>
      <c r="F65" s="7">
        <v>4478</v>
      </c>
      <c r="G65" s="7">
        <v>101</v>
      </c>
      <c r="H65" s="7">
        <v>121</v>
      </c>
      <c r="I65" s="7">
        <v>51035</v>
      </c>
      <c r="J65" s="7">
        <v>58207</v>
      </c>
      <c r="K65" s="7">
        <v>205</v>
      </c>
      <c r="L65" s="1" t="s">
        <v>27</v>
      </c>
      <c r="M65" s="1" t="s">
        <v>18</v>
      </c>
      <c r="N65" s="8">
        <f t="shared" si="0"/>
        <v>4700</v>
      </c>
      <c r="O65" s="1"/>
      <c r="P65" s="30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4">
      <c r="A66" s="1" t="s">
        <v>105</v>
      </c>
      <c r="B66" s="1" t="s">
        <v>31</v>
      </c>
      <c r="C66" s="3">
        <v>45438</v>
      </c>
      <c r="D66" s="1" t="s">
        <v>15</v>
      </c>
      <c r="E66" s="1" t="s">
        <v>49</v>
      </c>
      <c r="F66" s="7">
        <v>1488</v>
      </c>
      <c r="G66" s="7">
        <v>327</v>
      </c>
      <c r="H66" s="7">
        <v>110</v>
      </c>
      <c r="I66" s="7">
        <v>53805</v>
      </c>
      <c r="J66" s="7">
        <v>30239</v>
      </c>
      <c r="K66" s="7">
        <v>109</v>
      </c>
      <c r="L66" s="1" t="s">
        <v>33</v>
      </c>
      <c r="M66" s="1" t="s">
        <v>22</v>
      </c>
      <c r="N66" s="8">
        <f t="shared" ref="N66:N129" si="1">F66+G66+H66</f>
        <v>1925</v>
      </c>
      <c r="O66" s="1"/>
      <c r="P66" s="30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4">
      <c r="A67" s="1" t="s">
        <v>106</v>
      </c>
      <c r="B67" s="1" t="s">
        <v>14</v>
      </c>
      <c r="C67" s="3">
        <v>45763</v>
      </c>
      <c r="D67" s="1" t="s">
        <v>15</v>
      </c>
      <c r="E67" s="1" t="s">
        <v>29</v>
      </c>
      <c r="F67" s="7">
        <v>4836</v>
      </c>
      <c r="G67" s="7">
        <v>331</v>
      </c>
      <c r="H67" s="7">
        <v>140</v>
      </c>
      <c r="I67" s="7">
        <v>58792</v>
      </c>
      <c r="J67" s="7">
        <v>47711</v>
      </c>
      <c r="K67" s="7">
        <v>227</v>
      </c>
      <c r="L67" s="1" t="s">
        <v>17</v>
      </c>
      <c r="M67" s="1" t="s">
        <v>18</v>
      </c>
      <c r="N67" s="8">
        <f t="shared" si="1"/>
        <v>5307</v>
      </c>
      <c r="O67" s="1"/>
      <c r="P67" s="30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4">
      <c r="A68" s="1" t="s">
        <v>107</v>
      </c>
      <c r="B68" s="1" t="s">
        <v>31</v>
      </c>
      <c r="C68" s="3">
        <v>45384</v>
      </c>
      <c r="D68" s="1" t="s">
        <v>57</v>
      </c>
      <c r="E68" s="1" t="s">
        <v>51</v>
      </c>
      <c r="F68" s="7">
        <v>4563</v>
      </c>
      <c r="G68" s="7">
        <v>488</v>
      </c>
      <c r="H68" s="7">
        <v>356</v>
      </c>
      <c r="I68" s="7">
        <v>30619</v>
      </c>
      <c r="J68" s="7">
        <v>23328</v>
      </c>
      <c r="K68" s="7">
        <v>267</v>
      </c>
      <c r="L68" s="1" t="s">
        <v>58</v>
      </c>
      <c r="M68" s="1" t="s">
        <v>59</v>
      </c>
      <c r="N68" s="8">
        <f t="shared" si="1"/>
        <v>5407</v>
      </c>
      <c r="O68" s="1"/>
      <c r="P68" s="30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4">
      <c r="A69" s="1" t="s">
        <v>108</v>
      </c>
      <c r="B69" s="1" t="s">
        <v>24</v>
      </c>
      <c r="C69" s="3">
        <v>45379</v>
      </c>
      <c r="D69" s="1" t="s">
        <v>15</v>
      </c>
      <c r="E69" s="1" t="s">
        <v>32</v>
      </c>
      <c r="F69" s="7">
        <v>3276</v>
      </c>
      <c r="G69" s="7">
        <v>421</v>
      </c>
      <c r="H69" s="7">
        <v>114</v>
      </c>
      <c r="I69" s="7">
        <v>20580</v>
      </c>
      <c r="J69" s="7">
        <v>30324</v>
      </c>
      <c r="K69" s="7">
        <v>221</v>
      </c>
      <c r="L69" s="1" t="s">
        <v>45</v>
      </c>
      <c r="M69" s="1" t="s">
        <v>22</v>
      </c>
      <c r="N69" s="8">
        <f t="shared" si="1"/>
        <v>3811</v>
      </c>
      <c r="O69" s="1"/>
      <c r="P69" s="30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4">
      <c r="A70" s="1" t="s">
        <v>109</v>
      </c>
      <c r="B70" s="1" t="s">
        <v>24</v>
      </c>
      <c r="C70" s="3">
        <v>45643</v>
      </c>
      <c r="D70" s="1" t="s">
        <v>25</v>
      </c>
      <c r="E70" s="1" t="s">
        <v>32</v>
      </c>
      <c r="F70" s="7">
        <v>1316</v>
      </c>
      <c r="G70" s="7">
        <v>472</v>
      </c>
      <c r="H70" s="7">
        <v>286</v>
      </c>
      <c r="I70" s="7">
        <v>44692</v>
      </c>
      <c r="J70" s="7">
        <v>53343</v>
      </c>
      <c r="K70" s="7">
        <v>227</v>
      </c>
      <c r="L70" s="1" t="s">
        <v>39</v>
      </c>
      <c r="M70" s="1" t="s">
        <v>18</v>
      </c>
      <c r="N70" s="8">
        <f t="shared" si="1"/>
        <v>2074</v>
      </c>
      <c r="O70" s="1"/>
      <c r="P70" s="30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4">
      <c r="A71" s="1" t="s">
        <v>110</v>
      </c>
      <c r="B71" s="1" t="s">
        <v>24</v>
      </c>
      <c r="C71" s="3">
        <v>45662</v>
      </c>
      <c r="D71" s="1" t="s">
        <v>15</v>
      </c>
      <c r="E71" s="1" t="s">
        <v>29</v>
      </c>
      <c r="F71" s="7">
        <v>4811</v>
      </c>
      <c r="G71" s="7">
        <v>473</v>
      </c>
      <c r="H71" s="7">
        <v>254</v>
      </c>
      <c r="I71" s="7">
        <v>51964</v>
      </c>
      <c r="J71" s="7">
        <v>68795</v>
      </c>
      <c r="K71" s="7">
        <v>107</v>
      </c>
      <c r="L71" s="1" t="s">
        <v>42</v>
      </c>
      <c r="M71" s="1" t="s">
        <v>18</v>
      </c>
      <c r="N71" s="8">
        <f t="shared" si="1"/>
        <v>5538</v>
      </c>
      <c r="O71" s="1"/>
      <c r="P71" s="30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4">
      <c r="A72" s="1" t="s">
        <v>111</v>
      </c>
      <c r="B72" s="1" t="s">
        <v>24</v>
      </c>
      <c r="C72" s="3">
        <v>45302</v>
      </c>
      <c r="D72" s="1" t="s">
        <v>15</v>
      </c>
      <c r="E72" s="1" t="s">
        <v>35</v>
      </c>
      <c r="F72" s="7">
        <v>4218</v>
      </c>
      <c r="G72" s="7">
        <v>247</v>
      </c>
      <c r="H72" s="7">
        <v>183</v>
      </c>
      <c r="I72" s="7">
        <v>28914</v>
      </c>
      <c r="J72" s="7">
        <v>18310</v>
      </c>
      <c r="K72" s="7">
        <v>135</v>
      </c>
      <c r="L72" s="1" t="s">
        <v>45</v>
      </c>
      <c r="M72" s="1" t="s">
        <v>22</v>
      </c>
      <c r="N72" s="8">
        <f t="shared" si="1"/>
        <v>4648</v>
      </c>
      <c r="O72" s="1"/>
      <c r="P72" s="30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4">
      <c r="A73" s="1" t="s">
        <v>112</v>
      </c>
      <c r="B73" s="1" t="s">
        <v>14</v>
      </c>
      <c r="C73" s="3">
        <v>45576</v>
      </c>
      <c r="D73" s="1" t="s">
        <v>15</v>
      </c>
      <c r="E73" s="1" t="s">
        <v>49</v>
      </c>
      <c r="F73" s="7">
        <v>1360</v>
      </c>
      <c r="G73" s="7">
        <v>249</v>
      </c>
      <c r="H73" s="7">
        <v>52</v>
      </c>
      <c r="I73" s="7">
        <v>20368</v>
      </c>
      <c r="J73" s="7">
        <v>42152</v>
      </c>
      <c r="K73" s="7">
        <v>193</v>
      </c>
      <c r="L73" s="1" t="s">
        <v>21</v>
      </c>
      <c r="M73" s="1" t="s">
        <v>22</v>
      </c>
      <c r="N73" s="8">
        <f t="shared" si="1"/>
        <v>1661</v>
      </c>
      <c r="O73" s="1"/>
      <c r="P73" s="30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4">
      <c r="A74" s="1" t="s">
        <v>113</v>
      </c>
      <c r="B74" s="1" t="s">
        <v>31</v>
      </c>
      <c r="C74" s="3">
        <v>45783</v>
      </c>
      <c r="D74" s="1" t="s">
        <v>57</v>
      </c>
      <c r="E74" s="1" t="s">
        <v>16</v>
      </c>
      <c r="F74" s="7">
        <v>1085</v>
      </c>
      <c r="G74" s="7">
        <v>496</v>
      </c>
      <c r="H74" s="7">
        <v>320</v>
      </c>
      <c r="I74" s="7">
        <v>36528</v>
      </c>
      <c r="J74" s="7">
        <v>38599</v>
      </c>
      <c r="K74" s="7">
        <v>270</v>
      </c>
      <c r="L74" s="1" t="s">
        <v>58</v>
      </c>
      <c r="M74" s="1" t="s">
        <v>59</v>
      </c>
      <c r="N74" s="8">
        <f t="shared" si="1"/>
        <v>1901</v>
      </c>
      <c r="O74" s="1"/>
      <c r="P74" s="30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4">
      <c r="A75" s="1" t="s">
        <v>114</v>
      </c>
      <c r="B75" s="1" t="s">
        <v>24</v>
      </c>
      <c r="C75" s="3">
        <v>45431</v>
      </c>
      <c r="D75" s="1" t="s">
        <v>25</v>
      </c>
      <c r="E75" s="1" t="s">
        <v>37</v>
      </c>
      <c r="F75" s="7">
        <v>1763</v>
      </c>
      <c r="G75" s="7">
        <v>206</v>
      </c>
      <c r="H75" s="7">
        <v>187</v>
      </c>
      <c r="I75" s="7">
        <v>53342</v>
      </c>
      <c r="J75" s="7">
        <v>25095</v>
      </c>
      <c r="K75" s="7">
        <v>88</v>
      </c>
      <c r="L75" s="1" t="s">
        <v>39</v>
      </c>
      <c r="M75" s="1" t="s">
        <v>18</v>
      </c>
      <c r="N75" s="8">
        <f t="shared" si="1"/>
        <v>2156</v>
      </c>
      <c r="O75" s="1"/>
      <c r="P75" s="30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4">
      <c r="A76" s="1" t="s">
        <v>115</v>
      </c>
      <c r="B76" s="1" t="s">
        <v>24</v>
      </c>
      <c r="C76" s="3">
        <v>45313</v>
      </c>
      <c r="D76" s="1" t="s">
        <v>25</v>
      </c>
      <c r="E76" s="1" t="s">
        <v>49</v>
      </c>
      <c r="F76" s="7">
        <v>1554</v>
      </c>
      <c r="G76" s="7">
        <v>455</v>
      </c>
      <c r="H76" s="7">
        <v>158</v>
      </c>
      <c r="I76" s="7">
        <v>41947</v>
      </c>
      <c r="J76" s="7">
        <v>48578</v>
      </c>
      <c r="K76" s="7">
        <v>101</v>
      </c>
      <c r="L76" s="1" t="s">
        <v>17</v>
      </c>
      <c r="M76" s="1" t="s">
        <v>18</v>
      </c>
      <c r="N76" s="8">
        <f t="shared" si="1"/>
        <v>2167</v>
      </c>
      <c r="O76" s="1"/>
      <c r="P76" s="30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4">
      <c r="A77" s="1" t="s">
        <v>116</v>
      </c>
      <c r="B77" s="1" t="s">
        <v>14</v>
      </c>
      <c r="C77" s="3">
        <v>45487</v>
      </c>
      <c r="D77" s="1" t="s">
        <v>15</v>
      </c>
      <c r="E77" s="1" t="s">
        <v>29</v>
      </c>
      <c r="F77" s="7">
        <v>2464</v>
      </c>
      <c r="G77" s="7">
        <v>401</v>
      </c>
      <c r="H77" s="7">
        <v>78</v>
      </c>
      <c r="I77" s="7">
        <v>38665</v>
      </c>
      <c r="J77" s="7">
        <v>73593</v>
      </c>
      <c r="K77" s="7">
        <v>207</v>
      </c>
      <c r="L77" s="1" t="s">
        <v>21</v>
      </c>
      <c r="M77" s="1" t="s">
        <v>22</v>
      </c>
      <c r="N77" s="8">
        <f t="shared" si="1"/>
        <v>2943</v>
      </c>
      <c r="O77" s="1"/>
      <c r="P77" s="30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4">
      <c r="A78" s="1" t="s">
        <v>117</v>
      </c>
      <c r="B78" s="1" t="s">
        <v>24</v>
      </c>
      <c r="C78" s="3">
        <v>45805</v>
      </c>
      <c r="D78" s="1" t="s">
        <v>15</v>
      </c>
      <c r="E78" s="1" t="s">
        <v>49</v>
      </c>
      <c r="F78" s="7">
        <v>2418</v>
      </c>
      <c r="G78" s="7">
        <v>161</v>
      </c>
      <c r="H78" s="7">
        <v>360</v>
      </c>
      <c r="I78" s="7">
        <v>30589</v>
      </c>
      <c r="J78" s="7">
        <v>41383</v>
      </c>
      <c r="K78" s="7">
        <v>88</v>
      </c>
      <c r="L78" s="1" t="s">
        <v>42</v>
      </c>
      <c r="M78" s="1" t="s">
        <v>18</v>
      </c>
      <c r="N78" s="8">
        <f t="shared" si="1"/>
        <v>2939</v>
      </c>
      <c r="O78" s="1"/>
      <c r="P78" s="30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4">
      <c r="A79" s="1" t="s">
        <v>118</v>
      </c>
      <c r="B79" s="1" t="s">
        <v>24</v>
      </c>
      <c r="C79" s="3">
        <v>45678</v>
      </c>
      <c r="D79" s="1" t="s">
        <v>25</v>
      </c>
      <c r="E79" s="1" t="s">
        <v>16</v>
      </c>
      <c r="F79" s="7">
        <v>2494</v>
      </c>
      <c r="G79" s="7">
        <v>494</v>
      </c>
      <c r="H79" s="7">
        <v>55</v>
      </c>
      <c r="I79" s="7">
        <v>22580</v>
      </c>
      <c r="J79" s="7">
        <v>22214</v>
      </c>
      <c r="K79" s="7">
        <v>109</v>
      </c>
      <c r="L79" s="1" t="s">
        <v>27</v>
      </c>
      <c r="M79" s="1" t="s">
        <v>18</v>
      </c>
      <c r="N79" s="8">
        <f t="shared" si="1"/>
        <v>3043</v>
      </c>
      <c r="O79" s="1"/>
      <c r="P79" s="30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4">
      <c r="A80" s="1" t="s">
        <v>119</v>
      </c>
      <c r="B80" s="1" t="s">
        <v>31</v>
      </c>
      <c r="C80" s="3">
        <v>45304</v>
      </c>
      <c r="D80" s="1" t="s">
        <v>57</v>
      </c>
      <c r="E80" s="1" t="s">
        <v>26</v>
      </c>
      <c r="F80" s="7">
        <v>4781</v>
      </c>
      <c r="G80" s="7">
        <v>191</v>
      </c>
      <c r="H80" s="7">
        <v>122</v>
      </c>
      <c r="I80" s="7">
        <v>35535</v>
      </c>
      <c r="J80" s="7">
        <v>50777</v>
      </c>
      <c r="K80" s="7">
        <v>128</v>
      </c>
      <c r="L80" s="1" t="s">
        <v>58</v>
      </c>
      <c r="M80" s="1" t="s">
        <v>59</v>
      </c>
      <c r="N80" s="8">
        <f t="shared" si="1"/>
        <v>5094</v>
      </c>
      <c r="O80" s="1"/>
      <c r="P80" s="30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4">
      <c r="A81" s="1" t="s">
        <v>120</v>
      </c>
      <c r="B81" s="1" t="s">
        <v>14</v>
      </c>
      <c r="C81" s="3">
        <v>45825</v>
      </c>
      <c r="D81" s="1" t="s">
        <v>15</v>
      </c>
      <c r="E81" s="1" t="s">
        <v>32</v>
      </c>
      <c r="F81" s="7">
        <v>2284</v>
      </c>
      <c r="G81" s="7">
        <v>187</v>
      </c>
      <c r="H81" s="7">
        <v>260</v>
      </c>
      <c r="I81" s="7">
        <v>37400</v>
      </c>
      <c r="J81" s="7">
        <v>65014</v>
      </c>
      <c r="K81" s="7">
        <v>157</v>
      </c>
      <c r="L81" s="1" t="s">
        <v>17</v>
      </c>
      <c r="M81" s="1" t="s">
        <v>18</v>
      </c>
      <c r="N81" s="8">
        <f t="shared" si="1"/>
        <v>2731</v>
      </c>
      <c r="O81" s="1"/>
      <c r="P81" s="30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4">
      <c r="A82" s="1" t="s">
        <v>121</v>
      </c>
      <c r="B82" s="1" t="s">
        <v>24</v>
      </c>
      <c r="C82" s="3">
        <v>45723</v>
      </c>
      <c r="D82" s="1" t="s">
        <v>15</v>
      </c>
      <c r="E82" s="1" t="s">
        <v>37</v>
      </c>
      <c r="F82" s="7">
        <v>4234</v>
      </c>
      <c r="G82" s="7">
        <v>486</v>
      </c>
      <c r="H82" s="7">
        <v>276</v>
      </c>
      <c r="I82" s="7">
        <v>56623</v>
      </c>
      <c r="J82" s="7">
        <v>41343</v>
      </c>
      <c r="K82" s="7">
        <v>184</v>
      </c>
      <c r="L82" s="1" t="s">
        <v>45</v>
      </c>
      <c r="M82" s="1" t="s">
        <v>22</v>
      </c>
      <c r="N82" s="8">
        <f t="shared" si="1"/>
        <v>4996</v>
      </c>
      <c r="O82" s="1"/>
      <c r="P82" s="30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4">
      <c r="A83" s="1" t="s">
        <v>122</v>
      </c>
      <c r="B83" s="1" t="s">
        <v>14</v>
      </c>
      <c r="C83" s="3">
        <v>45530</v>
      </c>
      <c r="D83" s="1" t="s">
        <v>15</v>
      </c>
      <c r="E83" s="1" t="s">
        <v>51</v>
      </c>
      <c r="F83" s="7">
        <v>2102</v>
      </c>
      <c r="G83" s="7">
        <v>181</v>
      </c>
      <c r="H83" s="7">
        <v>306</v>
      </c>
      <c r="I83" s="7">
        <v>43650</v>
      </c>
      <c r="J83" s="7">
        <v>50079</v>
      </c>
      <c r="K83" s="7">
        <v>182</v>
      </c>
      <c r="L83" s="1" t="s">
        <v>21</v>
      </c>
      <c r="M83" s="1" t="s">
        <v>22</v>
      </c>
      <c r="N83" s="8">
        <f t="shared" si="1"/>
        <v>2589</v>
      </c>
      <c r="O83" s="1"/>
      <c r="P83" s="30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4">
      <c r="A84" s="1" t="s">
        <v>123</v>
      </c>
      <c r="B84" s="1" t="s">
        <v>24</v>
      </c>
      <c r="C84" s="3">
        <v>45660</v>
      </c>
      <c r="D84" s="1" t="s">
        <v>25</v>
      </c>
      <c r="E84" s="1" t="s">
        <v>37</v>
      </c>
      <c r="F84" s="7">
        <v>4845</v>
      </c>
      <c r="G84" s="7">
        <v>158</v>
      </c>
      <c r="H84" s="7">
        <v>84</v>
      </c>
      <c r="I84" s="7">
        <v>34578</v>
      </c>
      <c r="J84" s="7">
        <v>51480</v>
      </c>
      <c r="K84" s="7">
        <v>180</v>
      </c>
      <c r="L84" s="1" t="s">
        <v>17</v>
      </c>
      <c r="M84" s="1" t="s">
        <v>18</v>
      </c>
      <c r="N84" s="8">
        <f t="shared" si="1"/>
        <v>5087</v>
      </c>
      <c r="O84" s="1"/>
      <c r="P84" s="30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4">
      <c r="A85" s="1" t="s">
        <v>124</v>
      </c>
      <c r="B85" s="1" t="s">
        <v>24</v>
      </c>
      <c r="C85" s="3">
        <v>45507</v>
      </c>
      <c r="D85" s="1" t="s">
        <v>15</v>
      </c>
      <c r="E85" s="1" t="s">
        <v>51</v>
      </c>
      <c r="F85" s="7">
        <v>4247</v>
      </c>
      <c r="G85" s="7">
        <v>390</v>
      </c>
      <c r="H85" s="7">
        <v>213</v>
      </c>
      <c r="I85" s="7">
        <v>29785</v>
      </c>
      <c r="J85" s="7">
        <v>57768</v>
      </c>
      <c r="K85" s="7">
        <v>122</v>
      </c>
      <c r="L85" s="1" t="s">
        <v>42</v>
      </c>
      <c r="M85" s="1" t="s">
        <v>18</v>
      </c>
      <c r="N85" s="8">
        <f t="shared" si="1"/>
        <v>4850</v>
      </c>
      <c r="O85" s="1"/>
      <c r="P85" s="30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4">
      <c r="A86" s="1" t="s">
        <v>125</v>
      </c>
      <c r="B86" s="1" t="s">
        <v>14</v>
      </c>
      <c r="C86" s="3">
        <v>45522</v>
      </c>
      <c r="D86" s="1" t="s">
        <v>15</v>
      </c>
      <c r="E86" s="1" t="s">
        <v>20</v>
      </c>
      <c r="F86" s="7">
        <v>2965</v>
      </c>
      <c r="G86" s="7">
        <v>328</v>
      </c>
      <c r="H86" s="7">
        <v>171</v>
      </c>
      <c r="I86" s="7">
        <v>57685</v>
      </c>
      <c r="J86" s="7">
        <v>67536</v>
      </c>
      <c r="K86" s="7">
        <v>264</v>
      </c>
      <c r="L86" s="1" t="s">
        <v>17</v>
      </c>
      <c r="M86" s="1" t="s">
        <v>18</v>
      </c>
      <c r="N86" s="8">
        <f t="shared" si="1"/>
        <v>3464</v>
      </c>
      <c r="O86" s="1"/>
      <c r="P86" s="30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4">
      <c r="A87" s="1" t="s">
        <v>126</v>
      </c>
      <c r="B87" s="1" t="s">
        <v>24</v>
      </c>
      <c r="C87" s="3">
        <v>45791</v>
      </c>
      <c r="D87" s="1" t="s">
        <v>25</v>
      </c>
      <c r="E87" s="1" t="s">
        <v>29</v>
      </c>
      <c r="F87" s="7">
        <v>1371</v>
      </c>
      <c r="G87" s="7">
        <v>139</v>
      </c>
      <c r="H87" s="7">
        <v>96</v>
      </c>
      <c r="I87" s="7">
        <v>36140</v>
      </c>
      <c r="J87" s="7">
        <v>39395</v>
      </c>
      <c r="K87" s="7">
        <v>169</v>
      </c>
      <c r="L87" s="1" t="s">
        <v>17</v>
      </c>
      <c r="M87" s="1" t="s">
        <v>18</v>
      </c>
      <c r="N87" s="8">
        <f t="shared" si="1"/>
        <v>1606</v>
      </c>
      <c r="O87" s="1"/>
      <c r="P87" s="30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4">
      <c r="A88" s="1" t="s">
        <v>127</v>
      </c>
      <c r="B88" s="1" t="s">
        <v>24</v>
      </c>
      <c r="C88" s="3">
        <v>45405</v>
      </c>
      <c r="D88" s="1" t="s">
        <v>25</v>
      </c>
      <c r="E88" s="1" t="s">
        <v>16</v>
      </c>
      <c r="F88" s="7">
        <v>2683</v>
      </c>
      <c r="G88" s="7">
        <v>496</v>
      </c>
      <c r="H88" s="7">
        <v>89</v>
      </c>
      <c r="I88" s="7">
        <v>53435</v>
      </c>
      <c r="J88" s="7">
        <v>30334</v>
      </c>
      <c r="K88" s="7">
        <v>160</v>
      </c>
      <c r="L88" s="1" t="s">
        <v>17</v>
      </c>
      <c r="M88" s="1" t="s">
        <v>18</v>
      </c>
      <c r="N88" s="8">
        <f t="shared" si="1"/>
        <v>3268</v>
      </c>
      <c r="O88" s="1"/>
      <c r="P88" s="30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4">
      <c r="A89" s="1" t="s">
        <v>128</v>
      </c>
      <c r="B89" s="1" t="s">
        <v>24</v>
      </c>
      <c r="C89" s="3">
        <v>45705</v>
      </c>
      <c r="D89" s="1" t="s">
        <v>25</v>
      </c>
      <c r="E89" s="1" t="s">
        <v>35</v>
      </c>
      <c r="F89" s="7">
        <v>4796</v>
      </c>
      <c r="G89" s="7">
        <v>427</v>
      </c>
      <c r="H89" s="7">
        <v>339</v>
      </c>
      <c r="I89" s="7">
        <v>30752</v>
      </c>
      <c r="J89" s="7">
        <v>33870</v>
      </c>
      <c r="K89" s="7">
        <v>298</v>
      </c>
      <c r="L89" s="1" t="s">
        <v>17</v>
      </c>
      <c r="M89" s="1" t="s">
        <v>18</v>
      </c>
      <c r="N89" s="8">
        <f t="shared" si="1"/>
        <v>5562</v>
      </c>
      <c r="O89" s="1"/>
      <c r="P89" s="30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4">
      <c r="A90" s="1" t="s">
        <v>129</v>
      </c>
      <c r="B90" s="1" t="s">
        <v>14</v>
      </c>
      <c r="C90" s="3">
        <v>45630</v>
      </c>
      <c r="D90" s="1" t="s">
        <v>15</v>
      </c>
      <c r="E90" s="1" t="s">
        <v>29</v>
      </c>
      <c r="F90" s="7">
        <v>2601</v>
      </c>
      <c r="G90" s="7">
        <v>336</v>
      </c>
      <c r="H90" s="7">
        <v>260</v>
      </c>
      <c r="I90" s="7">
        <v>32368</v>
      </c>
      <c r="J90" s="7">
        <v>49028</v>
      </c>
      <c r="K90" s="7">
        <v>120</v>
      </c>
      <c r="L90" s="1" t="s">
        <v>17</v>
      </c>
      <c r="M90" s="1" t="s">
        <v>18</v>
      </c>
      <c r="N90" s="8">
        <f t="shared" si="1"/>
        <v>3197</v>
      </c>
      <c r="O90" s="1"/>
      <c r="P90" s="30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4">
      <c r="A91" s="1" t="s">
        <v>130</v>
      </c>
      <c r="B91" s="1" t="s">
        <v>24</v>
      </c>
      <c r="C91" s="3">
        <v>45495</v>
      </c>
      <c r="D91" s="1" t="s">
        <v>25</v>
      </c>
      <c r="E91" s="1" t="s">
        <v>29</v>
      </c>
      <c r="F91" s="7">
        <v>3336</v>
      </c>
      <c r="G91" s="7">
        <v>229</v>
      </c>
      <c r="H91" s="7">
        <v>337</v>
      </c>
      <c r="I91" s="7">
        <v>22117</v>
      </c>
      <c r="J91" s="7">
        <v>26205</v>
      </c>
      <c r="K91" s="7">
        <v>160</v>
      </c>
      <c r="L91" s="1" t="s">
        <v>27</v>
      </c>
      <c r="M91" s="1" t="s">
        <v>18</v>
      </c>
      <c r="N91" s="8">
        <f t="shared" si="1"/>
        <v>3902</v>
      </c>
      <c r="O91" s="1"/>
      <c r="P91" s="30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4">
      <c r="A92" s="1" t="s">
        <v>131</v>
      </c>
      <c r="B92" s="1" t="s">
        <v>24</v>
      </c>
      <c r="C92" s="3">
        <v>45774</v>
      </c>
      <c r="D92" s="1" t="s">
        <v>15</v>
      </c>
      <c r="E92" s="1" t="s">
        <v>20</v>
      </c>
      <c r="F92" s="7">
        <v>1165</v>
      </c>
      <c r="G92" s="7">
        <v>294</v>
      </c>
      <c r="H92" s="7">
        <v>163</v>
      </c>
      <c r="I92" s="7">
        <v>20659</v>
      </c>
      <c r="J92" s="7">
        <v>45926</v>
      </c>
      <c r="K92" s="7">
        <v>111</v>
      </c>
      <c r="L92" s="1" t="s">
        <v>45</v>
      </c>
      <c r="M92" s="1" t="s">
        <v>22</v>
      </c>
      <c r="N92" s="8">
        <f t="shared" si="1"/>
        <v>1622</v>
      </c>
      <c r="O92" s="1"/>
      <c r="P92" s="30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4">
      <c r="A93" s="1" t="s">
        <v>132</v>
      </c>
      <c r="B93" s="1" t="s">
        <v>31</v>
      </c>
      <c r="C93" s="3">
        <v>45376</v>
      </c>
      <c r="D93" s="1" t="s">
        <v>57</v>
      </c>
      <c r="E93" s="1" t="s">
        <v>20</v>
      </c>
      <c r="F93" s="7">
        <v>1948</v>
      </c>
      <c r="G93" s="7">
        <v>155</v>
      </c>
      <c r="H93" s="7">
        <v>315</v>
      </c>
      <c r="I93" s="7">
        <v>30321</v>
      </c>
      <c r="J93" s="7">
        <v>57121</v>
      </c>
      <c r="K93" s="7">
        <v>82</v>
      </c>
      <c r="L93" s="1" t="s">
        <v>58</v>
      </c>
      <c r="M93" s="1" t="s">
        <v>59</v>
      </c>
      <c r="N93" s="8">
        <f t="shared" si="1"/>
        <v>2418</v>
      </c>
      <c r="O93" s="1"/>
      <c r="P93" s="30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4">
      <c r="A94" s="1" t="s">
        <v>133</v>
      </c>
      <c r="B94" s="1" t="s">
        <v>14</v>
      </c>
      <c r="C94" s="3">
        <v>45351</v>
      </c>
      <c r="D94" s="1" t="s">
        <v>15</v>
      </c>
      <c r="E94" s="1" t="s">
        <v>49</v>
      </c>
      <c r="F94" s="7">
        <v>1100</v>
      </c>
      <c r="G94" s="7">
        <v>229</v>
      </c>
      <c r="H94" s="7">
        <v>312</v>
      </c>
      <c r="I94" s="7">
        <v>25641</v>
      </c>
      <c r="J94" s="7">
        <v>34601</v>
      </c>
      <c r="K94" s="7">
        <v>169</v>
      </c>
      <c r="L94" s="1" t="s">
        <v>21</v>
      </c>
      <c r="M94" s="1" t="s">
        <v>22</v>
      </c>
      <c r="N94" s="8">
        <f t="shared" si="1"/>
        <v>1641</v>
      </c>
      <c r="O94" s="1"/>
      <c r="P94" s="30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4">
      <c r="A95" s="1" t="s">
        <v>134</v>
      </c>
      <c r="B95" s="1" t="s">
        <v>24</v>
      </c>
      <c r="C95" s="3">
        <v>45609</v>
      </c>
      <c r="D95" s="1" t="s">
        <v>25</v>
      </c>
      <c r="E95" s="1" t="s">
        <v>41</v>
      </c>
      <c r="F95" s="7">
        <v>4628</v>
      </c>
      <c r="G95" s="7">
        <v>257</v>
      </c>
      <c r="H95" s="7">
        <v>397</v>
      </c>
      <c r="I95" s="7">
        <v>36686</v>
      </c>
      <c r="J95" s="7">
        <v>54683</v>
      </c>
      <c r="K95" s="7">
        <v>98</v>
      </c>
      <c r="L95" s="1" t="s">
        <v>17</v>
      </c>
      <c r="M95" s="1" t="s">
        <v>18</v>
      </c>
      <c r="N95" s="8">
        <f t="shared" si="1"/>
        <v>5282</v>
      </c>
      <c r="O95" s="1"/>
      <c r="P95" s="30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4">
      <c r="A96" s="1" t="s">
        <v>135</v>
      </c>
      <c r="B96" s="1" t="s">
        <v>14</v>
      </c>
      <c r="C96" s="3">
        <v>45373</v>
      </c>
      <c r="D96" s="1" t="s">
        <v>25</v>
      </c>
      <c r="E96" s="1" t="s">
        <v>16</v>
      </c>
      <c r="F96" s="7">
        <v>2319</v>
      </c>
      <c r="G96" s="7">
        <v>484</v>
      </c>
      <c r="H96" s="7">
        <v>193</v>
      </c>
      <c r="I96" s="7">
        <v>21202</v>
      </c>
      <c r="J96" s="7">
        <v>18091</v>
      </c>
      <c r="K96" s="7">
        <v>241</v>
      </c>
      <c r="L96" s="1" t="s">
        <v>42</v>
      </c>
      <c r="M96" s="1" t="s">
        <v>55</v>
      </c>
      <c r="N96" s="8">
        <f t="shared" si="1"/>
        <v>2996</v>
      </c>
      <c r="O96" s="1"/>
      <c r="P96" s="30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4">
      <c r="A97" s="1" t="s">
        <v>136</v>
      </c>
      <c r="B97" s="1" t="s">
        <v>24</v>
      </c>
      <c r="C97" s="3">
        <v>45367</v>
      </c>
      <c r="D97" s="1" t="s">
        <v>25</v>
      </c>
      <c r="E97" s="1" t="s">
        <v>29</v>
      </c>
      <c r="F97" s="7">
        <v>2895</v>
      </c>
      <c r="G97" s="7">
        <v>292</v>
      </c>
      <c r="H97" s="7">
        <v>90</v>
      </c>
      <c r="I97" s="7">
        <v>24223</v>
      </c>
      <c r="J97" s="7">
        <v>54626</v>
      </c>
      <c r="K97" s="7">
        <v>114</v>
      </c>
      <c r="L97" s="1" t="s">
        <v>17</v>
      </c>
      <c r="M97" s="1" t="s">
        <v>18</v>
      </c>
      <c r="N97" s="8">
        <f t="shared" si="1"/>
        <v>3277</v>
      </c>
      <c r="O97" s="1"/>
      <c r="P97" s="30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4">
      <c r="A98" s="1" t="s">
        <v>137</v>
      </c>
      <c r="B98" s="1" t="s">
        <v>14</v>
      </c>
      <c r="C98" s="3">
        <v>45317</v>
      </c>
      <c r="D98" s="1" t="s">
        <v>15</v>
      </c>
      <c r="E98" s="1" t="s">
        <v>35</v>
      </c>
      <c r="F98" s="7">
        <v>3878</v>
      </c>
      <c r="G98" s="7">
        <v>431</v>
      </c>
      <c r="H98" s="7">
        <v>97</v>
      </c>
      <c r="I98" s="7">
        <v>41763</v>
      </c>
      <c r="J98" s="7">
        <v>29729</v>
      </c>
      <c r="K98" s="7">
        <v>191</v>
      </c>
      <c r="L98" s="1" t="s">
        <v>21</v>
      </c>
      <c r="M98" s="1" t="s">
        <v>22</v>
      </c>
      <c r="N98" s="8">
        <f t="shared" si="1"/>
        <v>4406</v>
      </c>
      <c r="O98" s="1"/>
      <c r="P98" s="30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4">
      <c r="A99" s="1" t="s">
        <v>138</v>
      </c>
      <c r="B99" s="1" t="s">
        <v>24</v>
      </c>
      <c r="C99" s="3">
        <v>45366</v>
      </c>
      <c r="D99" s="1" t="s">
        <v>25</v>
      </c>
      <c r="E99" s="1" t="s">
        <v>37</v>
      </c>
      <c r="F99" s="7">
        <v>4969</v>
      </c>
      <c r="G99" s="7">
        <v>433</v>
      </c>
      <c r="H99" s="7">
        <v>237</v>
      </c>
      <c r="I99" s="7">
        <v>59552</v>
      </c>
      <c r="J99" s="7">
        <v>23885</v>
      </c>
      <c r="K99" s="7">
        <v>157</v>
      </c>
      <c r="L99" s="1" t="s">
        <v>39</v>
      </c>
      <c r="M99" s="1" t="s">
        <v>18</v>
      </c>
      <c r="N99" s="8">
        <f t="shared" si="1"/>
        <v>5639</v>
      </c>
      <c r="O99" s="1"/>
      <c r="P99" s="30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4">
      <c r="A100" s="1" t="s">
        <v>139</v>
      </c>
      <c r="B100" s="1" t="s">
        <v>24</v>
      </c>
      <c r="C100" s="3">
        <v>45580</v>
      </c>
      <c r="D100" s="1" t="s">
        <v>15</v>
      </c>
      <c r="E100" s="1" t="s">
        <v>29</v>
      </c>
      <c r="F100" s="7">
        <v>1984</v>
      </c>
      <c r="G100" s="7">
        <v>481</v>
      </c>
      <c r="H100" s="7">
        <v>356</v>
      </c>
      <c r="I100" s="7">
        <v>40681</v>
      </c>
      <c r="J100" s="7">
        <v>63111</v>
      </c>
      <c r="K100" s="7">
        <v>258</v>
      </c>
      <c r="L100" s="1" t="s">
        <v>42</v>
      </c>
      <c r="M100" s="1" t="s">
        <v>18</v>
      </c>
      <c r="N100" s="8">
        <f t="shared" si="1"/>
        <v>2821</v>
      </c>
      <c r="O100" s="1"/>
      <c r="P100" s="30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4">
      <c r="A101" s="1" t="s">
        <v>140</v>
      </c>
      <c r="B101" s="1" t="s">
        <v>14</v>
      </c>
      <c r="C101" s="3">
        <v>45494</v>
      </c>
      <c r="D101" s="1" t="s">
        <v>15</v>
      </c>
      <c r="E101" s="1" t="s">
        <v>16</v>
      </c>
      <c r="F101" s="7">
        <v>3004</v>
      </c>
      <c r="G101" s="7">
        <v>415</v>
      </c>
      <c r="H101" s="7">
        <v>218</v>
      </c>
      <c r="I101" s="7">
        <v>36090</v>
      </c>
      <c r="J101" s="7">
        <v>37073</v>
      </c>
      <c r="K101" s="7">
        <v>181</v>
      </c>
      <c r="L101" s="1" t="s">
        <v>21</v>
      </c>
      <c r="M101" s="1" t="s">
        <v>22</v>
      </c>
      <c r="N101" s="8">
        <f t="shared" si="1"/>
        <v>3637</v>
      </c>
      <c r="O101" s="1"/>
      <c r="P101" s="30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4">
      <c r="A102" s="1" t="s">
        <v>141</v>
      </c>
      <c r="B102" s="1" t="s">
        <v>24</v>
      </c>
      <c r="C102" s="3">
        <v>45577</v>
      </c>
      <c r="D102" s="1" t="s">
        <v>15</v>
      </c>
      <c r="E102" s="1" t="s">
        <v>37</v>
      </c>
      <c r="F102" s="7">
        <v>3169</v>
      </c>
      <c r="G102" s="7">
        <v>386</v>
      </c>
      <c r="H102" s="7">
        <v>175</v>
      </c>
      <c r="I102" s="7">
        <v>45012</v>
      </c>
      <c r="J102" s="7">
        <v>38508</v>
      </c>
      <c r="K102" s="7">
        <v>218</v>
      </c>
      <c r="L102" s="1" t="s">
        <v>42</v>
      </c>
      <c r="M102" s="1" t="s">
        <v>18</v>
      </c>
      <c r="N102" s="8">
        <f t="shared" si="1"/>
        <v>3730</v>
      </c>
      <c r="O102" s="1"/>
      <c r="P102" s="30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4">
      <c r="A103" s="1" t="s">
        <v>142</v>
      </c>
      <c r="B103" s="1" t="s">
        <v>24</v>
      </c>
      <c r="C103" s="3">
        <v>45591</v>
      </c>
      <c r="D103" s="1" t="s">
        <v>15</v>
      </c>
      <c r="E103" s="1" t="s">
        <v>16</v>
      </c>
      <c r="F103" s="7">
        <v>3036</v>
      </c>
      <c r="G103" s="7">
        <v>293</v>
      </c>
      <c r="H103" s="7">
        <v>115</v>
      </c>
      <c r="I103" s="7">
        <v>23776</v>
      </c>
      <c r="J103" s="7">
        <v>46386</v>
      </c>
      <c r="K103" s="7">
        <v>282</v>
      </c>
      <c r="L103" s="1" t="s">
        <v>42</v>
      </c>
      <c r="M103" s="1" t="s">
        <v>18</v>
      </c>
      <c r="N103" s="8">
        <f t="shared" si="1"/>
        <v>3444</v>
      </c>
      <c r="O103" s="1"/>
      <c r="P103" s="30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4">
      <c r="A104" s="1" t="s">
        <v>143</v>
      </c>
      <c r="B104" s="1" t="s">
        <v>14</v>
      </c>
      <c r="C104" s="3">
        <v>45336</v>
      </c>
      <c r="D104" s="1" t="s">
        <v>15</v>
      </c>
      <c r="E104" s="1" t="s">
        <v>32</v>
      </c>
      <c r="F104" s="7">
        <v>1830</v>
      </c>
      <c r="G104" s="7">
        <v>112</v>
      </c>
      <c r="H104" s="7">
        <v>181</v>
      </c>
      <c r="I104" s="7">
        <v>31870</v>
      </c>
      <c r="J104" s="7">
        <v>55742</v>
      </c>
      <c r="K104" s="7">
        <v>263</v>
      </c>
      <c r="L104" s="1" t="s">
        <v>17</v>
      </c>
      <c r="M104" s="1" t="s">
        <v>18</v>
      </c>
      <c r="N104" s="8">
        <f t="shared" si="1"/>
        <v>2123</v>
      </c>
      <c r="O104" s="1"/>
      <c r="P104" s="30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4">
      <c r="A105" s="1" t="s">
        <v>144</v>
      </c>
      <c r="B105" s="1" t="s">
        <v>24</v>
      </c>
      <c r="C105" s="3">
        <v>45413</v>
      </c>
      <c r="D105" s="1" t="s">
        <v>25</v>
      </c>
      <c r="E105" s="1" t="s">
        <v>35</v>
      </c>
      <c r="F105" s="7">
        <v>2587</v>
      </c>
      <c r="G105" s="7">
        <v>447</v>
      </c>
      <c r="H105" s="7">
        <v>183</v>
      </c>
      <c r="I105" s="7">
        <v>36266</v>
      </c>
      <c r="J105" s="7">
        <v>32877</v>
      </c>
      <c r="K105" s="7">
        <v>132</v>
      </c>
      <c r="L105" s="1" t="s">
        <v>39</v>
      </c>
      <c r="M105" s="1" t="s">
        <v>18</v>
      </c>
      <c r="N105" s="8">
        <f t="shared" si="1"/>
        <v>3217</v>
      </c>
      <c r="O105" s="1"/>
      <c r="P105" s="30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4">
      <c r="A106" s="1" t="s">
        <v>145</v>
      </c>
      <c r="B106" s="1" t="s">
        <v>24</v>
      </c>
      <c r="C106" s="3">
        <v>45553</v>
      </c>
      <c r="D106" s="1" t="s">
        <v>15</v>
      </c>
      <c r="E106" s="1" t="s">
        <v>16</v>
      </c>
      <c r="F106" s="7">
        <v>2878</v>
      </c>
      <c r="G106" s="7">
        <v>265</v>
      </c>
      <c r="H106" s="7">
        <v>91</v>
      </c>
      <c r="I106" s="7">
        <v>52090</v>
      </c>
      <c r="J106" s="7">
        <v>28924</v>
      </c>
      <c r="K106" s="7">
        <v>133</v>
      </c>
      <c r="L106" s="1" t="s">
        <v>42</v>
      </c>
      <c r="M106" s="1" t="s">
        <v>18</v>
      </c>
      <c r="N106" s="8">
        <f t="shared" si="1"/>
        <v>3234</v>
      </c>
      <c r="O106" s="1"/>
      <c r="P106" s="30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4">
      <c r="A107" s="1" t="s">
        <v>146</v>
      </c>
      <c r="B107" s="1" t="s">
        <v>24</v>
      </c>
      <c r="C107" s="3">
        <v>45677</v>
      </c>
      <c r="D107" s="1" t="s">
        <v>25</v>
      </c>
      <c r="E107" s="1" t="s">
        <v>26</v>
      </c>
      <c r="F107" s="7">
        <v>4619</v>
      </c>
      <c r="G107" s="7">
        <v>272</v>
      </c>
      <c r="H107" s="7">
        <v>57</v>
      </c>
      <c r="I107" s="7">
        <v>21334</v>
      </c>
      <c r="J107" s="7">
        <v>46292</v>
      </c>
      <c r="K107" s="7">
        <v>91</v>
      </c>
      <c r="L107" s="1" t="s">
        <v>17</v>
      </c>
      <c r="M107" s="1" t="s">
        <v>18</v>
      </c>
      <c r="N107" s="8">
        <f t="shared" si="1"/>
        <v>4948</v>
      </c>
      <c r="O107" s="1"/>
      <c r="P107" s="30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4">
      <c r="A108" s="1" t="s">
        <v>147</v>
      </c>
      <c r="B108" s="1" t="s">
        <v>24</v>
      </c>
      <c r="C108" s="3">
        <v>45670</v>
      </c>
      <c r="D108" s="1" t="s">
        <v>15</v>
      </c>
      <c r="E108" s="1" t="s">
        <v>32</v>
      </c>
      <c r="F108" s="7">
        <v>4090</v>
      </c>
      <c r="G108" s="7">
        <v>209</v>
      </c>
      <c r="H108" s="7">
        <v>278</v>
      </c>
      <c r="I108" s="7">
        <v>52853</v>
      </c>
      <c r="J108" s="7">
        <v>57084</v>
      </c>
      <c r="K108" s="7">
        <v>102</v>
      </c>
      <c r="L108" s="1" t="s">
        <v>45</v>
      </c>
      <c r="M108" s="1" t="s">
        <v>22</v>
      </c>
      <c r="N108" s="8">
        <f t="shared" si="1"/>
        <v>4577</v>
      </c>
      <c r="O108" s="1"/>
      <c r="P108" s="30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4">
      <c r="A109" s="1" t="s">
        <v>148</v>
      </c>
      <c r="B109" s="1" t="s">
        <v>31</v>
      </c>
      <c r="C109" s="3">
        <v>45542</v>
      </c>
      <c r="D109" s="1" t="s">
        <v>57</v>
      </c>
      <c r="E109" s="1" t="s">
        <v>32</v>
      </c>
      <c r="F109" s="7">
        <v>3882</v>
      </c>
      <c r="G109" s="7">
        <v>342</v>
      </c>
      <c r="H109" s="7">
        <v>374</v>
      </c>
      <c r="I109" s="7">
        <v>41991</v>
      </c>
      <c r="J109" s="7">
        <v>48554</v>
      </c>
      <c r="K109" s="7">
        <v>118</v>
      </c>
      <c r="L109" s="1" t="s">
        <v>58</v>
      </c>
      <c r="M109" s="1" t="s">
        <v>59</v>
      </c>
      <c r="N109" s="8">
        <f t="shared" si="1"/>
        <v>4598</v>
      </c>
      <c r="O109" s="1"/>
      <c r="P109" s="30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4">
      <c r="A110" s="1" t="s">
        <v>149</v>
      </c>
      <c r="B110" s="1" t="s">
        <v>14</v>
      </c>
      <c r="C110" s="3">
        <v>45617</v>
      </c>
      <c r="D110" s="1" t="s">
        <v>15</v>
      </c>
      <c r="E110" s="1" t="s">
        <v>32</v>
      </c>
      <c r="F110" s="7">
        <v>4581</v>
      </c>
      <c r="G110" s="7">
        <v>181</v>
      </c>
      <c r="H110" s="7">
        <v>112</v>
      </c>
      <c r="I110" s="7">
        <v>35221</v>
      </c>
      <c r="J110" s="7">
        <v>28797</v>
      </c>
      <c r="K110" s="7">
        <v>164</v>
      </c>
      <c r="L110" s="1" t="s">
        <v>17</v>
      </c>
      <c r="M110" s="1" t="s">
        <v>18</v>
      </c>
      <c r="N110" s="8">
        <f t="shared" si="1"/>
        <v>4874</v>
      </c>
      <c r="O110" s="1"/>
      <c r="P110" s="30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4">
      <c r="A111" s="1" t="s">
        <v>150</v>
      </c>
      <c r="B111" s="1" t="s">
        <v>14</v>
      </c>
      <c r="C111" s="3">
        <v>45469</v>
      </c>
      <c r="D111" s="1" t="s">
        <v>15</v>
      </c>
      <c r="E111" s="1" t="s">
        <v>26</v>
      </c>
      <c r="F111" s="7">
        <v>3253</v>
      </c>
      <c r="G111" s="7">
        <v>483</v>
      </c>
      <c r="H111" s="7">
        <v>336</v>
      </c>
      <c r="I111" s="7">
        <v>25397</v>
      </c>
      <c r="J111" s="7">
        <v>51485</v>
      </c>
      <c r="K111" s="7">
        <v>131</v>
      </c>
      <c r="L111" s="1" t="s">
        <v>21</v>
      </c>
      <c r="M111" s="1" t="s">
        <v>22</v>
      </c>
      <c r="N111" s="8">
        <f t="shared" si="1"/>
        <v>4072</v>
      </c>
      <c r="O111" s="1"/>
      <c r="P111" s="30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4">
      <c r="A112" s="1" t="s">
        <v>151</v>
      </c>
      <c r="B112" s="1" t="s">
        <v>31</v>
      </c>
      <c r="C112" s="3">
        <v>45493</v>
      </c>
      <c r="D112" s="1" t="s">
        <v>57</v>
      </c>
      <c r="E112" s="1" t="s">
        <v>32</v>
      </c>
      <c r="F112" s="7">
        <v>4955</v>
      </c>
      <c r="G112" s="7">
        <v>299</v>
      </c>
      <c r="H112" s="7">
        <v>345</v>
      </c>
      <c r="I112" s="7">
        <v>33644</v>
      </c>
      <c r="J112" s="7">
        <v>43547</v>
      </c>
      <c r="K112" s="7">
        <v>194</v>
      </c>
      <c r="L112" s="1" t="s">
        <v>58</v>
      </c>
      <c r="M112" s="1" t="s">
        <v>59</v>
      </c>
      <c r="N112" s="8">
        <f t="shared" si="1"/>
        <v>5599</v>
      </c>
      <c r="O112" s="1"/>
      <c r="P112" s="30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4">
      <c r="A113" s="1" t="s">
        <v>152</v>
      </c>
      <c r="B113" s="1" t="s">
        <v>14</v>
      </c>
      <c r="C113" s="3">
        <v>45704</v>
      </c>
      <c r="D113" s="1" t="s">
        <v>15</v>
      </c>
      <c r="E113" s="1" t="s">
        <v>51</v>
      </c>
      <c r="F113" s="7">
        <v>1333</v>
      </c>
      <c r="G113" s="7">
        <v>286</v>
      </c>
      <c r="H113" s="7">
        <v>298</v>
      </c>
      <c r="I113" s="7">
        <v>36174</v>
      </c>
      <c r="J113" s="7">
        <v>34517</v>
      </c>
      <c r="K113" s="7">
        <v>170</v>
      </c>
      <c r="L113" s="1" t="s">
        <v>17</v>
      </c>
      <c r="M113" s="1" t="s">
        <v>18</v>
      </c>
      <c r="N113" s="8">
        <f t="shared" si="1"/>
        <v>1917</v>
      </c>
      <c r="O113" s="1"/>
      <c r="P113" s="30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4">
      <c r="A114" s="1" t="s">
        <v>153</v>
      </c>
      <c r="B114" s="1" t="s">
        <v>14</v>
      </c>
      <c r="C114" s="3">
        <v>45544</v>
      </c>
      <c r="D114" s="1" t="s">
        <v>15</v>
      </c>
      <c r="E114" s="1" t="s">
        <v>26</v>
      </c>
      <c r="F114" s="7">
        <v>1616</v>
      </c>
      <c r="G114" s="7">
        <v>360</v>
      </c>
      <c r="H114" s="7">
        <v>180</v>
      </c>
      <c r="I114" s="7">
        <v>54342</v>
      </c>
      <c r="J114" s="7">
        <v>18796</v>
      </c>
      <c r="K114" s="7">
        <v>282</v>
      </c>
      <c r="L114" s="1" t="s">
        <v>17</v>
      </c>
      <c r="M114" s="1" t="s">
        <v>18</v>
      </c>
      <c r="N114" s="8">
        <f t="shared" si="1"/>
        <v>2156</v>
      </c>
      <c r="O114" s="1"/>
      <c r="P114" s="30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4">
      <c r="A115" s="1" t="s">
        <v>154</v>
      </c>
      <c r="B115" s="1" t="s">
        <v>24</v>
      </c>
      <c r="C115" s="3">
        <v>45489</v>
      </c>
      <c r="D115" s="1" t="s">
        <v>15</v>
      </c>
      <c r="E115" s="1" t="s">
        <v>41</v>
      </c>
      <c r="F115" s="7">
        <v>1803</v>
      </c>
      <c r="G115" s="7">
        <v>273</v>
      </c>
      <c r="H115" s="7">
        <v>287</v>
      </c>
      <c r="I115" s="7">
        <v>46176</v>
      </c>
      <c r="J115" s="7">
        <v>25488</v>
      </c>
      <c r="K115" s="7">
        <v>141</v>
      </c>
      <c r="L115" s="1" t="s">
        <v>42</v>
      </c>
      <c r="M115" s="1" t="s">
        <v>18</v>
      </c>
      <c r="N115" s="8">
        <f t="shared" si="1"/>
        <v>2363</v>
      </c>
      <c r="O115" s="1"/>
      <c r="P115" s="30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4">
      <c r="A116" s="1" t="s">
        <v>155</v>
      </c>
      <c r="B116" s="1" t="s">
        <v>14</v>
      </c>
      <c r="C116" s="3">
        <v>45762</v>
      </c>
      <c r="D116" s="1" t="s">
        <v>15</v>
      </c>
      <c r="E116" s="1" t="s">
        <v>20</v>
      </c>
      <c r="F116" s="7">
        <v>4177</v>
      </c>
      <c r="G116" s="7">
        <v>489</v>
      </c>
      <c r="H116" s="7">
        <v>331</v>
      </c>
      <c r="I116" s="7">
        <v>57451</v>
      </c>
      <c r="J116" s="7">
        <v>73793</v>
      </c>
      <c r="K116" s="7">
        <v>251</v>
      </c>
      <c r="L116" s="1" t="s">
        <v>21</v>
      </c>
      <c r="M116" s="1" t="s">
        <v>22</v>
      </c>
      <c r="N116" s="8">
        <f t="shared" si="1"/>
        <v>4997</v>
      </c>
      <c r="O116" s="1"/>
      <c r="P116" s="30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4">
      <c r="A117" s="1" t="s">
        <v>156</v>
      </c>
      <c r="B117" s="1" t="s">
        <v>14</v>
      </c>
      <c r="C117" s="3">
        <v>45781</v>
      </c>
      <c r="D117" s="1" t="s">
        <v>25</v>
      </c>
      <c r="E117" s="1" t="s">
        <v>26</v>
      </c>
      <c r="F117" s="7">
        <v>1311</v>
      </c>
      <c r="G117" s="7">
        <v>181</v>
      </c>
      <c r="H117" s="7">
        <v>361</v>
      </c>
      <c r="I117" s="7">
        <v>37148</v>
      </c>
      <c r="J117" s="7">
        <v>44875</v>
      </c>
      <c r="K117" s="7">
        <v>245</v>
      </c>
      <c r="L117" s="1" t="s">
        <v>42</v>
      </c>
      <c r="M117" s="1" t="s">
        <v>55</v>
      </c>
      <c r="N117" s="8">
        <f t="shared" si="1"/>
        <v>1853</v>
      </c>
      <c r="O117" s="1"/>
      <c r="P117" s="30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4">
      <c r="A118" s="1" t="s">
        <v>157</v>
      </c>
      <c r="B118" s="1" t="s">
        <v>14</v>
      </c>
      <c r="C118" s="3">
        <v>45340</v>
      </c>
      <c r="D118" s="1" t="s">
        <v>25</v>
      </c>
      <c r="E118" s="1" t="s">
        <v>49</v>
      </c>
      <c r="F118" s="7">
        <v>1516</v>
      </c>
      <c r="G118" s="7">
        <v>215</v>
      </c>
      <c r="H118" s="7">
        <v>332</v>
      </c>
      <c r="I118" s="7">
        <v>58981</v>
      </c>
      <c r="J118" s="7">
        <v>36118</v>
      </c>
      <c r="K118" s="7">
        <v>211</v>
      </c>
      <c r="L118" s="1" t="s">
        <v>42</v>
      </c>
      <c r="M118" s="1" t="s">
        <v>55</v>
      </c>
      <c r="N118" s="8">
        <f t="shared" si="1"/>
        <v>2063</v>
      </c>
      <c r="O118" s="1"/>
      <c r="P118" s="30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4">
      <c r="A119" s="1" t="s">
        <v>158</v>
      </c>
      <c r="B119" s="1" t="s">
        <v>24</v>
      </c>
      <c r="C119" s="3">
        <v>45428</v>
      </c>
      <c r="D119" s="1" t="s">
        <v>25</v>
      </c>
      <c r="E119" s="1" t="s">
        <v>32</v>
      </c>
      <c r="F119" s="7">
        <v>2023</v>
      </c>
      <c r="G119" s="7">
        <v>124</v>
      </c>
      <c r="H119" s="7">
        <v>99</v>
      </c>
      <c r="I119" s="7">
        <v>54524</v>
      </c>
      <c r="J119" s="7">
        <v>34790</v>
      </c>
      <c r="K119" s="7">
        <v>195</v>
      </c>
      <c r="L119" s="1" t="s">
        <v>39</v>
      </c>
      <c r="M119" s="1" t="s">
        <v>18</v>
      </c>
      <c r="N119" s="8">
        <f t="shared" si="1"/>
        <v>2246</v>
      </c>
      <c r="O119" s="1"/>
      <c r="P119" s="30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4">
      <c r="A120" s="1" t="s">
        <v>159</v>
      </c>
      <c r="B120" s="1" t="s">
        <v>24</v>
      </c>
      <c r="C120" s="3">
        <v>45806</v>
      </c>
      <c r="D120" s="1" t="s">
        <v>25</v>
      </c>
      <c r="E120" s="1" t="s">
        <v>32</v>
      </c>
      <c r="F120" s="7">
        <v>2134</v>
      </c>
      <c r="G120" s="7">
        <v>322</v>
      </c>
      <c r="H120" s="7">
        <v>114</v>
      </c>
      <c r="I120" s="7">
        <v>44338</v>
      </c>
      <c r="J120" s="7">
        <v>52165</v>
      </c>
      <c r="K120" s="7">
        <v>176</v>
      </c>
      <c r="L120" s="1" t="s">
        <v>27</v>
      </c>
      <c r="M120" s="1" t="s">
        <v>18</v>
      </c>
      <c r="N120" s="8">
        <f t="shared" si="1"/>
        <v>2570</v>
      </c>
      <c r="O120" s="1"/>
      <c r="P120" s="30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4">
      <c r="A121" s="1" t="s">
        <v>160</v>
      </c>
      <c r="B121" s="1" t="s">
        <v>14</v>
      </c>
      <c r="C121" s="3">
        <v>45674</v>
      </c>
      <c r="D121" s="1" t="s">
        <v>15</v>
      </c>
      <c r="E121" s="1" t="s">
        <v>41</v>
      </c>
      <c r="F121" s="7">
        <v>2266</v>
      </c>
      <c r="G121" s="7">
        <v>126</v>
      </c>
      <c r="H121" s="7">
        <v>140</v>
      </c>
      <c r="I121" s="7">
        <v>53759</v>
      </c>
      <c r="J121" s="7">
        <v>46834</v>
      </c>
      <c r="K121" s="7">
        <v>277</v>
      </c>
      <c r="L121" s="1" t="s">
        <v>21</v>
      </c>
      <c r="M121" s="1" t="s">
        <v>22</v>
      </c>
      <c r="N121" s="8">
        <f t="shared" si="1"/>
        <v>2532</v>
      </c>
      <c r="O121" s="1"/>
      <c r="P121" s="30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4">
      <c r="A122" s="1" t="s">
        <v>161</v>
      </c>
      <c r="B122" s="1" t="s">
        <v>14</v>
      </c>
      <c r="C122" s="3">
        <v>45777</v>
      </c>
      <c r="D122" s="1" t="s">
        <v>25</v>
      </c>
      <c r="E122" s="1" t="s">
        <v>26</v>
      </c>
      <c r="F122" s="7">
        <v>3916</v>
      </c>
      <c r="G122" s="7">
        <v>459</v>
      </c>
      <c r="H122" s="7">
        <v>229</v>
      </c>
      <c r="I122" s="7">
        <v>48989</v>
      </c>
      <c r="J122" s="7">
        <v>39768</v>
      </c>
      <c r="K122" s="7">
        <v>200</v>
      </c>
      <c r="L122" s="1" t="s">
        <v>42</v>
      </c>
      <c r="M122" s="1" t="s">
        <v>55</v>
      </c>
      <c r="N122" s="8">
        <f t="shared" si="1"/>
        <v>4604</v>
      </c>
      <c r="O122" s="1"/>
      <c r="P122" s="30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4">
      <c r="A123" s="1" t="s">
        <v>162</v>
      </c>
      <c r="B123" s="1" t="s">
        <v>24</v>
      </c>
      <c r="C123" s="3">
        <v>45346</v>
      </c>
      <c r="D123" s="1" t="s">
        <v>25</v>
      </c>
      <c r="E123" s="1" t="s">
        <v>32</v>
      </c>
      <c r="F123" s="7">
        <v>1022</v>
      </c>
      <c r="G123" s="7">
        <v>463</v>
      </c>
      <c r="H123" s="7">
        <v>360</v>
      </c>
      <c r="I123" s="7">
        <v>51468</v>
      </c>
      <c r="J123" s="7">
        <v>24279</v>
      </c>
      <c r="K123" s="7">
        <v>230</v>
      </c>
      <c r="L123" s="1" t="s">
        <v>39</v>
      </c>
      <c r="M123" s="1" t="s">
        <v>18</v>
      </c>
      <c r="N123" s="8">
        <f t="shared" si="1"/>
        <v>1845</v>
      </c>
      <c r="O123" s="1"/>
      <c r="P123" s="30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4">
      <c r="A124" s="1" t="s">
        <v>163</v>
      </c>
      <c r="B124" s="1" t="s">
        <v>31</v>
      </c>
      <c r="C124" s="3">
        <v>45424</v>
      </c>
      <c r="D124" s="1" t="s">
        <v>15</v>
      </c>
      <c r="E124" s="1" t="s">
        <v>49</v>
      </c>
      <c r="F124" s="7">
        <v>2911</v>
      </c>
      <c r="G124" s="7">
        <v>467</v>
      </c>
      <c r="H124" s="7">
        <v>94</v>
      </c>
      <c r="I124" s="7">
        <v>59083</v>
      </c>
      <c r="J124" s="7">
        <v>49762</v>
      </c>
      <c r="K124" s="7">
        <v>236</v>
      </c>
      <c r="L124" s="1" t="s">
        <v>33</v>
      </c>
      <c r="M124" s="1" t="s">
        <v>22</v>
      </c>
      <c r="N124" s="8">
        <f t="shared" si="1"/>
        <v>3472</v>
      </c>
      <c r="O124" s="1"/>
      <c r="P124" s="30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4">
      <c r="A125" s="1" t="s">
        <v>164</v>
      </c>
      <c r="B125" s="1" t="s">
        <v>24</v>
      </c>
      <c r="C125" s="3">
        <v>45421</v>
      </c>
      <c r="D125" s="1" t="s">
        <v>25</v>
      </c>
      <c r="E125" s="1" t="s">
        <v>26</v>
      </c>
      <c r="F125" s="7">
        <v>3277</v>
      </c>
      <c r="G125" s="7">
        <v>423</v>
      </c>
      <c r="H125" s="7">
        <v>259</v>
      </c>
      <c r="I125" s="7">
        <v>46328</v>
      </c>
      <c r="J125" s="7">
        <v>44293</v>
      </c>
      <c r="K125" s="7">
        <v>299</v>
      </c>
      <c r="L125" s="1" t="s">
        <v>17</v>
      </c>
      <c r="M125" s="1" t="s">
        <v>18</v>
      </c>
      <c r="N125" s="8">
        <f t="shared" si="1"/>
        <v>3959</v>
      </c>
      <c r="O125" s="1"/>
      <c r="P125" s="30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4">
      <c r="A126" s="1" t="s">
        <v>165</v>
      </c>
      <c r="B126" s="1" t="s">
        <v>24</v>
      </c>
      <c r="C126" s="3">
        <v>45602</v>
      </c>
      <c r="D126" s="1" t="s">
        <v>15</v>
      </c>
      <c r="E126" s="1" t="s">
        <v>49</v>
      </c>
      <c r="F126" s="7">
        <v>2956</v>
      </c>
      <c r="G126" s="7">
        <v>381</v>
      </c>
      <c r="H126" s="7">
        <v>345</v>
      </c>
      <c r="I126" s="7">
        <v>33347</v>
      </c>
      <c r="J126" s="7">
        <v>22558</v>
      </c>
      <c r="K126" s="7">
        <v>173</v>
      </c>
      <c r="L126" s="1" t="s">
        <v>42</v>
      </c>
      <c r="M126" s="1" t="s">
        <v>18</v>
      </c>
      <c r="N126" s="8">
        <f t="shared" si="1"/>
        <v>3682</v>
      </c>
      <c r="O126" s="1"/>
      <c r="P126" s="30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4">
      <c r="A127" s="1" t="s">
        <v>166</v>
      </c>
      <c r="B127" s="1" t="s">
        <v>24</v>
      </c>
      <c r="C127" s="3">
        <v>45295</v>
      </c>
      <c r="D127" s="1" t="s">
        <v>25</v>
      </c>
      <c r="E127" s="1" t="s">
        <v>35</v>
      </c>
      <c r="F127" s="7">
        <v>3208</v>
      </c>
      <c r="G127" s="7">
        <v>476</v>
      </c>
      <c r="H127" s="7">
        <v>277</v>
      </c>
      <c r="I127" s="7">
        <v>56072</v>
      </c>
      <c r="J127" s="7">
        <v>21061</v>
      </c>
      <c r="K127" s="7">
        <v>113</v>
      </c>
      <c r="L127" s="1" t="s">
        <v>27</v>
      </c>
      <c r="M127" s="1" t="s">
        <v>18</v>
      </c>
      <c r="N127" s="8">
        <f t="shared" si="1"/>
        <v>3961</v>
      </c>
      <c r="O127" s="1"/>
      <c r="P127" s="30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4">
      <c r="A128" s="1" t="s">
        <v>167</v>
      </c>
      <c r="B128" s="1" t="s">
        <v>24</v>
      </c>
      <c r="C128" s="3">
        <v>45319</v>
      </c>
      <c r="D128" s="1" t="s">
        <v>15</v>
      </c>
      <c r="E128" s="1" t="s">
        <v>32</v>
      </c>
      <c r="F128" s="7">
        <v>1456</v>
      </c>
      <c r="G128" s="7">
        <v>265</v>
      </c>
      <c r="H128" s="7">
        <v>137</v>
      </c>
      <c r="I128" s="7">
        <v>53485</v>
      </c>
      <c r="J128" s="7">
        <v>59729</v>
      </c>
      <c r="K128" s="7">
        <v>145</v>
      </c>
      <c r="L128" s="1" t="s">
        <v>45</v>
      </c>
      <c r="M128" s="1" t="s">
        <v>22</v>
      </c>
      <c r="N128" s="8">
        <f t="shared" si="1"/>
        <v>1858</v>
      </c>
      <c r="O128" s="1"/>
      <c r="P128" s="30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4">
      <c r="A129" s="1" t="s">
        <v>168</v>
      </c>
      <c r="B129" s="1" t="s">
        <v>14</v>
      </c>
      <c r="C129" s="3">
        <v>45344</v>
      </c>
      <c r="D129" s="1" t="s">
        <v>15</v>
      </c>
      <c r="E129" s="1" t="s">
        <v>26</v>
      </c>
      <c r="F129" s="7">
        <v>1902</v>
      </c>
      <c r="G129" s="7">
        <v>394</v>
      </c>
      <c r="H129" s="7">
        <v>279</v>
      </c>
      <c r="I129" s="7">
        <v>24615</v>
      </c>
      <c r="J129" s="7">
        <v>51330</v>
      </c>
      <c r="K129" s="7">
        <v>176</v>
      </c>
      <c r="L129" s="1" t="s">
        <v>17</v>
      </c>
      <c r="M129" s="1" t="s">
        <v>18</v>
      </c>
      <c r="N129" s="8">
        <f t="shared" si="1"/>
        <v>2575</v>
      </c>
      <c r="O129" s="1"/>
      <c r="P129" s="30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4">
      <c r="A130" s="1" t="s">
        <v>169</v>
      </c>
      <c r="B130" s="1" t="s">
        <v>24</v>
      </c>
      <c r="C130" s="3">
        <v>45839</v>
      </c>
      <c r="D130" s="1" t="s">
        <v>25</v>
      </c>
      <c r="E130" s="1" t="s">
        <v>20</v>
      </c>
      <c r="F130" s="7">
        <v>3219</v>
      </c>
      <c r="G130" s="7">
        <v>424</v>
      </c>
      <c r="H130" s="7">
        <v>267</v>
      </c>
      <c r="I130" s="7">
        <v>48879</v>
      </c>
      <c r="J130" s="7">
        <v>37691</v>
      </c>
      <c r="K130" s="7">
        <v>224</v>
      </c>
      <c r="L130" s="1" t="s">
        <v>39</v>
      </c>
      <c r="M130" s="1" t="s">
        <v>18</v>
      </c>
      <c r="N130" s="8">
        <f t="shared" ref="N130:N193" si="2">F130+G130+H130</f>
        <v>3910</v>
      </c>
      <c r="O130" s="1"/>
      <c r="P130" s="30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4">
      <c r="A131" s="1" t="s">
        <v>170</v>
      </c>
      <c r="B131" s="1" t="s">
        <v>31</v>
      </c>
      <c r="C131" s="3">
        <v>45301</v>
      </c>
      <c r="D131" s="1" t="s">
        <v>15</v>
      </c>
      <c r="E131" s="1" t="s">
        <v>20</v>
      </c>
      <c r="F131" s="7">
        <v>1261</v>
      </c>
      <c r="G131" s="7">
        <v>190</v>
      </c>
      <c r="H131" s="7">
        <v>233</v>
      </c>
      <c r="I131" s="7">
        <v>59888</v>
      </c>
      <c r="J131" s="7">
        <v>51449</v>
      </c>
      <c r="K131" s="7">
        <v>205</v>
      </c>
      <c r="L131" s="1" t="s">
        <v>33</v>
      </c>
      <c r="M131" s="1" t="s">
        <v>22</v>
      </c>
      <c r="N131" s="8">
        <f t="shared" si="2"/>
        <v>1684</v>
      </c>
      <c r="O131" s="1"/>
      <c r="P131" s="30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4">
      <c r="A132" s="1" t="s">
        <v>171</v>
      </c>
      <c r="B132" s="1" t="s">
        <v>24</v>
      </c>
      <c r="C132" s="3">
        <v>45736</v>
      </c>
      <c r="D132" s="1" t="s">
        <v>15</v>
      </c>
      <c r="E132" s="1" t="s">
        <v>51</v>
      </c>
      <c r="F132" s="7">
        <v>1564</v>
      </c>
      <c r="G132" s="7">
        <v>362</v>
      </c>
      <c r="H132" s="7">
        <v>371</v>
      </c>
      <c r="I132" s="7">
        <v>42075</v>
      </c>
      <c r="J132" s="7">
        <v>66659</v>
      </c>
      <c r="K132" s="7">
        <v>205</v>
      </c>
      <c r="L132" s="1" t="s">
        <v>45</v>
      </c>
      <c r="M132" s="1" t="s">
        <v>22</v>
      </c>
      <c r="N132" s="8">
        <f t="shared" si="2"/>
        <v>2297</v>
      </c>
      <c r="O132" s="1"/>
      <c r="P132" s="30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4">
      <c r="A133" s="1" t="s">
        <v>172</v>
      </c>
      <c r="B133" s="1" t="s">
        <v>24</v>
      </c>
      <c r="C133" s="3">
        <v>45563</v>
      </c>
      <c r="D133" s="1" t="s">
        <v>15</v>
      </c>
      <c r="E133" s="1" t="s">
        <v>35</v>
      </c>
      <c r="F133" s="7">
        <v>4006</v>
      </c>
      <c r="G133" s="7">
        <v>420</v>
      </c>
      <c r="H133" s="7">
        <v>194</v>
      </c>
      <c r="I133" s="7">
        <v>49964</v>
      </c>
      <c r="J133" s="7">
        <v>20685</v>
      </c>
      <c r="K133" s="7">
        <v>148</v>
      </c>
      <c r="L133" s="1" t="s">
        <v>42</v>
      </c>
      <c r="M133" s="1" t="s">
        <v>18</v>
      </c>
      <c r="N133" s="8">
        <f t="shared" si="2"/>
        <v>4620</v>
      </c>
      <c r="O133" s="1"/>
      <c r="P133" s="30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4">
      <c r="A134" s="1" t="s">
        <v>173</v>
      </c>
      <c r="B134" s="1" t="s">
        <v>31</v>
      </c>
      <c r="C134" s="3">
        <v>45318</v>
      </c>
      <c r="D134" s="1" t="s">
        <v>15</v>
      </c>
      <c r="E134" s="1" t="s">
        <v>51</v>
      </c>
      <c r="F134" s="7">
        <v>1976</v>
      </c>
      <c r="G134" s="7">
        <v>262</v>
      </c>
      <c r="H134" s="7">
        <v>218</v>
      </c>
      <c r="I134" s="7">
        <v>51696</v>
      </c>
      <c r="J134" s="7">
        <v>44846</v>
      </c>
      <c r="K134" s="7">
        <v>139</v>
      </c>
      <c r="L134" s="1" t="s">
        <v>33</v>
      </c>
      <c r="M134" s="1" t="s">
        <v>22</v>
      </c>
      <c r="N134" s="8">
        <f t="shared" si="2"/>
        <v>2456</v>
      </c>
      <c r="O134" s="1"/>
      <c r="P134" s="30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4">
      <c r="A135" s="1" t="s">
        <v>174</v>
      </c>
      <c r="B135" s="1" t="s">
        <v>24</v>
      </c>
      <c r="C135" s="3">
        <v>45792</v>
      </c>
      <c r="D135" s="1" t="s">
        <v>15</v>
      </c>
      <c r="E135" s="1" t="s">
        <v>26</v>
      </c>
      <c r="F135" s="7">
        <v>1583</v>
      </c>
      <c r="G135" s="7">
        <v>433</v>
      </c>
      <c r="H135" s="7">
        <v>249</v>
      </c>
      <c r="I135" s="7">
        <v>30256</v>
      </c>
      <c r="J135" s="7">
        <v>47066</v>
      </c>
      <c r="K135" s="7">
        <v>196</v>
      </c>
      <c r="L135" s="1" t="s">
        <v>42</v>
      </c>
      <c r="M135" s="1" t="s">
        <v>18</v>
      </c>
      <c r="N135" s="8">
        <f t="shared" si="2"/>
        <v>2265</v>
      </c>
      <c r="O135" s="1"/>
      <c r="P135" s="30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4">
      <c r="A136" s="1" t="s">
        <v>175</v>
      </c>
      <c r="B136" s="1" t="s">
        <v>24</v>
      </c>
      <c r="C136" s="3">
        <v>45569</v>
      </c>
      <c r="D136" s="1" t="s">
        <v>25</v>
      </c>
      <c r="E136" s="1" t="s">
        <v>20</v>
      </c>
      <c r="F136" s="7">
        <v>2870</v>
      </c>
      <c r="G136" s="7">
        <v>380</v>
      </c>
      <c r="H136" s="7">
        <v>393</v>
      </c>
      <c r="I136" s="7">
        <v>37621</v>
      </c>
      <c r="J136" s="7">
        <v>71794</v>
      </c>
      <c r="K136" s="7">
        <v>127</v>
      </c>
      <c r="L136" s="1" t="s">
        <v>27</v>
      </c>
      <c r="M136" s="1" t="s">
        <v>18</v>
      </c>
      <c r="N136" s="8">
        <f t="shared" si="2"/>
        <v>3643</v>
      </c>
      <c r="O136" s="1"/>
      <c r="P136" s="30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4">
      <c r="A137" s="1" t="s">
        <v>176</v>
      </c>
      <c r="B137" s="1" t="s">
        <v>24</v>
      </c>
      <c r="C137" s="3">
        <v>45615</v>
      </c>
      <c r="D137" s="1" t="s">
        <v>15</v>
      </c>
      <c r="E137" s="1" t="s">
        <v>41</v>
      </c>
      <c r="F137" s="7">
        <v>3728</v>
      </c>
      <c r="G137" s="7">
        <v>271</v>
      </c>
      <c r="H137" s="7">
        <v>275</v>
      </c>
      <c r="I137" s="7">
        <v>22827</v>
      </c>
      <c r="J137" s="7">
        <v>37034</v>
      </c>
      <c r="K137" s="7">
        <v>199</v>
      </c>
      <c r="L137" s="1" t="s">
        <v>42</v>
      </c>
      <c r="M137" s="1" t="s">
        <v>18</v>
      </c>
      <c r="N137" s="8">
        <f t="shared" si="2"/>
        <v>4274</v>
      </c>
      <c r="O137" s="1"/>
      <c r="P137" s="30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4">
      <c r="A138" s="1" t="s">
        <v>177</v>
      </c>
      <c r="B138" s="1" t="s">
        <v>24</v>
      </c>
      <c r="C138" s="3">
        <v>45387</v>
      </c>
      <c r="D138" s="1" t="s">
        <v>25</v>
      </c>
      <c r="E138" s="1" t="s">
        <v>26</v>
      </c>
      <c r="F138" s="7">
        <v>4965</v>
      </c>
      <c r="G138" s="7">
        <v>175</v>
      </c>
      <c r="H138" s="7">
        <v>307</v>
      </c>
      <c r="I138" s="7">
        <v>32793</v>
      </c>
      <c r="J138" s="7">
        <v>43412</v>
      </c>
      <c r="K138" s="7">
        <v>296</v>
      </c>
      <c r="L138" s="1" t="s">
        <v>17</v>
      </c>
      <c r="M138" s="1" t="s">
        <v>18</v>
      </c>
      <c r="N138" s="8">
        <f t="shared" si="2"/>
        <v>5447</v>
      </c>
      <c r="O138" s="1"/>
      <c r="P138" s="30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4">
      <c r="A139" s="1" t="s">
        <v>178</v>
      </c>
      <c r="B139" s="1" t="s">
        <v>24</v>
      </c>
      <c r="C139" s="3">
        <v>45624</v>
      </c>
      <c r="D139" s="1" t="s">
        <v>25</v>
      </c>
      <c r="E139" s="1" t="s">
        <v>26</v>
      </c>
      <c r="F139" s="7">
        <v>1131</v>
      </c>
      <c r="G139" s="7">
        <v>100</v>
      </c>
      <c r="H139" s="7">
        <v>116</v>
      </c>
      <c r="I139" s="7">
        <v>48437</v>
      </c>
      <c r="J139" s="7">
        <v>72704</v>
      </c>
      <c r="K139" s="7">
        <v>236</v>
      </c>
      <c r="L139" s="1" t="s">
        <v>39</v>
      </c>
      <c r="M139" s="1" t="s">
        <v>18</v>
      </c>
      <c r="N139" s="8">
        <f t="shared" si="2"/>
        <v>1347</v>
      </c>
      <c r="O139" s="1"/>
      <c r="P139" s="30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4">
      <c r="A140" s="1" t="s">
        <v>179</v>
      </c>
      <c r="B140" s="1" t="s">
        <v>24</v>
      </c>
      <c r="C140" s="3">
        <v>45725</v>
      </c>
      <c r="D140" s="1" t="s">
        <v>15</v>
      </c>
      <c r="E140" s="1" t="s">
        <v>51</v>
      </c>
      <c r="F140" s="7">
        <v>2754</v>
      </c>
      <c r="G140" s="7">
        <v>215</v>
      </c>
      <c r="H140" s="7">
        <v>264</v>
      </c>
      <c r="I140" s="7">
        <v>27762</v>
      </c>
      <c r="J140" s="7">
        <v>70203</v>
      </c>
      <c r="K140" s="7">
        <v>289</v>
      </c>
      <c r="L140" s="1" t="s">
        <v>42</v>
      </c>
      <c r="M140" s="1" t="s">
        <v>18</v>
      </c>
      <c r="N140" s="8">
        <f t="shared" si="2"/>
        <v>3233</v>
      </c>
      <c r="O140" s="1"/>
      <c r="P140" s="30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4">
      <c r="A141" s="1" t="s">
        <v>180</v>
      </c>
      <c r="B141" s="1" t="s">
        <v>24</v>
      </c>
      <c r="C141" s="3">
        <v>45531</v>
      </c>
      <c r="D141" s="1" t="s">
        <v>25</v>
      </c>
      <c r="E141" s="1" t="s">
        <v>26</v>
      </c>
      <c r="F141" s="7">
        <v>1856</v>
      </c>
      <c r="G141" s="7">
        <v>357</v>
      </c>
      <c r="H141" s="7">
        <v>348</v>
      </c>
      <c r="I141" s="7">
        <v>29428</v>
      </c>
      <c r="J141" s="7">
        <v>70206</v>
      </c>
      <c r="K141" s="7">
        <v>236</v>
      </c>
      <c r="L141" s="1" t="s">
        <v>27</v>
      </c>
      <c r="M141" s="1" t="s">
        <v>18</v>
      </c>
      <c r="N141" s="8">
        <f t="shared" si="2"/>
        <v>2561</v>
      </c>
      <c r="O141" s="1"/>
      <c r="P141" s="30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4">
      <c r="A142" s="1" t="s">
        <v>181</v>
      </c>
      <c r="B142" s="1" t="s">
        <v>31</v>
      </c>
      <c r="C142" s="3">
        <v>45566</v>
      </c>
      <c r="D142" s="1" t="s">
        <v>57</v>
      </c>
      <c r="E142" s="1" t="s">
        <v>20</v>
      </c>
      <c r="F142" s="7">
        <v>3543</v>
      </c>
      <c r="G142" s="7">
        <v>334</v>
      </c>
      <c r="H142" s="7">
        <v>218</v>
      </c>
      <c r="I142" s="7">
        <v>58007</v>
      </c>
      <c r="J142" s="7">
        <v>24792</v>
      </c>
      <c r="K142" s="7">
        <v>273</v>
      </c>
      <c r="L142" s="1" t="s">
        <v>58</v>
      </c>
      <c r="M142" s="1" t="s">
        <v>59</v>
      </c>
      <c r="N142" s="8">
        <f t="shared" si="2"/>
        <v>4095</v>
      </c>
      <c r="O142" s="1"/>
      <c r="P142" s="30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4">
      <c r="A143" s="1" t="s">
        <v>182</v>
      </c>
      <c r="B143" s="1" t="s">
        <v>14</v>
      </c>
      <c r="C143" s="3">
        <v>45647</v>
      </c>
      <c r="D143" s="1" t="s">
        <v>25</v>
      </c>
      <c r="E143" s="1" t="s">
        <v>26</v>
      </c>
      <c r="F143" s="7">
        <v>4563</v>
      </c>
      <c r="G143" s="7">
        <v>398</v>
      </c>
      <c r="H143" s="7">
        <v>163</v>
      </c>
      <c r="I143" s="7">
        <v>43679</v>
      </c>
      <c r="J143" s="7">
        <v>48760</v>
      </c>
      <c r="K143" s="7">
        <v>92</v>
      </c>
      <c r="L143" s="1" t="s">
        <v>42</v>
      </c>
      <c r="M143" s="1" t="s">
        <v>55</v>
      </c>
      <c r="N143" s="8">
        <f t="shared" si="2"/>
        <v>5124</v>
      </c>
      <c r="O143" s="1"/>
      <c r="P143" s="30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4">
      <c r="A144" s="1" t="s">
        <v>183</v>
      </c>
      <c r="B144" s="1" t="s">
        <v>14</v>
      </c>
      <c r="C144" s="3">
        <v>45460</v>
      </c>
      <c r="D144" s="1" t="s">
        <v>15</v>
      </c>
      <c r="E144" s="1" t="s">
        <v>16</v>
      </c>
      <c r="F144" s="7">
        <v>4283</v>
      </c>
      <c r="G144" s="7">
        <v>471</v>
      </c>
      <c r="H144" s="7">
        <v>156</v>
      </c>
      <c r="I144" s="7">
        <v>53004</v>
      </c>
      <c r="J144" s="7">
        <v>25678</v>
      </c>
      <c r="K144" s="7">
        <v>105</v>
      </c>
      <c r="L144" s="1" t="s">
        <v>21</v>
      </c>
      <c r="M144" s="1" t="s">
        <v>22</v>
      </c>
      <c r="N144" s="8">
        <f t="shared" si="2"/>
        <v>4910</v>
      </c>
      <c r="O144" s="1"/>
      <c r="P144" s="30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4">
      <c r="A145" s="1" t="s">
        <v>184</v>
      </c>
      <c r="B145" s="1" t="s">
        <v>14</v>
      </c>
      <c r="C145" s="3">
        <v>45702</v>
      </c>
      <c r="D145" s="1" t="s">
        <v>15</v>
      </c>
      <c r="E145" s="1" t="s">
        <v>16</v>
      </c>
      <c r="F145" s="7">
        <v>2329</v>
      </c>
      <c r="G145" s="7">
        <v>373</v>
      </c>
      <c r="H145" s="7">
        <v>291</v>
      </c>
      <c r="I145" s="7">
        <v>49577</v>
      </c>
      <c r="J145" s="7">
        <v>28002</v>
      </c>
      <c r="K145" s="7">
        <v>82</v>
      </c>
      <c r="L145" s="1" t="s">
        <v>17</v>
      </c>
      <c r="M145" s="1" t="s">
        <v>18</v>
      </c>
      <c r="N145" s="8">
        <f t="shared" si="2"/>
        <v>2993</v>
      </c>
      <c r="O145" s="1"/>
      <c r="P145" s="30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4">
      <c r="A146" s="1" t="s">
        <v>185</v>
      </c>
      <c r="B146" s="1" t="s">
        <v>24</v>
      </c>
      <c r="C146" s="3">
        <v>45805</v>
      </c>
      <c r="D146" s="1" t="s">
        <v>25</v>
      </c>
      <c r="E146" s="1" t="s">
        <v>41</v>
      </c>
      <c r="F146" s="7">
        <v>4287</v>
      </c>
      <c r="G146" s="7">
        <v>273</v>
      </c>
      <c r="H146" s="7">
        <v>122</v>
      </c>
      <c r="I146" s="7">
        <v>40792</v>
      </c>
      <c r="J146" s="7">
        <v>23878</v>
      </c>
      <c r="K146" s="7">
        <v>277</v>
      </c>
      <c r="L146" s="1" t="s">
        <v>27</v>
      </c>
      <c r="M146" s="1" t="s">
        <v>18</v>
      </c>
      <c r="N146" s="8">
        <f t="shared" si="2"/>
        <v>4682</v>
      </c>
      <c r="O146" s="1"/>
      <c r="P146" s="30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4">
      <c r="A147" s="1" t="s">
        <v>186</v>
      </c>
      <c r="B147" s="1" t="s">
        <v>14</v>
      </c>
      <c r="C147" s="3">
        <v>45799</v>
      </c>
      <c r="D147" s="1" t="s">
        <v>15</v>
      </c>
      <c r="E147" s="1" t="s">
        <v>16</v>
      </c>
      <c r="F147" s="7">
        <v>2633</v>
      </c>
      <c r="G147" s="7">
        <v>318</v>
      </c>
      <c r="H147" s="7">
        <v>380</v>
      </c>
      <c r="I147" s="7">
        <v>40869</v>
      </c>
      <c r="J147" s="7">
        <v>64474</v>
      </c>
      <c r="K147" s="7">
        <v>245</v>
      </c>
      <c r="L147" s="1" t="s">
        <v>21</v>
      </c>
      <c r="M147" s="1" t="s">
        <v>22</v>
      </c>
      <c r="N147" s="8">
        <f t="shared" si="2"/>
        <v>3331</v>
      </c>
      <c r="O147" s="1"/>
      <c r="P147" s="30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4">
      <c r="A148" s="1" t="s">
        <v>187</v>
      </c>
      <c r="B148" s="1" t="s">
        <v>24</v>
      </c>
      <c r="C148" s="3">
        <v>45312</v>
      </c>
      <c r="D148" s="1" t="s">
        <v>25</v>
      </c>
      <c r="E148" s="1" t="s">
        <v>16</v>
      </c>
      <c r="F148" s="7">
        <v>2383</v>
      </c>
      <c r="G148" s="7">
        <v>136</v>
      </c>
      <c r="H148" s="7">
        <v>302</v>
      </c>
      <c r="I148" s="7">
        <v>39187</v>
      </c>
      <c r="J148" s="7">
        <v>22133</v>
      </c>
      <c r="K148" s="7">
        <v>208</v>
      </c>
      <c r="L148" s="1" t="s">
        <v>27</v>
      </c>
      <c r="M148" s="1" t="s">
        <v>18</v>
      </c>
      <c r="N148" s="8">
        <f t="shared" si="2"/>
        <v>2821</v>
      </c>
      <c r="O148" s="1"/>
      <c r="P148" s="30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4">
      <c r="A149" s="1" t="s">
        <v>188</v>
      </c>
      <c r="B149" s="1" t="s">
        <v>24</v>
      </c>
      <c r="C149" s="3">
        <v>45696</v>
      </c>
      <c r="D149" s="1" t="s">
        <v>25</v>
      </c>
      <c r="E149" s="1" t="s">
        <v>51</v>
      </c>
      <c r="F149" s="7">
        <v>4752</v>
      </c>
      <c r="G149" s="7">
        <v>334</v>
      </c>
      <c r="H149" s="7">
        <v>56</v>
      </c>
      <c r="I149" s="7">
        <v>48017</v>
      </c>
      <c r="J149" s="7">
        <v>55534</v>
      </c>
      <c r="K149" s="7">
        <v>270</v>
      </c>
      <c r="L149" s="1" t="s">
        <v>39</v>
      </c>
      <c r="M149" s="1" t="s">
        <v>18</v>
      </c>
      <c r="N149" s="8">
        <f t="shared" si="2"/>
        <v>5142</v>
      </c>
      <c r="O149" s="1"/>
      <c r="P149" s="30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4">
      <c r="A150" s="1" t="s">
        <v>189</v>
      </c>
      <c r="B150" s="1" t="s">
        <v>24</v>
      </c>
      <c r="C150" s="3">
        <v>45760</v>
      </c>
      <c r="D150" s="1" t="s">
        <v>15</v>
      </c>
      <c r="E150" s="1" t="s">
        <v>49</v>
      </c>
      <c r="F150" s="7">
        <v>3890</v>
      </c>
      <c r="G150" s="7">
        <v>408</v>
      </c>
      <c r="H150" s="7">
        <v>338</v>
      </c>
      <c r="I150" s="7">
        <v>56994</v>
      </c>
      <c r="J150" s="7">
        <v>32621</v>
      </c>
      <c r="K150" s="7">
        <v>286</v>
      </c>
      <c r="L150" s="1" t="s">
        <v>45</v>
      </c>
      <c r="M150" s="1" t="s">
        <v>22</v>
      </c>
      <c r="N150" s="8">
        <f t="shared" si="2"/>
        <v>4636</v>
      </c>
      <c r="O150" s="1"/>
      <c r="P150" s="30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4">
      <c r="A151" s="1" t="s">
        <v>190</v>
      </c>
      <c r="B151" s="1" t="s">
        <v>24</v>
      </c>
      <c r="C151" s="3">
        <v>45442</v>
      </c>
      <c r="D151" s="1" t="s">
        <v>25</v>
      </c>
      <c r="E151" s="1" t="s">
        <v>51</v>
      </c>
      <c r="F151" s="7">
        <v>2311</v>
      </c>
      <c r="G151" s="7">
        <v>207</v>
      </c>
      <c r="H151" s="7">
        <v>363</v>
      </c>
      <c r="I151" s="7">
        <v>30349</v>
      </c>
      <c r="J151" s="7">
        <v>32925</v>
      </c>
      <c r="K151" s="7">
        <v>88</v>
      </c>
      <c r="L151" s="1" t="s">
        <v>27</v>
      </c>
      <c r="M151" s="1" t="s">
        <v>18</v>
      </c>
      <c r="N151" s="8">
        <f t="shared" si="2"/>
        <v>2881</v>
      </c>
      <c r="O151" s="1"/>
      <c r="P151" s="30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4">
      <c r="A152" s="1" t="s">
        <v>191</v>
      </c>
      <c r="B152" s="1" t="s">
        <v>14</v>
      </c>
      <c r="C152" s="3">
        <v>45516</v>
      </c>
      <c r="D152" s="1" t="s">
        <v>25</v>
      </c>
      <c r="E152" s="1" t="s">
        <v>16</v>
      </c>
      <c r="F152" s="7">
        <v>2962</v>
      </c>
      <c r="G152" s="7">
        <v>400</v>
      </c>
      <c r="H152" s="7">
        <v>280</v>
      </c>
      <c r="I152" s="7">
        <v>52508</v>
      </c>
      <c r="J152" s="7">
        <v>58329</v>
      </c>
      <c r="K152" s="7">
        <v>219</v>
      </c>
      <c r="L152" s="1" t="s">
        <v>42</v>
      </c>
      <c r="M152" s="1" t="s">
        <v>55</v>
      </c>
      <c r="N152" s="8">
        <f t="shared" si="2"/>
        <v>3642</v>
      </c>
      <c r="O152" s="1"/>
      <c r="P152" s="30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4">
      <c r="A153" s="1" t="s">
        <v>192</v>
      </c>
      <c r="B153" s="1" t="s">
        <v>14</v>
      </c>
      <c r="C153" s="3">
        <v>45562</v>
      </c>
      <c r="D153" s="1" t="s">
        <v>15</v>
      </c>
      <c r="E153" s="1" t="s">
        <v>16</v>
      </c>
      <c r="F153" s="7">
        <v>3118</v>
      </c>
      <c r="G153" s="7">
        <v>116</v>
      </c>
      <c r="H153" s="7">
        <v>195</v>
      </c>
      <c r="I153" s="7">
        <v>37100</v>
      </c>
      <c r="J153" s="7">
        <v>62629</v>
      </c>
      <c r="K153" s="7">
        <v>272</v>
      </c>
      <c r="L153" s="1" t="s">
        <v>21</v>
      </c>
      <c r="M153" s="1" t="s">
        <v>22</v>
      </c>
      <c r="N153" s="8">
        <f t="shared" si="2"/>
        <v>3429</v>
      </c>
      <c r="O153" s="1"/>
      <c r="P153" s="30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4">
      <c r="A154" s="1" t="s">
        <v>193</v>
      </c>
      <c r="B154" s="1" t="s">
        <v>24</v>
      </c>
      <c r="C154" s="3">
        <v>45819</v>
      </c>
      <c r="D154" s="1" t="s">
        <v>25</v>
      </c>
      <c r="E154" s="1" t="s">
        <v>20</v>
      </c>
      <c r="F154" s="7">
        <v>3805</v>
      </c>
      <c r="G154" s="7">
        <v>453</v>
      </c>
      <c r="H154" s="7">
        <v>63</v>
      </c>
      <c r="I154" s="7">
        <v>52395</v>
      </c>
      <c r="J154" s="7">
        <v>72934</v>
      </c>
      <c r="K154" s="7">
        <v>87</v>
      </c>
      <c r="L154" s="1" t="s">
        <v>39</v>
      </c>
      <c r="M154" s="1" t="s">
        <v>18</v>
      </c>
      <c r="N154" s="8">
        <f t="shared" si="2"/>
        <v>4321</v>
      </c>
      <c r="O154" s="1"/>
      <c r="P154" s="30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4">
      <c r="A155" s="1" t="s">
        <v>194</v>
      </c>
      <c r="B155" s="1" t="s">
        <v>14</v>
      </c>
      <c r="C155" s="3">
        <v>45615</v>
      </c>
      <c r="D155" s="1" t="s">
        <v>15</v>
      </c>
      <c r="E155" s="1" t="s">
        <v>35</v>
      </c>
      <c r="F155" s="7">
        <v>2525</v>
      </c>
      <c r="G155" s="7">
        <v>272</v>
      </c>
      <c r="H155" s="7">
        <v>294</v>
      </c>
      <c r="I155" s="7">
        <v>51875</v>
      </c>
      <c r="J155" s="7">
        <v>24732</v>
      </c>
      <c r="K155" s="7">
        <v>92</v>
      </c>
      <c r="L155" s="1" t="s">
        <v>21</v>
      </c>
      <c r="M155" s="1" t="s">
        <v>22</v>
      </c>
      <c r="N155" s="8">
        <f t="shared" si="2"/>
        <v>3091</v>
      </c>
      <c r="O155" s="1"/>
      <c r="P155" s="30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4">
      <c r="A156" s="1" t="s">
        <v>195</v>
      </c>
      <c r="B156" s="1" t="s">
        <v>14</v>
      </c>
      <c r="C156" s="3">
        <v>45407</v>
      </c>
      <c r="D156" s="1" t="s">
        <v>15</v>
      </c>
      <c r="E156" s="1" t="s">
        <v>32</v>
      </c>
      <c r="F156" s="7">
        <v>3563</v>
      </c>
      <c r="G156" s="7">
        <v>483</v>
      </c>
      <c r="H156" s="7">
        <v>227</v>
      </c>
      <c r="I156" s="7">
        <v>41085</v>
      </c>
      <c r="J156" s="7">
        <v>26393</v>
      </c>
      <c r="K156" s="7">
        <v>236</v>
      </c>
      <c r="L156" s="1" t="s">
        <v>17</v>
      </c>
      <c r="M156" s="1" t="s">
        <v>18</v>
      </c>
      <c r="N156" s="8">
        <f t="shared" si="2"/>
        <v>4273</v>
      </c>
      <c r="O156" s="1"/>
      <c r="P156" s="30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4">
      <c r="A157" s="1" t="s">
        <v>196</v>
      </c>
      <c r="B157" s="1" t="s">
        <v>31</v>
      </c>
      <c r="C157" s="3">
        <v>45538</v>
      </c>
      <c r="D157" s="1" t="s">
        <v>57</v>
      </c>
      <c r="E157" s="1" t="s">
        <v>35</v>
      </c>
      <c r="F157" s="7">
        <v>1437</v>
      </c>
      <c r="G157" s="7">
        <v>494</v>
      </c>
      <c r="H157" s="7">
        <v>129</v>
      </c>
      <c r="I157" s="7">
        <v>53048</v>
      </c>
      <c r="J157" s="7">
        <v>44090</v>
      </c>
      <c r="K157" s="7">
        <v>230</v>
      </c>
      <c r="L157" s="1" t="s">
        <v>58</v>
      </c>
      <c r="M157" s="1" t="s">
        <v>59</v>
      </c>
      <c r="N157" s="8">
        <f t="shared" si="2"/>
        <v>2060</v>
      </c>
      <c r="O157" s="1"/>
      <c r="P157" s="30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4">
      <c r="A158" s="1" t="s">
        <v>197</v>
      </c>
      <c r="B158" s="1" t="s">
        <v>31</v>
      </c>
      <c r="C158" s="3">
        <v>45718</v>
      </c>
      <c r="D158" s="1" t="s">
        <v>15</v>
      </c>
      <c r="E158" s="1" t="s">
        <v>49</v>
      </c>
      <c r="F158" s="7">
        <v>4425</v>
      </c>
      <c r="G158" s="7">
        <v>185</v>
      </c>
      <c r="H158" s="7">
        <v>162</v>
      </c>
      <c r="I158" s="7">
        <v>24610</v>
      </c>
      <c r="J158" s="7">
        <v>21342</v>
      </c>
      <c r="K158" s="7">
        <v>158</v>
      </c>
      <c r="L158" s="1" t="s">
        <v>33</v>
      </c>
      <c r="M158" s="1" t="s">
        <v>22</v>
      </c>
      <c r="N158" s="8">
        <f t="shared" si="2"/>
        <v>4772</v>
      </c>
      <c r="O158" s="1"/>
      <c r="P158" s="30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4">
      <c r="A159" s="1" t="s">
        <v>198</v>
      </c>
      <c r="B159" s="1" t="s">
        <v>24</v>
      </c>
      <c r="C159" s="3">
        <v>45737</v>
      </c>
      <c r="D159" s="1" t="s">
        <v>25</v>
      </c>
      <c r="E159" s="1" t="s">
        <v>26</v>
      </c>
      <c r="F159" s="7">
        <v>4609</v>
      </c>
      <c r="G159" s="7">
        <v>427</v>
      </c>
      <c r="H159" s="7">
        <v>395</v>
      </c>
      <c r="I159" s="7">
        <v>33698</v>
      </c>
      <c r="J159" s="7">
        <v>29259</v>
      </c>
      <c r="K159" s="7">
        <v>216</v>
      </c>
      <c r="L159" s="1" t="s">
        <v>39</v>
      </c>
      <c r="M159" s="1" t="s">
        <v>18</v>
      </c>
      <c r="N159" s="8">
        <f t="shared" si="2"/>
        <v>5431</v>
      </c>
      <c r="O159" s="1"/>
      <c r="P159" s="30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4">
      <c r="A160" s="1" t="s">
        <v>199</v>
      </c>
      <c r="B160" s="1" t="s">
        <v>14</v>
      </c>
      <c r="C160" s="3">
        <v>45394</v>
      </c>
      <c r="D160" s="1" t="s">
        <v>25</v>
      </c>
      <c r="E160" s="1" t="s">
        <v>37</v>
      </c>
      <c r="F160" s="7">
        <v>1558</v>
      </c>
      <c r="G160" s="7">
        <v>352</v>
      </c>
      <c r="H160" s="7">
        <v>202</v>
      </c>
      <c r="I160" s="7">
        <v>25405</v>
      </c>
      <c r="J160" s="7">
        <v>69941</v>
      </c>
      <c r="K160" s="7">
        <v>219</v>
      </c>
      <c r="L160" s="1" t="s">
        <v>42</v>
      </c>
      <c r="M160" s="1" t="s">
        <v>55</v>
      </c>
      <c r="N160" s="8">
        <f t="shared" si="2"/>
        <v>2112</v>
      </c>
      <c r="O160" s="1"/>
      <c r="P160" s="30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4">
      <c r="A161" s="1" t="s">
        <v>200</v>
      </c>
      <c r="B161" s="1" t="s">
        <v>31</v>
      </c>
      <c r="C161" s="3">
        <v>45330</v>
      </c>
      <c r="D161" s="1" t="s">
        <v>57</v>
      </c>
      <c r="E161" s="1" t="s">
        <v>41</v>
      </c>
      <c r="F161" s="7">
        <v>1889</v>
      </c>
      <c r="G161" s="7">
        <v>298</v>
      </c>
      <c r="H161" s="7">
        <v>122</v>
      </c>
      <c r="I161" s="7">
        <v>46225</v>
      </c>
      <c r="J161" s="7">
        <v>74305</v>
      </c>
      <c r="K161" s="7">
        <v>293</v>
      </c>
      <c r="L161" s="1" t="s">
        <v>58</v>
      </c>
      <c r="M161" s="1" t="s">
        <v>59</v>
      </c>
      <c r="N161" s="8">
        <f t="shared" si="2"/>
        <v>2309</v>
      </c>
      <c r="O161" s="1"/>
      <c r="P161" s="30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4">
      <c r="A162" s="1" t="s">
        <v>201</v>
      </c>
      <c r="B162" s="1" t="s">
        <v>14</v>
      </c>
      <c r="C162" s="3">
        <v>45803</v>
      </c>
      <c r="D162" s="1" t="s">
        <v>15</v>
      </c>
      <c r="E162" s="1" t="s">
        <v>16</v>
      </c>
      <c r="F162" s="7">
        <v>3086</v>
      </c>
      <c r="G162" s="7">
        <v>148</v>
      </c>
      <c r="H162" s="7">
        <v>310</v>
      </c>
      <c r="I162" s="7">
        <v>22824</v>
      </c>
      <c r="J162" s="7">
        <v>58103</v>
      </c>
      <c r="K162" s="7">
        <v>275</v>
      </c>
      <c r="L162" s="1" t="s">
        <v>21</v>
      </c>
      <c r="M162" s="1" t="s">
        <v>22</v>
      </c>
      <c r="N162" s="8">
        <f t="shared" si="2"/>
        <v>3544</v>
      </c>
      <c r="O162" s="1"/>
      <c r="P162" s="30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4">
      <c r="A163" s="1" t="s">
        <v>202</v>
      </c>
      <c r="B163" s="1" t="s">
        <v>14</v>
      </c>
      <c r="C163" s="3">
        <v>45610</v>
      </c>
      <c r="D163" s="1" t="s">
        <v>15</v>
      </c>
      <c r="E163" s="1" t="s">
        <v>32</v>
      </c>
      <c r="F163" s="7">
        <v>2422</v>
      </c>
      <c r="G163" s="7">
        <v>318</v>
      </c>
      <c r="H163" s="7">
        <v>118</v>
      </c>
      <c r="I163" s="7">
        <v>25386</v>
      </c>
      <c r="J163" s="7">
        <v>20873</v>
      </c>
      <c r="K163" s="7">
        <v>100</v>
      </c>
      <c r="L163" s="1" t="s">
        <v>17</v>
      </c>
      <c r="M163" s="1" t="s">
        <v>18</v>
      </c>
      <c r="N163" s="8">
        <f t="shared" si="2"/>
        <v>2858</v>
      </c>
      <c r="O163" s="1"/>
      <c r="P163" s="30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4">
      <c r="A164" s="1" t="s">
        <v>203</v>
      </c>
      <c r="B164" s="1" t="s">
        <v>31</v>
      </c>
      <c r="C164" s="3">
        <v>45513</v>
      </c>
      <c r="D164" s="1" t="s">
        <v>57</v>
      </c>
      <c r="E164" s="1" t="s">
        <v>49</v>
      </c>
      <c r="F164" s="7">
        <v>3414</v>
      </c>
      <c r="G164" s="7">
        <v>154</v>
      </c>
      <c r="H164" s="7">
        <v>204</v>
      </c>
      <c r="I164" s="7">
        <v>34146</v>
      </c>
      <c r="J164" s="7">
        <v>44633</v>
      </c>
      <c r="K164" s="7">
        <v>256</v>
      </c>
      <c r="L164" s="1" t="s">
        <v>58</v>
      </c>
      <c r="M164" s="1" t="s">
        <v>59</v>
      </c>
      <c r="N164" s="8">
        <f t="shared" si="2"/>
        <v>3772</v>
      </c>
      <c r="O164" s="1"/>
      <c r="P164" s="30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4">
      <c r="A165" s="1" t="s">
        <v>204</v>
      </c>
      <c r="B165" s="1" t="s">
        <v>14</v>
      </c>
      <c r="C165" s="3">
        <v>45835</v>
      </c>
      <c r="D165" s="1" t="s">
        <v>25</v>
      </c>
      <c r="E165" s="1" t="s">
        <v>35</v>
      </c>
      <c r="F165" s="7">
        <v>1342</v>
      </c>
      <c r="G165" s="7">
        <v>332</v>
      </c>
      <c r="H165" s="7">
        <v>163</v>
      </c>
      <c r="I165" s="7">
        <v>51712</v>
      </c>
      <c r="J165" s="7">
        <v>57922</v>
      </c>
      <c r="K165" s="7">
        <v>168</v>
      </c>
      <c r="L165" s="1" t="s">
        <v>42</v>
      </c>
      <c r="M165" s="1" t="s">
        <v>55</v>
      </c>
      <c r="N165" s="8">
        <f t="shared" si="2"/>
        <v>1837</v>
      </c>
      <c r="O165" s="1"/>
      <c r="P165" s="30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4">
      <c r="A166" s="1" t="s">
        <v>205</v>
      </c>
      <c r="B166" s="1" t="s">
        <v>14</v>
      </c>
      <c r="C166" s="3">
        <v>45420</v>
      </c>
      <c r="D166" s="1" t="s">
        <v>25</v>
      </c>
      <c r="E166" s="1" t="s">
        <v>32</v>
      </c>
      <c r="F166" s="7">
        <v>2414</v>
      </c>
      <c r="G166" s="7">
        <v>220</v>
      </c>
      <c r="H166" s="7">
        <v>280</v>
      </c>
      <c r="I166" s="7">
        <v>27355</v>
      </c>
      <c r="J166" s="7">
        <v>50562</v>
      </c>
      <c r="K166" s="7">
        <v>258</v>
      </c>
      <c r="L166" s="1" t="s">
        <v>42</v>
      </c>
      <c r="M166" s="1" t="s">
        <v>55</v>
      </c>
      <c r="N166" s="8">
        <f t="shared" si="2"/>
        <v>2914</v>
      </c>
      <c r="O166" s="1"/>
      <c r="P166" s="30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4">
      <c r="A167" s="1" t="s">
        <v>206</v>
      </c>
      <c r="B167" s="1" t="s">
        <v>14</v>
      </c>
      <c r="C167" s="3">
        <v>45387</v>
      </c>
      <c r="D167" s="1" t="s">
        <v>15</v>
      </c>
      <c r="E167" s="1" t="s">
        <v>26</v>
      </c>
      <c r="F167" s="7">
        <v>4383</v>
      </c>
      <c r="G167" s="7">
        <v>352</v>
      </c>
      <c r="H167" s="7">
        <v>176</v>
      </c>
      <c r="I167" s="7">
        <v>53239</v>
      </c>
      <c r="J167" s="7">
        <v>34168</v>
      </c>
      <c r="K167" s="7">
        <v>288</v>
      </c>
      <c r="L167" s="1" t="s">
        <v>21</v>
      </c>
      <c r="M167" s="1" t="s">
        <v>22</v>
      </c>
      <c r="N167" s="8">
        <f t="shared" si="2"/>
        <v>4911</v>
      </c>
      <c r="O167" s="1"/>
      <c r="P167" s="30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4">
      <c r="A168" s="1" t="s">
        <v>207</v>
      </c>
      <c r="B168" s="1" t="s">
        <v>31</v>
      </c>
      <c r="C168" s="3">
        <v>45684</v>
      </c>
      <c r="D168" s="1" t="s">
        <v>15</v>
      </c>
      <c r="E168" s="1" t="s">
        <v>29</v>
      </c>
      <c r="F168" s="7">
        <v>4294</v>
      </c>
      <c r="G168" s="7">
        <v>423</v>
      </c>
      <c r="H168" s="7">
        <v>93</v>
      </c>
      <c r="I168" s="7">
        <v>29828</v>
      </c>
      <c r="J168" s="7">
        <v>73144</v>
      </c>
      <c r="K168" s="7">
        <v>298</v>
      </c>
      <c r="L168" s="1" t="s">
        <v>33</v>
      </c>
      <c r="M168" s="1" t="s">
        <v>22</v>
      </c>
      <c r="N168" s="8">
        <f t="shared" si="2"/>
        <v>4810</v>
      </c>
      <c r="O168" s="1"/>
      <c r="P168" s="30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4">
      <c r="A169" s="1" t="s">
        <v>208</v>
      </c>
      <c r="B169" s="1" t="s">
        <v>14</v>
      </c>
      <c r="C169" s="3">
        <v>45385</v>
      </c>
      <c r="D169" s="1" t="s">
        <v>15</v>
      </c>
      <c r="E169" s="1" t="s">
        <v>41</v>
      </c>
      <c r="F169" s="7">
        <v>2762</v>
      </c>
      <c r="G169" s="7">
        <v>339</v>
      </c>
      <c r="H169" s="7">
        <v>323</v>
      </c>
      <c r="I169" s="7">
        <v>33757</v>
      </c>
      <c r="J169" s="7">
        <v>68511</v>
      </c>
      <c r="K169" s="7">
        <v>121</v>
      </c>
      <c r="L169" s="1" t="s">
        <v>17</v>
      </c>
      <c r="M169" s="1" t="s">
        <v>18</v>
      </c>
      <c r="N169" s="8">
        <f t="shared" si="2"/>
        <v>3424</v>
      </c>
      <c r="O169" s="1"/>
      <c r="P169" s="30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4">
      <c r="A170" s="1" t="s">
        <v>209</v>
      </c>
      <c r="B170" s="1" t="s">
        <v>31</v>
      </c>
      <c r="C170" s="3">
        <v>45660</v>
      </c>
      <c r="D170" s="1" t="s">
        <v>15</v>
      </c>
      <c r="E170" s="1" t="s">
        <v>26</v>
      </c>
      <c r="F170" s="7">
        <v>3782</v>
      </c>
      <c r="G170" s="7">
        <v>484</v>
      </c>
      <c r="H170" s="7">
        <v>144</v>
      </c>
      <c r="I170" s="7">
        <v>52172</v>
      </c>
      <c r="J170" s="7">
        <v>59386</v>
      </c>
      <c r="K170" s="7">
        <v>175</v>
      </c>
      <c r="L170" s="1" t="s">
        <v>33</v>
      </c>
      <c r="M170" s="1" t="s">
        <v>22</v>
      </c>
      <c r="N170" s="8">
        <f t="shared" si="2"/>
        <v>4410</v>
      </c>
      <c r="O170" s="1"/>
      <c r="P170" s="30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4">
      <c r="A171" s="1" t="s">
        <v>210</v>
      </c>
      <c r="B171" s="1" t="s">
        <v>24</v>
      </c>
      <c r="C171" s="3">
        <v>45619</v>
      </c>
      <c r="D171" s="1" t="s">
        <v>15</v>
      </c>
      <c r="E171" s="1" t="s">
        <v>26</v>
      </c>
      <c r="F171" s="7">
        <v>4318</v>
      </c>
      <c r="G171" s="7">
        <v>371</v>
      </c>
      <c r="H171" s="7">
        <v>329</v>
      </c>
      <c r="I171" s="7">
        <v>32347</v>
      </c>
      <c r="J171" s="7">
        <v>68956</v>
      </c>
      <c r="K171" s="7">
        <v>259</v>
      </c>
      <c r="L171" s="1" t="s">
        <v>45</v>
      </c>
      <c r="M171" s="1" t="s">
        <v>22</v>
      </c>
      <c r="N171" s="8">
        <f t="shared" si="2"/>
        <v>5018</v>
      </c>
      <c r="O171" s="1"/>
      <c r="P171" s="30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4">
      <c r="A172" s="1" t="s">
        <v>211</v>
      </c>
      <c r="B172" s="1" t="s">
        <v>14</v>
      </c>
      <c r="C172" s="3">
        <v>45536</v>
      </c>
      <c r="D172" s="1" t="s">
        <v>25</v>
      </c>
      <c r="E172" s="1" t="s">
        <v>29</v>
      </c>
      <c r="F172" s="7">
        <v>2335</v>
      </c>
      <c r="G172" s="7">
        <v>150</v>
      </c>
      <c r="H172" s="7">
        <v>75</v>
      </c>
      <c r="I172" s="7">
        <v>26114</v>
      </c>
      <c r="J172" s="7">
        <v>57549</v>
      </c>
      <c r="K172" s="7">
        <v>135</v>
      </c>
      <c r="L172" s="1" t="s">
        <v>42</v>
      </c>
      <c r="M172" s="1" t="s">
        <v>55</v>
      </c>
      <c r="N172" s="8">
        <f t="shared" si="2"/>
        <v>2560</v>
      </c>
      <c r="O172" s="1"/>
      <c r="P172" s="30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4">
      <c r="A173" s="1" t="s">
        <v>212</v>
      </c>
      <c r="B173" s="1" t="s">
        <v>31</v>
      </c>
      <c r="C173" s="3">
        <v>45400</v>
      </c>
      <c r="D173" s="1" t="s">
        <v>15</v>
      </c>
      <c r="E173" s="1" t="s">
        <v>20</v>
      </c>
      <c r="F173" s="7">
        <v>4023</v>
      </c>
      <c r="G173" s="7">
        <v>293</v>
      </c>
      <c r="H173" s="7">
        <v>91</v>
      </c>
      <c r="I173" s="7">
        <v>26795</v>
      </c>
      <c r="J173" s="7">
        <v>28924</v>
      </c>
      <c r="K173" s="7">
        <v>278</v>
      </c>
      <c r="L173" s="1" t="s">
        <v>33</v>
      </c>
      <c r="M173" s="1" t="s">
        <v>22</v>
      </c>
      <c r="N173" s="8">
        <f t="shared" si="2"/>
        <v>4407</v>
      </c>
      <c r="O173" s="1"/>
      <c r="P173" s="30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4">
      <c r="A174" s="1" t="s">
        <v>213</v>
      </c>
      <c r="B174" s="1" t="s">
        <v>14</v>
      </c>
      <c r="C174" s="3">
        <v>45447</v>
      </c>
      <c r="D174" s="1" t="s">
        <v>15</v>
      </c>
      <c r="E174" s="1" t="s">
        <v>37</v>
      </c>
      <c r="F174" s="7">
        <v>3948</v>
      </c>
      <c r="G174" s="7">
        <v>151</v>
      </c>
      <c r="H174" s="7">
        <v>249</v>
      </c>
      <c r="I174" s="7">
        <v>43147</v>
      </c>
      <c r="J174" s="7">
        <v>63136</v>
      </c>
      <c r="K174" s="7">
        <v>230</v>
      </c>
      <c r="L174" s="1" t="s">
        <v>21</v>
      </c>
      <c r="M174" s="1" t="s">
        <v>22</v>
      </c>
      <c r="N174" s="8">
        <f t="shared" si="2"/>
        <v>4348</v>
      </c>
      <c r="O174" s="1"/>
      <c r="P174" s="30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4">
      <c r="A175" s="1" t="s">
        <v>214</v>
      </c>
      <c r="B175" s="1" t="s">
        <v>31</v>
      </c>
      <c r="C175" s="3">
        <v>45749</v>
      </c>
      <c r="D175" s="1" t="s">
        <v>15</v>
      </c>
      <c r="E175" s="1" t="s">
        <v>29</v>
      </c>
      <c r="F175" s="7">
        <v>4598</v>
      </c>
      <c r="G175" s="7">
        <v>455</v>
      </c>
      <c r="H175" s="7">
        <v>378</v>
      </c>
      <c r="I175" s="7">
        <v>52952</v>
      </c>
      <c r="J175" s="7">
        <v>58504</v>
      </c>
      <c r="K175" s="7">
        <v>269</v>
      </c>
      <c r="L175" s="1" t="s">
        <v>33</v>
      </c>
      <c r="M175" s="1" t="s">
        <v>22</v>
      </c>
      <c r="N175" s="8">
        <f t="shared" si="2"/>
        <v>5431</v>
      </c>
      <c r="O175" s="1"/>
      <c r="P175" s="30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4">
      <c r="A176" s="1" t="s">
        <v>215</v>
      </c>
      <c r="B176" s="1" t="s">
        <v>24</v>
      </c>
      <c r="C176" s="3">
        <v>45748</v>
      </c>
      <c r="D176" s="1" t="s">
        <v>25</v>
      </c>
      <c r="E176" s="1" t="s">
        <v>32</v>
      </c>
      <c r="F176" s="7">
        <v>2665</v>
      </c>
      <c r="G176" s="7">
        <v>143</v>
      </c>
      <c r="H176" s="7">
        <v>315</v>
      </c>
      <c r="I176" s="7">
        <v>54808</v>
      </c>
      <c r="J176" s="7">
        <v>29818</v>
      </c>
      <c r="K176" s="7">
        <v>98</v>
      </c>
      <c r="L176" s="1" t="s">
        <v>39</v>
      </c>
      <c r="M176" s="1" t="s">
        <v>18</v>
      </c>
      <c r="N176" s="8">
        <f t="shared" si="2"/>
        <v>3123</v>
      </c>
      <c r="O176" s="1"/>
      <c r="P176" s="30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4">
      <c r="A177" s="1" t="s">
        <v>216</v>
      </c>
      <c r="B177" s="1" t="s">
        <v>14</v>
      </c>
      <c r="C177" s="3">
        <v>45475</v>
      </c>
      <c r="D177" s="1" t="s">
        <v>15</v>
      </c>
      <c r="E177" s="1" t="s">
        <v>41</v>
      </c>
      <c r="F177" s="7">
        <v>3469</v>
      </c>
      <c r="G177" s="7">
        <v>371</v>
      </c>
      <c r="H177" s="7">
        <v>76</v>
      </c>
      <c r="I177" s="7">
        <v>46493</v>
      </c>
      <c r="J177" s="7">
        <v>26906</v>
      </c>
      <c r="K177" s="7">
        <v>150</v>
      </c>
      <c r="L177" s="1" t="s">
        <v>17</v>
      </c>
      <c r="M177" s="1" t="s">
        <v>18</v>
      </c>
      <c r="N177" s="8">
        <f t="shared" si="2"/>
        <v>3916</v>
      </c>
      <c r="O177" s="1"/>
      <c r="P177" s="30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4">
      <c r="A178" s="1" t="s">
        <v>217</v>
      </c>
      <c r="B178" s="1" t="s">
        <v>24</v>
      </c>
      <c r="C178" s="3">
        <v>45606</v>
      </c>
      <c r="D178" s="1" t="s">
        <v>15</v>
      </c>
      <c r="E178" s="1" t="s">
        <v>20</v>
      </c>
      <c r="F178" s="7">
        <v>4823</v>
      </c>
      <c r="G178" s="7">
        <v>489</v>
      </c>
      <c r="H178" s="7">
        <v>302</v>
      </c>
      <c r="I178" s="7">
        <v>32470</v>
      </c>
      <c r="J178" s="7">
        <v>31861</v>
      </c>
      <c r="K178" s="7">
        <v>178</v>
      </c>
      <c r="L178" s="1" t="s">
        <v>45</v>
      </c>
      <c r="M178" s="1" t="s">
        <v>22</v>
      </c>
      <c r="N178" s="8">
        <f t="shared" si="2"/>
        <v>5614</v>
      </c>
      <c r="O178" s="1"/>
      <c r="P178" s="30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4">
      <c r="A179" s="1" t="s">
        <v>218</v>
      </c>
      <c r="B179" s="1" t="s">
        <v>14</v>
      </c>
      <c r="C179" s="3">
        <v>45640</v>
      </c>
      <c r="D179" s="1" t="s">
        <v>25</v>
      </c>
      <c r="E179" s="1" t="s">
        <v>49</v>
      </c>
      <c r="F179" s="7">
        <v>3812</v>
      </c>
      <c r="G179" s="7">
        <v>321</v>
      </c>
      <c r="H179" s="7">
        <v>289</v>
      </c>
      <c r="I179" s="7">
        <v>59838</v>
      </c>
      <c r="J179" s="7">
        <v>36337</v>
      </c>
      <c r="K179" s="7">
        <v>161</v>
      </c>
      <c r="L179" s="1" t="s">
        <v>42</v>
      </c>
      <c r="M179" s="1" t="s">
        <v>55</v>
      </c>
      <c r="N179" s="8">
        <f t="shared" si="2"/>
        <v>4422</v>
      </c>
      <c r="O179" s="1"/>
      <c r="P179" s="30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4">
      <c r="A180" s="1" t="s">
        <v>219</v>
      </c>
      <c r="B180" s="1" t="s">
        <v>24</v>
      </c>
      <c r="C180" s="3">
        <v>45615</v>
      </c>
      <c r="D180" s="1" t="s">
        <v>15</v>
      </c>
      <c r="E180" s="1" t="s">
        <v>20</v>
      </c>
      <c r="F180" s="7">
        <v>2387</v>
      </c>
      <c r="G180" s="7">
        <v>353</v>
      </c>
      <c r="H180" s="7">
        <v>78</v>
      </c>
      <c r="I180" s="7">
        <v>39745</v>
      </c>
      <c r="J180" s="7">
        <v>69226</v>
      </c>
      <c r="K180" s="7">
        <v>208</v>
      </c>
      <c r="L180" s="1" t="s">
        <v>45</v>
      </c>
      <c r="M180" s="1" t="s">
        <v>22</v>
      </c>
      <c r="N180" s="8">
        <f t="shared" si="2"/>
        <v>2818</v>
      </c>
      <c r="O180" s="1"/>
      <c r="P180" s="30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4">
      <c r="A181" s="1" t="s">
        <v>220</v>
      </c>
      <c r="B181" s="1" t="s">
        <v>24</v>
      </c>
      <c r="C181" s="3">
        <v>45777</v>
      </c>
      <c r="D181" s="1" t="s">
        <v>25</v>
      </c>
      <c r="E181" s="1" t="s">
        <v>29</v>
      </c>
      <c r="F181" s="7">
        <v>3929</v>
      </c>
      <c r="G181" s="7">
        <v>275</v>
      </c>
      <c r="H181" s="7">
        <v>330</v>
      </c>
      <c r="I181" s="7">
        <v>58329</v>
      </c>
      <c r="J181" s="7">
        <v>33196</v>
      </c>
      <c r="K181" s="7">
        <v>85</v>
      </c>
      <c r="L181" s="1" t="s">
        <v>27</v>
      </c>
      <c r="M181" s="1" t="s">
        <v>18</v>
      </c>
      <c r="N181" s="8">
        <f t="shared" si="2"/>
        <v>4534</v>
      </c>
      <c r="O181" s="1"/>
      <c r="P181" s="30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4">
      <c r="A182" s="1" t="s">
        <v>221</v>
      </c>
      <c r="B182" s="1" t="s">
        <v>24</v>
      </c>
      <c r="C182" s="3">
        <v>45370</v>
      </c>
      <c r="D182" s="1" t="s">
        <v>15</v>
      </c>
      <c r="E182" s="1" t="s">
        <v>49</v>
      </c>
      <c r="F182" s="7">
        <v>2191</v>
      </c>
      <c r="G182" s="7">
        <v>288</v>
      </c>
      <c r="H182" s="7">
        <v>83</v>
      </c>
      <c r="I182" s="7">
        <v>59606</v>
      </c>
      <c r="J182" s="7">
        <v>24765</v>
      </c>
      <c r="K182" s="7">
        <v>281</v>
      </c>
      <c r="L182" s="1" t="s">
        <v>45</v>
      </c>
      <c r="M182" s="1" t="s">
        <v>22</v>
      </c>
      <c r="N182" s="8">
        <f t="shared" si="2"/>
        <v>2562</v>
      </c>
      <c r="O182" s="1"/>
      <c r="P182" s="30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4">
      <c r="A183" s="1" t="s">
        <v>222</v>
      </c>
      <c r="B183" s="1" t="s">
        <v>14</v>
      </c>
      <c r="C183" s="3">
        <v>45370</v>
      </c>
      <c r="D183" s="1" t="s">
        <v>15</v>
      </c>
      <c r="E183" s="1" t="s">
        <v>49</v>
      </c>
      <c r="F183" s="7">
        <v>2878</v>
      </c>
      <c r="G183" s="7">
        <v>278</v>
      </c>
      <c r="H183" s="7">
        <v>255</v>
      </c>
      <c r="I183" s="7">
        <v>47235</v>
      </c>
      <c r="J183" s="7">
        <v>57922</v>
      </c>
      <c r="K183" s="7">
        <v>112</v>
      </c>
      <c r="L183" s="1" t="s">
        <v>17</v>
      </c>
      <c r="M183" s="1" t="s">
        <v>18</v>
      </c>
      <c r="N183" s="8">
        <f t="shared" si="2"/>
        <v>3411</v>
      </c>
      <c r="O183" s="1"/>
      <c r="P183" s="30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4">
      <c r="A184" s="1" t="s">
        <v>223</v>
      </c>
      <c r="B184" s="1" t="s">
        <v>24</v>
      </c>
      <c r="C184" s="3">
        <v>45496</v>
      </c>
      <c r="D184" s="1" t="s">
        <v>15</v>
      </c>
      <c r="E184" s="1" t="s">
        <v>41</v>
      </c>
      <c r="F184" s="7">
        <v>3204</v>
      </c>
      <c r="G184" s="7">
        <v>398</v>
      </c>
      <c r="H184" s="7">
        <v>85</v>
      </c>
      <c r="I184" s="7">
        <v>22020</v>
      </c>
      <c r="J184" s="7">
        <v>58353</v>
      </c>
      <c r="K184" s="7">
        <v>286</v>
      </c>
      <c r="L184" s="1" t="s">
        <v>45</v>
      </c>
      <c r="M184" s="1" t="s">
        <v>22</v>
      </c>
      <c r="N184" s="8">
        <f t="shared" si="2"/>
        <v>3687</v>
      </c>
      <c r="O184" s="1"/>
      <c r="P184" s="30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4">
      <c r="A185" s="1" t="s">
        <v>224</v>
      </c>
      <c r="B185" s="1" t="s">
        <v>24</v>
      </c>
      <c r="C185" s="3">
        <v>45486</v>
      </c>
      <c r="D185" s="1" t="s">
        <v>25</v>
      </c>
      <c r="E185" s="1" t="s">
        <v>37</v>
      </c>
      <c r="F185" s="7">
        <v>2408</v>
      </c>
      <c r="G185" s="7">
        <v>323</v>
      </c>
      <c r="H185" s="7">
        <v>251</v>
      </c>
      <c r="I185" s="7">
        <v>47599</v>
      </c>
      <c r="J185" s="7">
        <v>35543</v>
      </c>
      <c r="K185" s="7">
        <v>287</v>
      </c>
      <c r="L185" s="1" t="s">
        <v>27</v>
      </c>
      <c r="M185" s="1" t="s">
        <v>18</v>
      </c>
      <c r="N185" s="8">
        <f t="shared" si="2"/>
        <v>2982</v>
      </c>
      <c r="O185" s="1"/>
      <c r="P185" s="30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4">
      <c r="A186" s="1" t="s">
        <v>225</v>
      </c>
      <c r="B186" s="1" t="s">
        <v>31</v>
      </c>
      <c r="C186" s="3">
        <v>45769</v>
      </c>
      <c r="D186" s="1" t="s">
        <v>57</v>
      </c>
      <c r="E186" s="1" t="s">
        <v>26</v>
      </c>
      <c r="F186" s="7">
        <v>2733</v>
      </c>
      <c r="G186" s="7">
        <v>297</v>
      </c>
      <c r="H186" s="7">
        <v>235</v>
      </c>
      <c r="I186" s="7">
        <v>37980</v>
      </c>
      <c r="J186" s="7">
        <v>33058</v>
      </c>
      <c r="K186" s="7">
        <v>219</v>
      </c>
      <c r="L186" s="1" t="s">
        <v>58</v>
      </c>
      <c r="M186" s="1" t="s">
        <v>59</v>
      </c>
      <c r="N186" s="8">
        <f t="shared" si="2"/>
        <v>3265</v>
      </c>
      <c r="O186" s="1"/>
      <c r="P186" s="30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4">
      <c r="A187" s="1" t="s">
        <v>226</v>
      </c>
      <c r="B187" s="1" t="s">
        <v>24</v>
      </c>
      <c r="C187" s="3">
        <v>45459</v>
      </c>
      <c r="D187" s="1" t="s">
        <v>25</v>
      </c>
      <c r="E187" s="1" t="s">
        <v>20</v>
      </c>
      <c r="F187" s="7">
        <v>4618</v>
      </c>
      <c r="G187" s="7">
        <v>312</v>
      </c>
      <c r="H187" s="7">
        <v>254</v>
      </c>
      <c r="I187" s="7">
        <v>22571</v>
      </c>
      <c r="J187" s="7">
        <v>29453</v>
      </c>
      <c r="K187" s="7">
        <v>197</v>
      </c>
      <c r="L187" s="1" t="s">
        <v>27</v>
      </c>
      <c r="M187" s="1" t="s">
        <v>18</v>
      </c>
      <c r="N187" s="8">
        <f t="shared" si="2"/>
        <v>5184</v>
      </c>
      <c r="O187" s="1"/>
      <c r="P187" s="30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4">
      <c r="A188" s="1" t="s">
        <v>227</v>
      </c>
      <c r="B188" s="1" t="s">
        <v>31</v>
      </c>
      <c r="C188" s="3">
        <v>45795</v>
      </c>
      <c r="D188" s="1" t="s">
        <v>57</v>
      </c>
      <c r="E188" s="1" t="s">
        <v>29</v>
      </c>
      <c r="F188" s="7">
        <v>4210</v>
      </c>
      <c r="G188" s="7">
        <v>319</v>
      </c>
      <c r="H188" s="7">
        <v>350</v>
      </c>
      <c r="I188" s="7">
        <v>37762</v>
      </c>
      <c r="J188" s="7">
        <v>55162</v>
      </c>
      <c r="K188" s="7">
        <v>204</v>
      </c>
      <c r="L188" s="1" t="s">
        <v>58</v>
      </c>
      <c r="M188" s="1" t="s">
        <v>59</v>
      </c>
      <c r="N188" s="8">
        <f t="shared" si="2"/>
        <v>4879</v>
      </c>
      <c r="O188" s="1"/>
      <c r="P188" s="30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4">
      <c r="A189" s="1" t="s">
        <v>228</v>
      </c>
      <c r="B189" s="1" t="s">
        <v>14</v>
      </c>
      <c r="C189" s="3">
        <v>45814</v>
      </c>
      <c r="D189" s="1" t="s">
        <v>15</v>
      </c>
      <c r="E189" s="1" t="s">
        <v>29</v>
      </c>
      <c r="F189" s="7">
        <v>3987</v>
      </c>
      <c r="G189" s="7">
        <v>171</v>
      </c>
      <c r="H189" s="7">
        <v>274</v>
      </c>
      <c r="I189" s="7">
        <v>45122</v>
      </c>
      <c r="J189" s="7">
        <v>65431</v>
      </c>
      <c r="K189" s="7">
        <v>168</v>
      </c>
      <c r="L189" s="1" t="s">
        <v>21</v>
      </c>
      <c r="M189" s="1" t="s">
        <v>22</v>
      </c>
      <c r="N189" s="8">
        <f t="shared" si="2"/>
        <v>4432</v>
      </c>
      <c r="O189" s="1"/>
      <c r="P189" s="30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4">
      <c r="A190" s="1" t="s">
        <v>229</v>
      </c>
      <c r="B190" s="1" t="s">
        <v>31</v>
      </c>
      <c r="C190" s="3">
        <v>45708</v>
      </c>
      <c r="D190" s="1" t="s">
        <v>57</v>
      </c>
      <c r="E190" s="1" t="s">
        <v>37</v>
      </c>
      <c r="F190" s="7">
        <v>4957</v>
      </c>
      <c r="G190" s="7">
        <v>262</v>
      </c>
      <c r="H190" s="7">
        <v>365</v>
      </c>
      <c r="I190" s="7">
        <v>49199</v>
      </c>
      <c r="J190" s="7">
        <v>40314</v>
      </c>
      <c r="K190" s="7">
        <v>216</v>
      </c>
      <c r="L190" s="1" t="s">
        <v>58</v>
      </c>
      <c r="M190" s="1" t="s">
        <v>59</v>
      </c>
      <c r="N190" s="8">
        <f t="shared" si="2"/>
        <v>5584</v>
      </c>
      <c r="O190" s="1"/>
      <c r="P190" s="30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4">
      <c r="A191" s="1" t="s">
        <v>230</v>
      </c>
      <c r="B191" s="1" t="s">
        <v>14</v>
      </c>
      <c r="C191" s="3">
        <v>45673</v>
      </c>
      <c r="D191" s="1" t="s">
        <v>15</v>
      </c>
      <c r="E191" s="1" t="s">
        <v>32</v>
      </c>
      <c r="F191" s="7">
        <v>2605</v>
      </c>
      <c r="G191" s="7">
        <v>282</v>
      </c>
      <c r="H191" s="7">
        <v>148</v>
      </c>
      <c r="I191" s="7">
        <v>32201</v>
      </c>
      <c r="J191" s="7">
        <v>49583</v>
      </c>
      <c r="K191" s="7">
        <v>241</v>
      </c>
      <c r="L191" s="1" t="s">
        <v>17</v>
      </c>
      <c r="M191" s="1" t="s">
        <v>18</v>
      </c>
      <c r="N191" s="8">
        <f t="shared" si="2"/>
        <v>3035</v>
      </c>
      <c r="O191" s="1"/>
      <c r="P191" s="30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4">
      <c r="A192" s="1" t="s">
        <v>231</v>
      </c>
      <c r="B192" s="1" t="s">
        <v>31</v>
      </c>
      <c r="C192" s="3">
        <v>45346</v>
      </c>
      <c r="D192" s="1" t="s">
        <v>57</v>
      </c>
      <c r="E192" s="1" t="s">
        <v>16</v>
      </c>
      <c r="F192" s="7">
        <v>4221</v>
      </c>
      <c r="G192" s="7">
        <v>307</v>
      </c>
      <c r="H192" s="7">
        <v>58</v>
      </c>
      <c r="I192" s="7">
        <v>45080</v>
      </c>
      <c r="J192" s="7">
        <v>37214</v>
      </c>
      <c r="K192" s="7">
        <v>240</v>
      </c>
      <c r="L192" s="1" t="s">
        <v>58</v>
      </c>
      <c r="M192" s="1" t="s">
        <v>59</v>
      </c>
      <c r="N192" s="8">
        <f t="shared" si="2"/>
        <v>4586</v>
      </c>
      <c r="P192" s="30"/>
      <c r="AA192" s="1"/>
    </row>
    <row r="193" spans="1:27" ht="14.4">
      <c r="A193" s="1" t="s">
        <v>232</v>
      </c>
      <c r="B193" s="1" t="s">
        <v>24</v>
      </c>
      <c r="C193" s="3">
        <v>45551</v>
      </c>
      <c r="D193" s="1" t="s">
        <v>25</v>
      </c>
      <c r="E193" s="1" t="s">
        <v>35</v>
      </c>
      <c r="F193" s="7">
        <v>4422</v>
      </c>
      <c r="G193" s="7">
        <v>434</v>
      </c>
      <c r="H193" s="7">
        <v>156</v>
      </c>
      <c r="I193" s="7">
        <v>56165</v>
      </c>
      <c r="J193" s="7">
        <v>52431</v>
      </c>
      <c r="K193" s="7">
        <v>173</v>
      </c>
      <c r="L193" s="1" t="s">
        <v>39</v>
      </c>
      <c r="M193" s="1" t="s">
        <v>18</v>
      </c>
      <c r="N193" s="8">
        <f t="shared" si="2"/>
        <v>5012</v>
      </c>
      <c r="P193" s="30"/>
      <c r="AA193" s="1"/>
    </row>
    <row r="194" spans="1:27" ht="14.4">
      <c r="A194" s="1" t="s">
        <v>233</v>
      </c>
      <c r="B194" s="1" t="s">
        <v>31</v>
      </c>
      <c r="C194" s="3">
        <v>45447</v>
      </c>
      <c r="D194" s="1" t="s">
        <v>57</v>
      </c>
      <c r="E194" s="1" t="s">
        <v>29</v>
      </c>
      <c r="F194" s="7">
        <v>1211</v>
      </c>
      <c r="G194" s="7">
        <v>431</v>
      </c>
      <c r="H194" s="7">
        <v>83</v>
      </c>
      <c r="I194" s="7">
        <v>26532</v>
      </c>
      <c r="J194" s="7">
        <v>47305</v>
      </c>
      <c r="K194" s="7">
        <v>232</v>
      </c>
      <c r="L194" s="1" t="s">
        <v>58</v>
      </c>
      <c r="M194" s="1" t="s">
        <v>59</v>
      </c>
      <c r="N194" s="8">
        <f t="shared" ref="N194:N257" si="3">F194+G194+H194</f>
        <v>1725</v>
      </c>
      <c r="P194" s="30"/>
      <c r="AA194" s="1"/>
    </row>
    <row r="195" spans="1:27" ht="14.4">
      <c r="A195" s="1" t="s">
        <v>234</v>
      </c>
      <c r="B195" s="1" t="s">
        <v>24</v>
      </c>
      <c r="C195" s="3">
        <v>45422</v>
      </c>
      <c r="D195" s="1" t="s">
        <v>25</v>
      </c>
      <c r="E195" s="1" t="s">
        <v>20</v>
      </c>
      <c r="F195" s="7">
        <v>2784</v>
      </c>
      <c r="G195" s="7">
        <v>111</v>
      </c>
      <c r="H195" s="7">
        <v>399</v>
      </c>
      <c r="I195" s="7">
        <v>58366</v>
      </c>
      <c r="J195" s="7">
        <v>69512</v>
      </c>
      <c r="K195" s="7">
        <v>269</v>
      </c>
      <c r="L195" s="1" t="s">
        <v>27</v>
      </c>
      <c r="M195" s="1" t="s">
        <v>18</v>
      </c>
      <c r="N195" s="8">
        <f t="shared" si="3"/>
        <v>3294</v>
      </c>
      <c r="P195" s="30"/>
      <c r="AA195" s="1"/>
    </row>
    <row r="196" spans="1:27" ht="14.4">
      <c r="A196" s="1" t="s">
        <v>235</v>
      </c>
      <c r="B196" s="1" t="s">
        <v>31</v>
      </c>
      <c r="C196" s="3">
        <v>45305</v>
      </c>
      <c r="D196" s="1" t="s">
        <v>15</v>
      </c>
      <c r="E196" s="1" t="s">
        <v>26</v>
      </c>
      <c r="F196" s="7">
        <v>3634</v>
      </c>
      <c r="G196" s="7">
        <v>280</v>
      </c>
      <c r="H196" s="7">
        <v>399</v>
      </c>
      <c r="I196" s="7">
        <v>40256</v>
      </c>
      <c r="J196" s="7">
        <v>52605</v>
      </c>
      <c r="K196" s="7">
        <v>213</v>
      </c>
      <c r="L196" s="1" t="s">
        <v>33</v>
      </c>
      <c r="M196" s="1" t="s">
        <v>22</v>
      </c>
      <c r="N196" s="8">
        <f t="shared" si="3"/>
        <v>4313</v>
      </c>
      <c r="P196" s="30"/>
      <c r="AA196" s="1"/>
    </row>
    <row r="197" spans="1:27" ht="14.4">
      <c r="A197" s="1" t="s">
        <v>236</v>
      </c>
      <c r="B197" s="1" t="s">
        <v>14</v>
      </c>
      <c r="C197" s="3">
        <v>45669</v>
      </c>
      <c r="D197" s="1" t="s">
        <v>15</v>
      </c>
      <c r="E197" s="1" t="s">
        <v>49</v>
      </c>
      <c r="F197" s="7">
        <v>1771</v>
      </c>
      <c r="G197" s="7">
        <v>487</v>
      </c>
      <c r="H197" s="7">
        <v>272</v>
      </c>
      <c r="I197" s="7">
        <v>48810</v>
      </c>
      <c r="J197" s="7">
        <v>48084</v>
      </c>
      <c r="K197" s="7">
        <v>272</v>
      </c>
      <c r="L197" s="1" t="s">
        <v>17</v>
      </c>
      <c r="M197" s="1" t="s">
        <v>18</v>
      </c>
      <c r="N197" s="8">
        <f t="shared" si="3"/>
        <v>2530</v>
      </c>
      <c r="P197" s="30"/>
      <c r="AA197" s="1"/>
    </row>
    <row r="198" spans="1:27" ht="14.4">
      <c r="A198" s="1" t="s">
        <v>237</v>
      </c>
      <c r="B198" s="1" t="s">
        <v>31</v>
      </c>
      <c r="C198" s="3">
        <v>45634</v>
      </c>
      <c r="D198" s="1" t="s">
        <v>15</v>
      </c>
      <c r="E198" s="1" t="s">
        <v>41</v>
      </c>
      <c r="F198" s="7">
        <v>1424</v>
      </c>
      <c r="G198" s="7">
        <v>396</v>
      </c>
      <c r="H198" s="7">
        <v>312</v>
      </c>
      <c r="I198" s="7">
        <v>59517</v>
      </c>
      <c r="J198" s="7">
        <v>46102</v>
      </c>
      <c r="K198" s="7">
        <v>239</v>
      </c>
      <c r="L198" s="1" t="s">
        <v>33</v>
      </c>
      <c r="M198" s="1" t="s">
        <v>22</v>
      </c>
      <c r="N198" s="8">
        <f t="shared" si="3"/>
        <v>2132</v>
      </c>
      <c r="P198" s="30"/>
      <c r="AA198" s="1"/>
    </row>
    <row r="199" spans="1:27" ht="14.4">
      <c r="A199" s="1" t="s">
        <v>238</v>
      </c>
      <c r="B199" s="1" t="s">
        <v>24</v>
      </c>
      <c r="C199" s="3">
        <v>45689</v>
      </c>
      <c r="D199" s="1" t="s">
        <v>25</v>
      </c>
      <c r="E199" s="1" t="s">
        <v>41</v>
      </c>
      <c r="F199" s="7">
        <v>1079</v>
      </c>
      <c r="G199" s="7">
        <v>265</v>
      </c>
      <c r="H199" s="7">
        <v>190</v>
      </c>
      <c r="I199" s="7">
        <v>43786</v>
      </c>
      <c r="J199" s="7">
        <v>72428</v>
      </c>
      <c r="K199" s="7">
        <v>222</v>
      </c>
      <c r="L199" s="1" t="s">
        <v>17</v>
      </c>
      <c r="M199" s="1" t="s">
        <v>18</v>
      </c>
      <c r="N199" s="8">
        <f t="shared" si="3"/>
        <v>1534</v>
      </c>
      <c r="P199" s="30"/>
      <c r="AA199" s="1"/>
    </row>
    <row r="200" spans="1:27" ht="14.4">
      <c r="A200" s="1" t="s">
        <v>239</v>
      </c>
      <c r="B200" s="1" t="s">
        <v>24</v>
      </c>
      <c r="C200" s="3">
        <v>45484</v>
      </c>
      <c r="D200" s="1" t="s">
        <v>25</v>
      </c>
      <c r="E200" s="1" t="s">
        <v>37</v>
      </c>
      <c r="F200" s="7">
        <v>4247</v>
      </c>
      <c r="G200" s="7">
        <v>179</v>
      </c>
      <c r="H200" s="7">
        <v>175</v>
      </c>
      <c r="I200" s="7">
        <v>32991</v>
      </c>
      <c r="J200" s="7">
        <v>70120</v>
      </c>
      <c r="K200" s="7">
        <v>276</v>
      </c>
      <c r="L200" s="1" t="s">
        <v>17</v>
      </c>
      <c r="M200" s="1" t="s">
        <v>18</v>
      </c>
      <c r="N200" s="8">
        <f t="shared" si="3"/>
        <v>4601</v>
      </c>
      <c r="P200" s="30"/>
      <c r="AA200" s="1"/>
    </row>
    <row r="201" spans="1:27" ht="14.4">
      <c r="A201" s="1" t="s">
        <v>240</v>
      </c>
      <c r="B201" s="1" t="s">
        <v>24</v>
      </c>
      <c r="C201" s="3">
        <v>45369</v>
      </c>
      <c r="D201" s="1" t="s">
        <v>15</v>
      </c>
      <c r="E201" s="1" t="s">
        <v>26</v>
      </c>
      <c r="F201" s="7">
        <v>2033</v>
      </c>
      <c r="G201" s="7">
        <v>420</v>
      </c>
      <c r="H201" s="7">
        <v>94</v>
      </c>
      <c r="I201" s="7">
        <v>56290</v>
      </c>
      <c r="J201" s="7">
        <v>57391</v>
      </c>
      <c r="K201" s="7">
        <v>196</v>
      </c>
      <c r="L201" s="1" t="s">
        <v>42</v>
      </c>
      <c r="M201" s="1" t="s">
        <v>18</v>
      </c>
      <c r="N201" s="8">
        <f t="shared" si="3"/>
        <v>2547</v>
      </c>
      <c r="P201" s="30"/>
      <c r="AA201" s="1"/>
    </row>
    <row r="202" spans="1:27" ht="14.4">
      <c r="A202" s="1" t="s">
        <v>241</v>
      </c>
      <c r="B202" s="1" t="s">
        <v>24</v>
      </c>
      <c r="C202" s="3">
        <v>45547</v>
      </c>
      <c r="D202" s="1" t="s">
        <v>25</v>
      </c>
      <c r="E202" s="1" t="s">
        <v>29</v>
      </c>
      <c r="F202" s="7">
        <v>1839</v>
      </c>
      <c r="G202" s="7">
        <v>223</v>
      </c>
      <c r="H202" s="7">
        <v>171</v>
      </c>
      <c r="I202" s="7">
        <v>35459</v>
      </c>
      <c r="J202" s="7">
        <v>69988</v>
      </c>
      <c r="K202" s="7">
        <v>114</v>
      </c>
      <c r="L202" s="1" t="s">
        <v>27</v>
      </c>
      <c r="M202" s="1" t="s">
        <v>18</v>
      </c>
      <c r="N202" s="8">
        <f t="shared" si="3"/>
        <v>2233</v>
      </c>
      <c r="P202" s="30"/>
      <c r="AA202" s="1"/>
    </row>
    <row r="203" spans="1:27" ht="14.4">
      <c r="A203" s="1" t="s">
        <v>242</v>
      </c>
      <c r="B203" s="1" t="s">
        <v>24</v>
      </c>
      <c r="C203" s="3">
        <v>45302</v>
      </c>
      <c r="D203" s="1" t="s">
        <v>25</v>
      </c>
      <c r="E203" s="1" t="s">
        <v>29</v>
      </c>
      <c r="F203" s="7">
        <v>2340</v>
      </c>
      <c r="G203" s="7">
        <v>141</v>
      </c>
      <c r="H203" s="7">
        <v>206</v>
      </c>
      <c r="I203" s="7">
        <v>24916</v>
      </c>
      <c r="J203" s="7">
        <v>30582</v>
      </c>
      <c r="K203" s="7">
        <v>157</v>
      </c>
      <c r="L203" s="1" t="s">
        <v>17</v>
      </c>
      <c r="M203" s="1" t="s">
        <v>18</v>
      </c>
      <c r="N203" s="8">
        <f t="shared" si="3"/>
        <v>2687</v>
      </c>
      <c r="P203" s="30"/>
      <c r="AA203" s="1"/>
    </row>
    <row r="204" spans="1:27" ht="14.4">
      <c r="A204" s="1" t="s">
        <v>243</v>
      </c>
      <c r="B204" s="1" t="s">
        <v>14</v>
      </c>
      <c r="C204" s="3">
        <v>45571</v>
      </c>
      <c r="D204" s="1" t="s">
        <v>15</v>
      </c>
      <c r="E204" s="1" t="s">
        <v>41</v>
      </c>
      <c r="F204" s="7">
        <v>2080</v>
      </c>
      <c r="G204" s="7">
        <v>389</v>
      </c>
      <c r="H204" s="7">
        <v>92</v>
      </c>
      <c r="I204" s="7">
        <v>30971</v>
      </c>
      <c r="J204" s="7">
        <v>25347</v>
      </c>
      <c r="K204" s="7">
        <v>111</v>
      </c>
      <c r="L204" s="1" t="s">
        <v>21</v>
      </c>
      <c r="M204" s="1" t="s">
        <v>22</v>
      </c>
      <c r="N204" s="8">
        <f t="shared" si="3"/>
        <v>2561</v>
      </c>
      <c r="P204" s="30"/>
      <c r="AA204" s="1"/>
    </row>
    <row r="205" spans="1:27" ht="14.4">
      <c r="A205" s="1" t="s">
        <v>244</v>
      </c>
      <c r="B205" s="1" t="s">
        <v>24</v>
      </c>
      <c r="C205" s="3">
        <v>45656</v>
      </c>
      <c r="D205" s="1" t="s">
        <v>15</v>
      </c>
      <c r="E205" s="1" t="s">
        <v>37</v>
      </c>
      <c r="F205" s="7">
        <v>4214</v>
      </c>
      <c r="G205" s="7">
        <v>286</v>
      </c>
      <c r="H205" s="7">
        <v>127</v>
      </c>
      <c r="I205" s="7">
        <v>47293</v>
      </c>
      <c r="J205" s="7">
        <v>27184</v>
      </c>
      <c r="K205" s="7">
        <v>232</v>
      </c>
      <c r="L205" s="1" t="s">
        <v>42</v>
      </c>
      <c r="M205" s="1" t="s">
        <v>18</v>
      </c>
      <c r="N205" s="8">
        <f t="shared" si="3"/>
        <v>4627</v>
      </c>
      <c r="P205" s="30"/>
      <c r="AA205" s="1"/>
    </row>
    <row r="206" spans="1:27" ht="14.4">
      <c r="A206" s="1" t="s">
        <v>245</v>
      </c>
      <c r="B206" s="1" t="s">
        <v>24</v>
      </c>
      <c r="C206" s="3">
        <v>45763</v>
      </c>
      <c r="D206" s="1" t="s">
        <v>15</v>
      </c>
      <c r="E206" s="1" t="s">
        <v>29</v>
      </c>
      <c r="F206" s="7">
        <v>3792</v>
      </c>
      <c r="G206" s="7">
        <v>315</v>
      </c>
      <c r="H206" s="7">
        <v>120</v>
      </c>
      <c r="I206" s="7">
        <v>54592</v>
      </c>
      <c r="J206" s="7">
        <v>67886</v>
      </c>
      <c r="K206" s="7">
        <v>117</v>
      </c>
      <c r="L206" s="1" t="s">
        <v>45</v>
      </c>
      <c r="M206" s="1" t="s">
        <v>22</v>
      </c>
      <c r="N206" s="8">
        <f t="shared" si="3"/>
        <v>4227</v>
      </c>
      <c r="P206" s="30"/>
      <c r="AA206" s="1"/>
    </row>
    <row r="207" spans="1:27" ht="14.4">
      <c r="A207" s="1" t="s">
        <v>246</v>
      </c>
      <c r="B207" s="1" t="s">
        <v>24</v>
      </c>
      <c r="C207" s="3">
        <v>45525</v>
      </c>
      <c r="D207" s="1" t="s">
        <v>25</v>
      </c>
      <c r="E207" s="1" t="s">
        <v>20</v>
      </c>
      <c r="F207" s="7">
        <v>3989</v>
      </c>
      <c r="G207" s="7">
        <v>476</v>
      </c>
      <c r="H207" s="7">
        <v>128</v>
      </c>
      <c r="I207" s="7">
        <v>57569</v>
      </c>
      <c r="J207" s="7">
        <v>40193</v>
      </c>
      <c r="K207" s="7">
        <v>222</v>
      </c>
      <c r="L207" s="1" t="s">
        <v>39</v>
      </c>
      <c r="M207" s="1" t="s">
        <v>18</v>
      </c>
      <c r="N207" s="8">
        <f t="shared" si="3"/>
        <v>4593</v>
      </c>
      <c r="P207" s="30"/>
      <c r="AA207" s="1"/>
    </row>
    <row r="208" spans="1:27" ht="14.4">
      <c r="A208" s="1" t="s">
        <v>247</v>
      </c>
      <c r="B208" s="1" t="s">
        <v>24</v>
      </c>
      <c r="C208" s="3">
        <v>45387</v>
      </c>
      <c r="D208" s="1" t="s">
        <v>25</v>
      </c>
      <c r="E208" s="1" t="s">
        <v>29</v>
      </c>
      <c r="F208" s="7">
        <v>2857</v>
      </c>
      <c r="G208" s="7">
        <v>443</v>
      </c>
      <c r="H208" s="7">
        <v>359</v>
      </c>
      <c r="I208" s="7">
        <v>51519</v>
      </c>
      <c r="J208" s="7">
        <v>28256</v>
      </c>
      <c r="K208" s="7">
        <v>155</v>
      </c>
      <c r="L208" s="1" t="s">
        <v>17</v>
      </c>
      <c r="M208" s="1" t="s">
        <v>18</v>
      </c>
      <c r="N208" s="8">
        <f t="shared" si="3"/>
        <v>3659</v>
      </c>
      <c r="P208" s="30"/>
      <c r="AA208" s="1"/>
    </row>
    <row r="209" spans="1:27" ht="14.4">
      <c r="A209" s="1" t="s">
        <v>248</v>
      </c>
      <c r="B209" s="1" t="s">
        <v>24</v>
      </c>
      <c r="C209" s="3">
        <v>45754</v>
      </c>
      <c r="D209" s="1" t="s">
        <v>15</v>
      </c>
      <c r="E209" s="1" t="s">
        <v>49</v>
      </c>
      <c r="F209" s="7">
        <v>1403</v>
      </c>
      <c r="G209" s="7">
        <v>385</v>
      </c>
      <c r="H209" s="7">
        <v>344</v>
      </c>
      <c r="I209" s="7">
        <v>54223</v>
      </c>
      <c r="J209" s="7">
        <v>72595</v>
      </c>
      <c r="K209" s="7">
        <v>239</v>
      </c>
      <c r="L209" s="1" t="s">
        <v>45</v>
      </c>
      <c r="M209" s="1" t="s">
        <v>22</v>
      </c>
      <c r="N209" s="8">
        <f t="shared" si="3"/>
        <v>2132</v>
      </c>
      <c r="P209" s="30"/>
      <c r="AA209" s="1"/>
    </row>
    <row r="210" spans="1:27" ht="14.4">
      <c r="A210" s="1" t="s">
        <v>249</v>
      </c>
      <c r="B210" s="1" t="s">
        <v>24</v>
      </c>
      <c r="C210" s="3">
        <v>45492</v>
      </c>
      <c r="D210" s="1" t="s">
        <v>25</v>
      </c>
      <c r="E210" s="1" t="s">
        <v>35</v>
      </c>
      <c r="F210" s="7">
        <v>3071</v>
      </c>
      <c r="G210" s="7">
        <v>126</v>
      </c>
      <c r="H210" s="7">
        <v>200</v>
      </c>
      <c r="I210" s="7">
        <v>44013</v>
      </c>
      <c r="J210" s="7">
        <v>44679</v>
      </c>
      <c r="K210" s="7">
        <v>118</v>
      </c>
      <c r="L210" s="1" t="s">
        <v>39</v>
      </c>
      <c r="M210" s="1" t="s">
        <v>18</v>
      </c>
      <c r="N210" s="8">
        <f t="shared" si="3"/>
        <v>3397</v>
      </c>
      <c r="P210" s="30"/>
      <c r="AA210" s="1"/>
    </row>
    <row r="211" spans="1:27" ht="14.4">
      <c r="A211" s="1" t="s">
        <v>250</v>
      </c>
      <c r="B211" s="1" t="s">
        <v>24</v>
      </c>
      <c r="C211" s="3">
        <v>45780</v>
      </c>
      <c r="D211" s="1" t="s">
        <v>25</v>
      </c>
      <c r="E211" s="1" t="s">
        <v>41</v>
      </c>
      <c r="F211" s="7">
        <v>1010</v>
      </c>
      <c r="G211" s="7">
        <v>361</v>
      </c>
      <c r="H211" s="7">
        <v>240</v>
      </c>
      <c r="I211" s="7">
        <v>47229</v>
      </c>
      <c r="J211" s="7">
        <v>72573</v>
      </c>
      <c r="K211" s="7">
        <v>275</v>
      </c>
      <c r="L211" s="1" t="s">
        <v>17</v>
      </c>
      <c r="M211" s="1" t="s">
        <v>18</v>
      </c>
      <c r="N211" s="8">
        <f t="shared" si="3"/>
        <v>1611</v>
      </c>
      <c r="P211" s="30"/>
      <c r="AA211" s="1"/>
    </row>
    <row r="212" spans="1:27" ht="14.4">
      <c r="A212" s="1" t="s">
        <v>251</v>
      </c>
      <c r="B212" s="1" t="s">
        <v>24</v>
      </c>
      <c r="C212" s="3">
        <v>45396</v>
      </c>
      <c r="D212" s="1" t="s">
        <v>25</v>
      </c>
      <c r="E212" s="1" t="s">
        <v>16</v>
      </c>
      <c r="F212" s="7">
        <v>1295</v>
      </c>
      <c r="G212" s="7">
        <v>153</v>
      </c>
      <c r="H212" s="7">
        <v>81</v>
      </c>
      <c r="I212" s="7">
        <v>48350</v>
      </c>
      <c r="J212" s="7">
        <v>61033</v>
      </c>
      <c r="K212" s="7">
        <v>232</v>
      </c>
      <c r="L212" s="1" t="s">
        <v>39</v>
      </c>
      <c r="M212" s="1" t="s">
        <v>18</v>
      </c>
      <c r="N212" s="8">
        <f t="shared" si="3"/>
        <v>1529</v>
      </c>
      <c r="P212" s="30"/>
      <c r="AA212" s="1"/>
    </row>
    <row r="213" spans="1:27" ht="14.4">
      <c r="A213" s="1" t="s">
        <v>252</v>
      </c>
      <c r="B213" s="1" t="s">
        <v>24</v>
      </c>
      <c r="C213" s="3">
        <v>45827</v>
      </c>
      <c r="D213" s="1" t="s">
        <v>25</v>
      </c>
      <c r="E213" s="1" t="s">
        <v>35</v>
      </c>
      <c r="F213" s="7">
        <v>1433</v>
      </c>
      <c r="G213" s="7">
        <v>452</v>
      </c>
      <c r="H213" s="7">
        <v>305</v>
      </c>
      <c r="I213" s="7">
        <v>54541</v>
      </c>
      <c r="J213" s="7">
        <v>63700</v>
      </c>
      <c r="K213" s="7">
        <v>296</v>
      </c>
      <c r="L213" s="1" t="s">
        <v>39</v>
      </c>
      <c r="M213" s="1" t="s">
        <v>18</v>
      </c>
      <c r="N213" s="8">
        <f t="shared" si="3"/>
        <v>2190</v>
      </c>
      <c r="P213" s="30"/>
      <c r="AA213" s="1"/>
    </row>
    <row r="214" spans="1:27" ht="14.4">
      <c r="A214" s="1" t="s">
        <v>253</v>
      </c>
      <c r="B214" s="1" t="s">
        <v>14</v>
      </c>
      <c r="C214" s="3">
        <v>45832</v>
      </c>
      <c r="D214" s="1" t="s">
        <v>25</v>
      </c>
      <c r="E214" s="1" t="s">
        <v>37</v>
      </c>
      <c r="F214" s="7">
        <v>4902</v>
      </c>
      <c r="G214" s="7">
        <v>422</v>
      </c>
      <c r="H214" s="7">
        <v>376</v>
      </c>
      <c r="I214" s="7">
        <v>31674</v>
      </c>
      <c r="J214" s="7">
        <v>53225</v>
      </c>
      <c r="K214" s="7">
        <v>147</v>
      </c>
      <c r="L214" s="1" t="s">
        <v>42</v>
      </c>
      <c r="M214" s="1" t="s">
        <v>55</v>
      </c>
      <c r="N214" s="8">
        <f t="shared" si="3"/>
        <v>5700</v>
      </c>
      <c r="P214" s="30"/>
      <c r="AA214" s="1"/>
    </row>
    <row r="215" spans="1:27" ht="14.4">
      <c r="A215" s="1" t="s">
        <v>254</v>
      </c>
      <c r="B215" s="1" t="s">
        <v>24</v>
      </c>
      <c r="C215" s="3">
        <v>45574</v>
      </c>
      <c r="D215" s="1" t="s">
        <v>15</v>
      </c>
      <c r="E215" s="1" t="s">
        <v>29</v>
      </c>
      <c r="F215" s="7">
        <v>2659</v>
      </c>
      <c r="G215" s="7">
        <v>167</v>
      </c>
      <c r="H215" s="7">
        <v>73</v>
      </c>
      <c r="I215" s="7">
        <v>23090</v>
      </c>
      <c r="J215" s="7">
        <v>25872</v>
      </c>
      <c r="K215" s="7">
        <v>293</v>
      </c>
      <c r="L215" s="1" t="s">
        <v>45</v>
      </c>
      <c r="M215" s="1" t="s">
        <v>22</v>
      </c>
      <c r="N215" s="8">
        <f t="shared" si="3"/>
        <v>2899</v>
      </c>
      <c r="P215" s="30"/>
      <c r="AA215" s="1"/>
    </row>
    <row r="216" spans="1:27" ht="14.4">
      <c r="A216" s="1" t="s">
        <v>255</v>
      </c>
      <c r="B216" s="1" t="s">
        <v>31</v>
      </c>
      <c r="C216" s="3">
        <v>45672</v>
      </c>
      <c r="D216" s="1" t="s">
        <v>15</v>
      </c>
      <c r="E216" s="1" t="s">
        <v>51</v>
      </c>
      <c r="F216" s="7">
        <v>2599</v>
      </c>
      <c r="G216" s="7">
        <v>324</v>
      </c>
      <c r="H216" s="7">
        <v>182</v>
      </c>
      <c r="I216" s="7">
        <v>37525</v>
      </c>
      <c r="J216" s="7">
        <v>37216</v>
      </c>
      <c r="K216" s="7">
        <v>186</v>
      </c>
      <c r="L216" s="1" t="s">
        <v>33</v>
      </c>
      <c r="M216" s="1" t="s">
        <v>22</v>
      </c>
      <c r="N216" s="8">
        <f t="shared" si="3"/>
        <v>3105</v>
      </c>
      <c r="P216" s="30"/>
      <c r="AA216" s="1"/>
    </row>
    <row r="217" spans="1:27" ht="14.4">
      <c r="A217" s="1" t="s">
        <v>256</v>
      </c>
      <c r="B217" s="1" t="s">
        <v>24</v>
      </c>
      <c r="C217" s="3">
        <v>45669</v>
      </c>
      <c r="D217" s="1" t="s">
        <v>15</v>
      </c>
      <c r="E217" s="1" t="s">
        <v>32</v>
      </c>
      <c r="F217" s="7">
        <v>1765</v>
      </c>
      <c r="G217" s="7">
        <v>285</v>
      </c>
      <c r="H217" s="7">
        <v>100</v>
      </c>
      <c r="I217" s="7">
        <v>41313</v>
      </c>
      <c r="J217" s="7">
        <v>56575</v>
      </c>
      <c r="K217" s="7">
        <v>174</v>
      </c>
      <c r="L217" s="1" t="s">
        <v>45</v>
      </c>
      <c r="M217" s="1" t="s">
        <v>22</v>
      </c>
      <c r="N217" s="8">
        <f t="shared" si="3"/>
        <v>2150</v>
      </c>
      <c r="P217" s="30"/>
      <c r="AA217" s="1"/>
    </row>
    <row r="218" spans="1:27" ht="14.4">
      <c r="A218" s="1" t="s">
        <v>257</v>
      </c>
      <c r="B218" s="1" t="s">
        <v>14</v>
      </c>
      <c r="C218" s="3">
        <v>45808</v>
      </c>
      <c r="D218" s="1" t="s">
        <v>15</v>
      </c>
      <c r="E218" s="1" t="s">
        <v>35</v>
      </c>
      <c r="F218" s="7">
        <v>2169</v>
      </c>
      <c r="G218" s="7">
        <v>240</v>
      </c>
      <c r="H218" s="7">
        <v>57</v>
      </c>
      <c r="I218" s="7">
        <v>26109</v>
      </c>
      <c r="J218" s="7">
        <v>46667</v>
      </c>
      <c r="K218" s="7">
        <v>133</v>
      </c>
      <c r="L218" s="1" t="s">
        <v>17</v>
      </c>
      <c r="M218" s="1" t="s">
        <v>18</v>
      </c>
      <c r="N218" s="8">
        <f t="shared" si="3"/>
        <v>2466</v>
      </c>
      <c r="P218" s="30"/>
      <c r="AA218" s="1"/>
    </row>
    <row r="219" spans="1:27" ht="14.4">
      <c r="A219" s="1" t="s">
        <v>258</v>
      </c>
      <c r="B219" s="1" t="s">
        <v>24</v>
      </c>
      <c r="C219" s="3">
        <v>45579</v>
      </c>
      <c r="D219" s="1" t="s">
        <v>25</v>
      </c>
      <c r="E219" s="1" t="s">
        <v>20</v>
      </c>
      <c r="F219" s="7">
        <v>4303</v>
      </c>
      <c r="G219" s="7">
        <v>306</v>
      </c>
      <c r="H219" s="7">
        <v>302</v>
      </c>
      <c r="I219" s="7">
        <v>39575</v>
      </c>
      <c r="J219" s="7">
        <v>33762</v>
      </c>
      <c r="K219" s="7">
        <v>265</v>
      </c>
      <c r="L219" s="1" t="s">
        <v>39</v>
      </c>
      <c r="M219" s="1" t="s">
        <v>18</v>
      </c>
      <c r="N219" s="8">
        <f t="shared" si="3"/>
        <v>4911</v>
      </c>
      <c r="P219" s="30"/>
      <c r="AA219" s="1"/>
    </row>
    <row r="220" spans="1:27" ht="14.4">
      <c r="A220" s="1" t="s">
        <v>259</v>
      </c>
      <c r="B220" s="1" t="s">
        <v>24</v>
      </c>
      <c r="C220" s="3">
        <v>45332</v>
      </c>
      <c r="D220" s="1" t="s">
        <v>15</v>
      </c>
      <c r="E220" s="1" t="s">
        <v>49</v>
      </c>
      <c r="F220" s="7">
        <v>1519</v>
      </c>
      <c r="G220" s="7">
        <v>456</v>
      </c>
      <c r="H220" s="7">
        <v>379</v>
      </c>
      <c r="I220" s="7">
        <v>51611</v>
      </c>
      <c r="J220" s="7">
        <v>45880</v>
      </c>
      <c r="K220" s="7">
        <v>176</v>
      </c>
      <c r="L220" s="1" t="s">
        <v>45</v>
      </c>
      <c r="M220" s="1" t="s">
        <v>22</v>
      </c>
      <c r="N220" s="8">
        <f t="shared" si="3"/>
        <v>2354</v>
      </c>
      <c r="P220" s="30"/>
      <c r="AA220" s="1"/>
    </row>
    <row r="221" spans="1:27" ht="14.4">
      <c r="A221" s="1" t="s">
        <v>260</v>
      </c>
      <c r="B221" s="1" t="s">
        <v>31</v>
      </c>
      <c r="C221" s="3">
        <v>45636</v>
      </c>
      <c r="D221" s="1" t="s">
        <v>15</v>
      </c>
      <c r="E221" s="1" t="s">
        <v>35</v>
      </c>
      <c r="F221" s="7">
        <v>2569</v>
      </c>
      <c r="G221" s="7">
        <v>140</v>
      </c>
      <c r="H221" s="7">
        <v>375</v>
      </c>
      <c r="I221" s="7">
        <v>38372</v>
      </c>
      <c r="J221" s="7">
        <v>22102</v>
      </c>
      <c r="K221" s="7">
        <v>255</v>
      </c>
      <c r="L221" s="1" t="s">
        <v>33</v>
      </c>
      <c r="M221" s="1" t="s">
        <v>22</v>
      </c>
      <c r="N221" s="8">
        <f t="shared" si="3"/>
        <v>3084</v>
      </c>
      <c r="P221" s="30"/>
      <c r="AA221" s="1"/>
    </row>
    <row r="222" spans="1:27" ht="14.4">
      <c r="A222" s="1" t="s">
        <v>261</v>
      </c>
      <c r="B222" s="1" t="s">
        <v>24</v>
      </c>
      <c r="C222" s="3">
        <v>45786</v>
      </c>
      <c r="D222" s="1" t="s">
        <v>25</v>
      </c>
      <c r="E222" s="1" t="s">
        <v>32</v>
      </c>
      <c r="F222" s="7">
        <v>2778</v>
      </c>
      <c r="G222" s="7">
        <v>241</v>
      </c>
      <c r="H222" s="7">
        <v>317</v>
      </c>
      <c r="I222" s="7">
        <v>26247</v>
      </c>
      <c r="J222" s="7">
        <v>20677</v>
      </c>
      <c r="K222" s="7">
        <v>282</v>
      </c>
      <c r="L222" s="1" t="s">
        <v>27</v>
      </c>
      <c r="M222" s="1" t="s">
        <v>18</v>
      </c>
      <c r="N222" s="8">
        <f t="shared" si="3"/>
        <v>3336</v>
      </c>
      <c r="P222" s="30"/>
      <c r="AA222" s="1"/>
    </row>
    <row r="223" spans="1:27" ht="14.4">
      <c r="A223" s="1" t="s">
        <v>262</v>
      </c>
      <c r="B223" s="1" t="s">
        <v>24</v>
      </c>
      <c r="C223" s="3">
        <v>45829</v>
      </c>
      <c r="D223" s="1" t="s">
        <v>15</v>
      </c>
      <c r="E223" s="1" t="s">
        <v>20</v>
      </c>
      <c r="F223" s="7">
        <v>3611</v>
      </c>
      <c r="G223" s="7">
        <v>127</v>
      </c>
      <c r="H223" s="7">
        <v>139</v>
      </c>
      <c r="I223" s="7">
        <v>44768</v>
      </c>
      <c r="J223" s="7">
        <v>29435</v>
      </c>
      <c r="K223" s="7">
        <v>178</v>
      </c>
      <c r="L223" s="1" t="s">
        <v>42</v>
      </c>
      <c r="M223" s="1" t="s">
        <v>18</v>
      </c>
      <c r="N223" s="8">
        <f t="shared" si="3"/>
        <v>3877</v>
      </c>
      <c r="P223" s="30"/>
      <c r="AA223" s="1"/>
    </row>
    <row r="224" spans="1:27" ht="14.4">
      <c r="A224" s="1" t="s">
        <v>263</v>
      </c>
      <c r="B224" s="1" t="s">
        <v>24</v>
      </c>
      <c r="C224" s="3">
        <v>45462</v>
      </c>
      <c r="D224" s="1" t="s">
        <v>15</v>
      </c>
      <c r="E224" s="1" t="s">
        <v>35</v>
      </c>
      <c r="F224" s="7">
        <v>1224</v>
      </c>
      <c r="G224" s="7">
        <v>168</v>
      </c>
      <c r="H224" s="7">
        <v>199</v>
      </c>
      <c r="I224" s="7">
        <v>54232</v>
      </c>
      <c r="J224" s="7">
        <v>52844</v>
      </c>
      <c r="K224" s="7">
        <v>271</v>
      </c>
      <c r="L224" s="1" t="s">
        <v>45</v>
      </c>
      <c r="M224" s="1" t="s">
        <v>22</v>
      </c>
      <c r="N224" s="8">
        <f t="shared" si="3"/>
        <v>1591</v>
      </c>
      <c r="P224" s="30"/>
      <c r="AA224" s="1"/>
    </row>
    <row r="225" spans="1:27" ht="14.4">
      <c r="A225" s="1" t="s">
        <v>264</v>
      </c>
      <c r="B225" s="1" t="s">
        <v>24</v>
      </c>
      <c r="C225" s="3">
        <v>45636</v>
      </c>
      <c r="D225" s="1" t="s">
        <v>15</v>
      </c>
      <c r="E225" s="1" t="s">
        <v>49</v>
      </c>
      <c r="F225" s="7">
        <v>4673</v>
      </c>
      <c r="G225" s="7">
        <v>270</v>
      </c>
      <c r="H225" s="7">
        <v>93</v>
      </c>
      <c r="I225" s="7">
        <v>45260</v>
      </c>
      <c r="J225" s="7">
        <v>57513</v>
      </c>
      <c r="K225" s="7">
        <v>103</v>
      </c>
      <c r="L225" s="1" t="s">
        <v>42</v>
      </c>
      <c r="M225" s="1" t="s">
        <v>18</v>
      </c>
      <c r="N225" s="8">
        <f t="shared" si="3"/>
        <v>5036</v>
      </c>
      <c r="P225" s="30"/>
      <c r="AA225" s="1"/>
    </row>
    <row r="226" spans="1:27" ht="14.4">
      <c r="A226" s="1" t="s">
        <v>265</v>
      </c>
      <c r="B226" s="1" t="s">
        <v>31</v>
      </c>
      <c r="C226" s="3">
        <v>45323</v>
      </c>
      <c r="D226" s="1" t="s">
        <v>15</v>
      </c>
      <c r="E226" s="1" t="s">
        <v>29</v>
      </c>
      <c r="F226" s="7">
        <v>1432</v>
      </c>
      <c r="G226" s="7">
        <v>437</v>
      </c>
      <c r="H226" s="7">
        <v>267</v>
      </c>
      <c r="I226" s="7">
        <v>40634</v>
      </c>
      <c r="J226" s="7">
        <v>54511</v>
      </c>
      <c r="K226" s="7">
        <v>197</v>
      </c>
      <c r="L226" s="1" t="s">
        <v>33</v>
      </c>
      <c r="M226" s="1" t="s">
        <v>22</v>
      </c>
      <c r="N226" s="8">
        <f t="shared" si="3"/>
        <v>2136</v>
      </c>
      <c r="P226" s="30"/>
      <c r="AA226" s="1"/>
    </row>
    <row r="227" spans="1:27" ht="14.4">
      <c r="A227" s="1" t="s">
        <v>266</v>
      </c>
      <c r="B227" s="1" t="s">
        <v>24</v>
      </c>
      <c r="C227" s="3">
        <v>45308</v>
      </c>
      <c r="D227" s="1" t="s">
        <v>25</v>
      </c>
      <c r="E227" s="1" t="s">
        <v>26</v>
      </c>
      <c r="F227" s="7">
        <v>2174</v>
      </c>
      <c r="G227" s="7">
        <v>499</v>
      </c>
      <c r="H227" s="7">
        <v>212</v>
      </c>
      <c r="I227" s="7">
        <v>54938</v>
      </c>
      <c r="J227" s="7">
        <v>27190</v>
      </c>
      <c r="K227" s="7">
        <v>265</v>
      </c>
      <c r="L227" s="1" t="s">
        <v>27</v>
      </c>
      <c r="M227" s="1" t="s">
        <v>18</v>
      </c>
      <c r="N227" s="8">
        <f t="shared" si="3"/>
        <v>2885</v>
      </c>
      <c r="P227" s="30"/>
      <c r="AA227" s="1"/>
    </row>
    <row r="228" spans="1:27" ht="14.4">
      <c r="A228" s="1" t="s">
        <v>267</v>
      </c>
      <c r="B228" s="1" t="s">
        <v>31</v>
      </c>
      <c r="C228" s="3">
        <v>45738</v>
      </c>
      <c r="D228" s="1" t="s">
        <v>15</v>
      </c>
      <c r="E228" s="1" t="s">
        <v>32</v>
      </c>
      <c r="F228" s="7">
        <v>4308</v>
      </c>
      <c r="G228" s="7">
        <v>171</v>
      </c>
      <c r="H228" s="7">
        <v>106</v>
      </c>
      <c r="I228" s="7">
        <v>36955</v>
      </c>
      <c r="J228" s="7">
        <v>23949</v>
      </c>
      <c r="K228" s="7">
        <v>294</v>
      </c>
      <c r="L228" s="1" t="s">
        <v>33</v>
      </c>
      <c r="M228" s="1" t="s">
        <v>22</v>
      </c>
      <c r="N228" s="8">
        <f t="shared" si="3"/>
        <v>4585</v>
      </c>
      <c r="P228" s="30"/>
      <c r="AA228" s="1"/>
    </row>
    <row r="229" spans="1:27" ht="14.4">
      <c r="A229" s="1" t="s">
        <v>268</v>
      </c>
      <c r="B229" s="1" t="s">
        <v>31</v>
      </c>
      <c r="C229" s="3">
        <v>45442</v>
      </c>
      <c r="D229" s="1" t="s">
        <v>57</v>
      </c>
      <c r="E229" s="1" t="s">
        <v>35</v>
      </c>
      <c r="F229" s="7">
        <v>1060</v>
      </c>
      <c r="G229" s="7">
        <v>442</v>
      </c>
      <c r="H229" s="7">
        <v>319</v>
      </c>
      <c r="I229" s="7">
        <v>57194</v>
      </c>
      <c r="J229" s="7">
        <v>24258</v>
      </c>
      <c r="K229" s="7">
        <v>101</v>
      </c>
      <c r="L229" s="1" t="s">
        <v>58</v>
      </c>
      <c r="M229" s="1" t="s">
        <v>59</v>
      </c>
      <c r="N229" s="8">
        <f t="shared" si="3"/>
        <v>1821</v>
      </c>
      <c r="P229" s="30"/>
      <c r="AA229" s="1"/>
    </row>
    <row r="230" spans="1:27" ht="14.4">
      <c r="A230" s="1" t="s">
        <v>269</v>
      </c>
      <c r="B230" s="1" t="s">
        <v>31</v>
      </c>
      <c r="C230" s="3">
        <v>45346</v>
      </c>
      <c r="D230" s="1" t="s">
        <v>15</v>
      </c>
      <c r="E230" s="1" t="s">
        <v>32</v>
      </c>
      <c r="F230" s="7">
        <v>4653</v>
      </c>
      <c r="G230" s="7">
        <v>226</v>
      </c>
      <c r="H230" s="7">
        <v>349</v>
      </c>
      <c r="I230" s="7">
        <v>56876</v>
      </c>
      <c r="J230" s="7">
        <v>28452</v>
      </c>
      <c r="K230" s="7">
        <v>257</v>
      </c>
      <c r="L230" s="1" t="s">
        <v>33</v>
      </c>
      <c r="M230" s="1" t="s">
        <v>22</v>
      </c>
      <c r="N230" s="8">
        <f t="shared" si="3"/>
        <v>5228</v>
      </c>
      <c r="P230" s="30"/>
      <c r="AA230" s="1"/>
    </row>
    <row r="231" spans="1:27" ht="14.4">
      <c r="A231" s="1" t="s">
        <v>270</v>
      </c>
      <c r="B231" s="1" t="s">
        <v>31</v>
      </c>
      <c r="C231" s="3">
        <v>45791</v>
      </c>
      <c r="D231" s="1" t="s">
        <v>15</v>
      </c>
      <c r="E231" s="1" t="s">
        <v>16</v>
      </c>
      <c r="F231" s="7">
        <v>1701</v>
      </c>
      <c r="G231" s="7">
        <v>272</v>
      </c>
      <c r="H231" s="7">
        <v>385</v>
      </c>
      <c r="I231" s="7">
        <v>47496</v>
      </c>
      <c r="J231" s="7">
        <v>40832</v>
      </c>
      <c r="K231" s="7">
        <v>246</v>
      </c>
      <c r="L231" s="1" t="s">
        <v>33</v>
      </c>
      <c r="M231" s="1" t="s">
        <v>22</v>
      </c>
      <c r="N231" s="8">
        <f t="shared" si="3"/>
        <v>2358</v>
      </c>
      <c r="P231" s="30"/>
      <c r="AA231" s="1"/>
    </row>
    <row r="232" spans="1:27" ht="14.4">
      <c r="A232" s="1" t="s">
        <v>271</v>
      </c>
      <c r="B232" s="1" t="s">
        <v>14</v>
      </c>
      <c r="C232" s="3">
        <v>45379</v>
      </c>
      <c r="D232" s="1" t="s">
        <v>15</v>
      </c>
      <c r="E232" s="1" t="s">
        <v>35</v>
      </c>
      <c r="F232" s="7">
        <v>1673</v>
      </c>
      <c r="G232" s="7">
        <v>280</v>
      </c>
      <c r="H232" s="7">
        <v>67</v>
      </c>
      <c r="I232" s="7">
        <v>29847</v>
      </c>
      <c r="J232" s="7">
        <v>48016</v>
      </c>
      <c r="K232" s="7">
        <v>213</v>
      </c>
      <c r="L232" s="1" t="s">
        <v>17</v>
      </c>
      <c r="M232" s="1" t="s">
        <v>18</v>
      </c>
      <c r="N232" s="8">
        <f t="shared" si="3"/>
        <v>2020</v>
      </c>
      <c r="P232" s="30"/>
      <c r="AA232" s="1"/>
    </row>
    <row r="233" spans="1:27" ht="14.4">
      <c r="A233" s="1" t="s">
        <v>272</v>
      </c>
      <c r="B233" s="1" t="s">
        <v>31</v>
      </c>
      <c r="C233" s="3">
        <v>45723</v>
      </c>
      <c r="D233" s="1" t="s">
        <v>15</v>
      </c>
      <c r="E233" s="1" t="s">
        <v>41</v>
      </c>
      <c r="F233" s="7">
        <v>4310</v>
      </c>
      <c r="G233" s="7">
        <v>284</v>
      </c>
      <c r="H233" s="7">
        <v>306</v>
      </c>
      <c r="I233" s="7">
        <v>44606</v>
      </c>
      <c r="J233" s="7">
        <v>42604</v>
      </c>
      <c r="K233" s="7">
        <v>290</v>
      </c>
      <c r="L233" s="1" t="s">
        <v>33</v>
      </c>
      <c r="M233" s="1" t="s">
        <v>22</v>
      </c>
      <c r="N233" s="8">
        <f t="shared" si="3"/>
        <v>4900</v>
      </c>
      <c r="P233" s="30"/>
      <c r="AA233" s="1"/>
    </row>
    <row r="234" spans="1:27" ht="14.4">
      <c r="A234" s="1" t="s">
        <v>273</v>
      </c>
      <c r="B234" s="1" t="s">
        <v>24</v>
      </c>
      <c r="C234" s="3">
        <v>45585</v>
      </c>
      <c r="D234" s="1" t="s">
        <v>15</v>
      </c>
      <c r="E234" s="1" t="s">
        <v>49</v>
      </c>
      <c r="F234" s="7">
        <v>2752</v>
      </c>
      <c r="G234" s="7">
        <v>309</v>
      </c>
      <c r="H234" s="7">
        <v>91</v>
      </c>
      <c r="I234" s="7">
        <v>39038</v>
      </c>
      <c r="J234" s="7">
        <v>28095</v>
      </c>
      <c r="K234" s="7">
        <v>277</v>
      </c>
      <c r="L234" s="1" t="s">
        <v>42</v>
      </c>
      <c r="M234" s="1" t="s">
        <v>18</v>
      </c>
      <c r="N234" s="8">
        <f t="shared" si="3"/>
        <v>3152</v>
      </c>
      <c r="P234" s="30"/>
      <c r="AA234" s="1"/>
    </row>
    <row r="235" spans="1:27" ht="14.4">
      <c r="A235" s="1" t="s">
        <v>274</v>
      </c>
      <c r="B235" s="1" t="s">
        <v>24</v>
      </c>
      <c r="C235" s="3">
        <v>45324</v>
      </c>
      <c r="D235" s="1" t="s">
        <v>15</v>
      </c>
      <c r="E235" s="1" t="s">
        <v>49</v>
      </c>
      <c r="F235" s="7">
        <v>3818</v>
      </c>
      <c r="G235" s="7">
        <v>115</v>
      </c>
      <c r="H235" s="7">
        <v>286</v>
      </c>
      <c r="I235" s="7">
        <v>25127</v>
      </c>
      <c r="J235" s="7">
        <v>22277</v>
      </c>
      <c r="K235" s="7">
        <v>263</v>
      </c>
      <c r="L235" s="1" t="s">
        <v>42</v>
      </c>
      <c r="M235" s="1" t="s">
        <v>18</v>
      </c>
      <c r="N235" s="8">
        <f t="shared" si="3"/>
        <v>4219</v>
      </c>
      <c r="P235" s="30"/>
      <c r="AA235" s="1"/>
    </row>
    <row r="236" spans="1:27" ht="14.4">
      <c r="A236" s="1" t="s">
        <v>275</v>
      </c>
      <c r="B236" s="1" t="s">
        <v>31</v>
      </c>
      <c r="C236" s="3">
        <v>45542</v>
      </c>
      <c r="D236" s="1" t="s">
        <v>15</v>
      </c>
      <c r="E236" s="1" t="s">
        <v>51</v>
      </c>
      <c r="F236" s="7">
        <v>2101</v>
      </c>
      <c r="G236" s="7">
        <v>411</v>
      </c>
      <c r="H236" s="7">
        <v>190</v>
      </c>
      <c r="I236" s="7">
        <v>41791</v>
      </c>
      <c r="J236" s="7">
        <v>57090</v>
      </c>
      <c r="K236" s="7">
        <v>172</v>
      </c>
      <c r="L236" s="1" t="s">
        <v>33</v>
      </c>
      <c r="M236" s="1" t="s">
        <v>22</v>
      </c>
      <c r="N236" s="8">
        <f t="shared" si="3"/>
        <v>2702</v>
      </c>
      <c r="P236" s="30"/>
      <c r="AA236" s="1"/>
    </row>
    <row r="237" spans="1:27" ht="14.4">
      <c r="A237" s="1" t="s">
        <v>276</v>
      </c>
      <c r="B237" s="1" t="s">
        <v>14</v>
      </c>
      <c r="C237" s="3">
        <v>45646</v>
      </c>
      <c r="D237" s="1" t="s">
        <v>15</v>
      </c>
      <c r="E237" s="1" t="s">
        <v>16</v>
      </c>
      <c r="F237" s="7">
        <v>2519</v>
      </c>
      <c r="G237" s="7">
        <v>202</v>
      </c>
      <c r="H237" s="7">
        <v>239</v>
      </c>
      <c r="I237" s="7">
        <v>36245</v>
      </c>
      <c r="J237" s="7">
        <v>48606</v>
      </c>
      <c r="K237" s="7">
        <v>145</v>
      </c>
      <c r="L237" s="1" t="s">
        <v>21</v>
      </c>
      <c r="M237" s="1" t="s">
        <v>22</v>
      </c>
      <c r="N237" s="8">
        <f t="shared" si="3"/>
        <v>2960</v>
      </c>
      <c r="P237" s="30"/>
      <c r="AA237" s="1"/>
    </row>
    <row r="238" spans="1:27" ht="14.4">
      <c r="A238" s="1" t="s">
        <v>277</v>
      </c>
      <c r="B238" s="1" t="s">
        <v>31</v>
      </c>
      <c r="C238" s="3">
        <v>45305</v>
      </c>
      <c r="D238" s="1" t="s">
        <v>15</v>
      </c>
      <c r="E238" s="1" t="s">
        <v>35</v>
      </c>
      <c r="F238" s="7">
        <v>4502</v>
      </c>
      <c r="G238" s="7">
        <v>238</v>
      </c>
      <c r="H238" s="7">
        <v>386</v>
      </c>
      <c r="I238" s="7">
        <v>39198</v>
      </c>
      <c r="J238" s="7">
        <v>25050</v>
      </c>
      <c r="K238" s="7">
        <v>297</v>
      </c>
      <c r="L238" s="1" t="s">
        <v>33</v>
      </c>
      <c r="M238" s="1" t="s">
        <v>22</v>
      </c>
      <c r="N238" s="8">
        <f t="shared" si="3"/>
        <v>5126</v>
      </c>
      <c r="P238" s="30"/>
      <c r="AA238" s="1"/>
    </row>
    <row r="239" spans="1:27" ht="14.4">
      <c r="A239" s="1" t="s">
        <v>278</v>
      </c>
      <c r="B239" s="1" t="s">
        <v>14</v>
      </c>
      <c r="C239" s="3">
        <v>45823</v>
      </c>
      <c r="D239" s="1" t="s">
        <v>15</v>
      </c>
      <c r="E239" s="1" t="s">
        <v>20</v>
      </c>
      <c r="F239" s="7">
        <v>2478</v>
      </c>
      <c r="G239" s="7">
        <v>427</v>
      </c>
      <c r="H239" s="7">
        <v>242</v>
      </c>
      <c r="I239" s="7">
        <v>59272</v>
      </c>
      <c r="J239" s="7">
        <v>37833</v>
      </c>
      <c r="K239" s="7">
        <v>214</v>
      </c>
      <c r="L239" s="1" t="s">
        <v>17</v>
      </c>
      <c r="M239" s="1" t="s">
        <v>18</v>
      </c>
      <c r="N239" s="8">
        <f t="shared" si="3"/>
        <v>3147</v>
      </c>
      <c r="P239" s="30"/>
      <c r="AA239" s="1"/>
    </row>
    <row r="240" spans="1:27" ht="14.4">
      <c r="A240" s="1" t="s">
        <v>279</v>
      </c>
      <c r="B240" s="1" t="s">
        <v>24</v>
      </c>
      <c r="C240" s="3">
        <v>45639</v>
      </c>
      <c r="D240" s="1" t="s">
        <v>25</v>
      </c>
      <c r="E240" s="1" t="s">
        <v>26</v>
      </c>
      <c r="F240" s="7">
        <v>4984</v>
      </c>
      <c r="G240" s="7">
        <v>300</v>
      </c>
      <c r="H240" s="7">
        <v>338</v>
      </c>
      <c r="I240" s="7">
        <v>32900</v>
      </c>
      <c r="J240" s="7">
        <v>31691</v>
      </c>
      <c r="K240" s="7">
        <v>160</v>
      </c>
      <c r="L240" s="1" t="s">
        <v>27</v>
      </c>
      <c r="M240" s="1" t="s">
        <v>18</v>
      </c>
      <c r="N240" s="8">
        <f t="shared" si="3"/>
        <v>5622</v>
      </c>
      <c r="P240" s="30"/>
      <c r="AA240" s="1"/>
    </row>
    <row r="241" spans="1:27" ht="14.4">
      <c r="A241" s="1" t="s">
        <v>280</v>
      </c>
      <c r="B241" s="1" t="s">
        <v>31</v>
      </c>
      <c r="C241" s="3">
        <v>45533</v>
      </c>
      <c r="D241" s="1" t="s">
        <v>15</v>
      </c>
      <c r="E241" s="1" t="s">
        <v>29</v>
      </c>
      <c r="F241" s="7">
        <v>4774</v>
      </c>
      <c r="G241" s="7">
        <v>389</v>
      </c>
      <c r="H241" s="7">
        <v>358</v>
      </c>
      <c r="I241" s="7">
        <v>52346</v>
      </c>
      <c r="J241" s="7">
        <v>30518</v>
      </c>
      <c r="K241" s="7">
        <v>277</v>
      </c>
      <c r="L241" s="1" t="s">
        <v>33</v>
      </c>
      <c r="M241" s="1" t="s">
        <v>22</v>
      </c>
      <c r="N241" s="8">
        <f t="shared" si="3"/>
        <v>5521</v>
      </c>
      <c r="P241" s="30"/>
      <c r="AA241" s="1"/>
    </row>
    <row r="242" spans="1:27" ht="14.4">
      <c r="A242" s="1" t="s">
        <v>281</v>
      </c>
      <c r="B242" s="1" t="s">
        <v>24</v>
      </c>
      <c r="C242" s="3">
        <v>45550</v>
      </c>
      <c r="D242" s="1" t="s">
        <v>15</v>
      </c>
      <c r="E242" s="1" t="s">
        <v>37</v>
      </c>
      <c r="F242" s="7">
        <v>2145</v>
      </c>
      <c r="G242" s="7">
        <v>340</v>
      </c>
      <c r="H242" s="7">
        <v>85</v>
      </c>
      <c r="I242" s="7">
        <v>53323</v>
      </c>
      <c r="J242" s="7">
        <v>49938</v>
      </c>
      <c r="K242" s="7">
        <v>104</v>
      </c>
      <c r="L242" s="1" t="s">
        <v>42</v>
      </c>
      <c r="M242" s="1" t="s">
        <v>18</v>
      </c>
      <c r="N242" s="8">
        <f t="shared" si="3"/>
        <v>2570</v>
      </c>
      <c r="P242" s="30"/>
      <c r="AA242" s="1"/>
    </row>
    <row r="243" spans="1:27" ht="14.4">
      <c r="A243" s="1" t="s">
        <v>282</v>
      </c>
      <c r="B243" s="1" t="s">
        <v>24</v>
      </c>
      <c r="C243" s="3">
        <v>45759</v>
      </c>
      <c r="D243" s="1" t="s">
        <v>25</v>
      </c>
      <c r="E243" s="1" t="s">
        <v>49</v>
      </c>
      <c r="F243" s="7">
        <v>4315</v>
      </c>
      <c r="G243" s="7">
        <v>208</v>
      </c>
      <c r="H243" s="7">
        <v>273</v>
      </c>
      <c r="I243" s="7">
        <v>35780</v>
      </c>
      <c r="J243" s="7">
        <v>44349</v>
      </c>
      <c r="K243" s="7">
        <v>133</v>
      </c>
      <c r="L243" s="1" t="s">
        <v>39</v>
      </c>
      <c r="M243" s="1" t="s">
        <v>18</v>
      </c>
      <c r="N243" s="8">
        <f t="shared" si="3"/>
        <v>4796</v>
      </c>
      <c r="P243" s="30"/>
      <c r="AA243" s="1"/>
    </row>
    <row r="244" spans="1:27" ht="14.4">
      <c r="A244" s="1" t="s">
        <v>283</v>
      </c>
      <c r="B244" s="1" t="s">
        <v>24</v>
      </c>
      <c r="C244" s="3">
        <v>45636</v>
      </c>
      <c r="D244" s="1" t="s">
        <v>25</v>
      </c>
      <c r="E244" s="1" t="s">
        <v>29</v>
      </c>
      <c r="F244" s="7">
        <v>2267</v>
      </c>
      <c r="G244" s="7">
        <v>230</v>
      </c>
      <c r="H244" s="7">
        <v>243</v>
      </c>
      <c r="I244" s="7">
        <v>27904</v>
      </c>
      <c r="J244" s="7">
        <v>69771</v>
      </c>
      <c r="K244" s="7">
        <v>255</v>
      </c>
      <c r="L244" s="1" t="s">
        <v>39</v>
      </c>
      <c r="M244" s="1" t="s">
        <v>18</v>
      </c>
      <c r="N244" s="8">
        <f t="shared" si="3"/>
        <v>2740</v>
      </c>
      <c r="P244" s="30"/>
      <c r="AA244" s="1"/>
    </row>
    <row r="245" spans="1:27" ht="14.4">
      <c r="A245" s="1" t="s">
        <v>284</v>
      </c>
      <c r="B245" s="1" t="s">
        <v>31</v>
      </c>
      <c r="C245" s="3">
        <v>45816</v>
      </c>
      <c r="D245" s="1" t="s">
        <v>15</v>
      </c>
      <c r="E245" s="1" t="s">
        <v>32</v>
      </c>
      <c r="F245" s="7">
        <v>4375</v>
      </c>
      <c r="G245" s="7">
        <v>303</v>
      </c>
      <c r="H245" s="7">
        <v>294</v>
      </c>
      <c r="I245" s="7">
        <v>57468</v>
      </c>
      <c r="J245" s="7">
        <v>53397</v>
      </c>
      <c r="K245" s="7">
        <v>159</v>
      </c>
      <c r="L245" s="1" t="s">
        <v>33</v>
      </c>
      <c r="M245" s="1" t="s">
        <v>22</v>
      </c>
      <c r="N245" s="8">
        <f t="shared" si="3"/>
        <v>4972</v>
      </c>
      <c r="P245" s="30"/>
      <c r="AA245" s="1"/>
    </row>
    <row r="246" spans="1:27" ht="14.4">
      <c r="A246" s="1" t="s">
        <v>285</v>
      </c>
      <c r="B246" s="1" t="s">
        <v>24</v>
      </c>
      <c r="C246" s="3">
        <v>45666</v>
      </c>
      <c r="D246" s="1" t="s">
        <v>25</v>
      </c>
      <c r="E246" s="1" t="s">
        <v>51</v>
      </c>
      <c r="F246" s="7">
        <v>3817</v>
      </c>
      <c r="G246" s="7">
        <v>284</v>
      </c>
      <c r="H246" s="7">
        <v>204</v>
      </c>
      <c r="I246" s="7">
        <v>46434</v>
      </c>
      <c r="J246" s="7">
        <v>53396</v>
      </c>
      <c r="K246" s="7">
        <v>104</v>
      </c>
      <c r="L246" s="1" t="s">
        <v>27</v>
      </c>
      <c r="M246" s="1" t="s">
        <v>18</v>
      </c>
      <c r="N246" s="8">
        <f t="shared" si="3"/>
        <v>4305</v>
      </c>
      <c r="P246" s="30"/>
      <c r="AA246" s="1"/>
    </row>
    <row r="247" spans="1:27" ht="14.4">
      <c r="A247" s="1" t="s">
        <v>286</v>
      </c>
      <c r="B247" s="1" t="s">
        <v>24</v>
      </c>
      <c r="C247" s="3">
        <v>45481</v>
      </c>
      <c r="D247" s="1" t="s">
        <v>25</v>
      </c>
      <c r="E247" s="1" t="s">
        <v>41</v>
      </c>
      <c r="F247" s="7">
        <v>2981</v>
      </c>
      <c r="G247" s="7">
        <v>258</v>
      </c>
      <c r="H247" s="7">
        <v>168</v>
      </c>
      <c r="I247" s="7">
        <v>20677</v>
      </c>
      <c r="J247" s="7">
        <v>68290</v>
      </c>
      <c r="K247" s="7">
        <v>130</v>
      </c>
      <c r="L247" s="1" t="s">
        <v>17</v>
      </c>
      <c r="M247" s="1" t="s">
        <v>18</v>
      </c>
      <c r="N247" s="8">
        <f t="shared" si="3"/>
        <v>3407</v>
      </c>
      <c r="P247" s="30"/>
      <c r="AA247" s="1"/>
    </row>
    <row r="248" spans="1:27" ht="14.4">
      <c r="A248" s="1" t="s">
        <v>287</v>
      </c>
      <c r="B248" s="1" t="s">
        <v>24</v>
      </c>
      <c r="C248" s="3">
        <v>45551</v>
      </c>
      <c r="D248" s="1" t="s">
        <v>25</v>
      </c>
      <c r="E248" s="1" t="s">
        <v>51</v>
      </c>
      <c r="F248" s="7">
        <v>3300</v>
      </c>
      <c r="G248" s="7">
        <v>354</v>
      </c>
      <c r="H248" s="7">
        <v>397</v>
      </c>
      <c r="I248" s="7">
        <v>56773</v>
      </c>
      <c r="J248" s="7">
        <v>72110</v>
      </c>
      <c r="K248" s="7">
        <v>163</v>
      </c>
      <c r="L248" s="1" t="s">
        <v>39</v>
      </c>
      <c r="M248" s="1" t="s">
        <v>18</v>
      </c>
      <c r="N248" s="8">
        <f t="shared" si="3"/>
        <v>4051</v>
      </c>
      <c r="P248" s="30"/>
      <c r="AA248" s="1"/>
    </row>
    <row r="249" spans="1:27" ht="14.4">
      <c r="A249" s="1" t="s">
        <v>288</v>
      </c>
      <c r="B249" s="1" t="s">
        <v>31</v>
      </c>
      <c r="C249" s="3">
        <v>45457</v>
      </c>
      <c r="D249" s="1" t="s">
        <v>57</v>
      </c>
      <c r="E249" s="1" t="s">
        <v>29</v>
      </c>
      <c r="F249" s="7">
        <v>4722</v>
      </c>
      <c r="G249" s="7">
        <v>310</v>
      </c>
      <c r="H249" s="7">
        <v>344</v>
      </c>
      <c r="I249" s="7">
        <v>27911</v>
      </c>
      <c r="J249" s="7">
        <v>19000</v>
      </c>
      <c r="K249" s="7">
        <v>225</v>
      </c>
      <c r="L249" s="1" t="s">
        <v>58</v>
      </c>
      <c r="M249" s="1" t="s">
        <v>59</v>
      </c>
      <c r="N249" s="8">
        <f t="shared" si="3"/>
        <v>5376</v>
      </c>
      <c r="P249" s="30"/>
      <c r="AA249" s="1"/>
    </row>
    <row r="250" spans="1:27" ht="14.4">
      <c r="A250" s="1" t="s">
        <v>289</v>
      </c>
      <c r="B250" s="1" t="s">
        <v>14</v>
      </c>
      <c r="C250" s="3">
        <v>45357</v>
      </c>
      <c r="D250" s="1" t="s">
        <v>15</v>
      </c>
      <c r="E250" s="1" t="s">
        <v>35</v>
      </c>
      <c r="F250" s="7">
        <v>3529</v>
      </c>
      <c r="G250" s="7">
        <v>263</v>
      </c>
      <c r="H250" s="7">
        <v>107</v>
      </c>
      <c r="I250" s="7">
        <v>26570</v>
      </c>
      <c r="J250" s="7">
        <v>19367</v>
      </c>
      <c r="K250" s="7">
        <v>96</v>
      </c>
      <c r="L250" s="1" t="s">
        <v>21</v>
      </c>
      <c r="M250" s="1" t="s">
        <v>22</v>
      </c>
      <c r="N250" s="8">
        <f t="shared" si="3"/>
        <v>3899</v>
      </c>
      <c r="P250" s="30"/>
      <c r="AA250" s="1"/>
    </row>
    <row r="251" spans="1:27" ht="14.4">
      <c r="A251" s="1" t="s">
        <v>290</v>
      </c>
      <c r="B251" s="1" t="s">
        <v>24</v>
      </c>
      <c r="C251" s="3">
        <v>45792</v>
      </c>
      <c r="D251" s="1" t="s">
        <v>15</v>
      </c>
      <c r="E251" s="1" t="s">
        <v>51</v>
      </c>
      <c r="F251" s="7">
        <v>4782</v>
      </c>
      <c r="G251" s="7">
        <v>210</v>
      </c>
      <c r="H251" s="7">
        <v>311</v>
      </c>
      <c r="I251" s="7">
        <v>29793</v>
      </c>
      <c r="J251" s="7">
        <v>37543</v>
      </c>
      <c r="K251" s="7">
        <v>145</v>
      </c>
      <c r="L251" s="1" t="s">
        <v>42</v>
      </c>
      <c r="M251" s="1" t="s">
        <v>18</v>
      </c>
      <c r="N251" s="8">
        <f t="shared" si="3"/>
        <v>5303</v>
      </c>
      <c r="P251" s="30"/>
      <c r="AA251" s="1"/>
    </row>
    <row r="252" spans="1:27" ht="14.4">
      <c r="A252" s="1" t="s">
        <v>291</v>
      </c>
      <c r="B252" s="1" t="s">
        <v>24</v>
      </c>
      <c r="C252" s="3">
        <v>45480</v>
      </c>
      <c r="D252" s="1" t="s">
        <v>15</v>
      </c>
      <c r="E252" s="1" t="s">
        <v>35</v>
      </c>
      <c r="F252" s="7">
        <v>1848</v>
      </c>
      <c r="G252" s="7">
        <v>417</v>
      </c>
      <c r="H252" s="7">
        <v>294</v>
      </c>
      <c r="I252" s="7">
        <v>57819</v>
      </c>
      <c r="J252" s="7">
        <v>19798</v>
      </c>
      <c r="K252" s="7">
        <v>262</v>
      </c>
      <c r="L252" s="1" t="s">
        <v>45</v>
      </c>
      <c r="M252" s="1" t="s">
        <v>22</v>
      </c>
      <c r="N252" s="8">
        <f t="shared" si="3"/>
        <v>2559</v>
      </c>
      <c r="P252" s="30"/>
      <c r="AA252" s="1"/>
    </row>
    <row r="253" spans="1:27" ht="14.4">
      <c r="A253" s="1" t="s">
        <v>292</v>
      </c>
      <c r="B253" s="1" t="s">
        <v>31</v>
      </c>
      <c r="C253" s="3">
        <v>45591</v>
      </c>
      <c r="D253" s="1" t="s">
        <v>15</v>
      </c>
      <c r="E253" s="1" t="s">
        <v>26</v>
      </c>
      <c r="F253" s="7">
        <v>4676</v>
      </c>
      <c r="G253" s="7">
        <v>211</v>
      </c>
      <c r="H253" s="7">
        <v>55</v>
      </c>
      <c r="I253" s="7">
        <v>45917</v>
      </c>
      <c r="J253" s="7">
        <v>73503</v>
      </c>
      <c r="K253" s="7">
        <v>248</v>
      </c>
      <c r="L253" s="1" t="s">
        <v>33</v>
      </c>
      <c r="M253" s="1" t="s">
        <v>22</v>
      </c>
      <c r="N253" s="8">
        <f t="shared" si="3"/>
        <v>4942</v>
      </c>
      <c r="P253" s="30"/>
      <c r="AA253" s="1"/>
    </row>
    <row r="254" spans="1:27" ht="14.4">
      <c r="A254" s="1" t="s">
        <v>293</v>
      </c>
      <c r="B254" s="1" t="s">
        <v>31</v>
      </c>
      <c r="C254" s="3">
        <v>45512</v>
      </c>
      <c r="D254" s="1" t="s">
        <v>15</v>
      </c>
      <c r="E254" s="1" t="s">
        <v>49</v>
      </c>
      <c r="F254" s="7">
        <v>1994</v>
      </c>
      <c r="G254" s="7">
        <v>197</v>
      </c>
      <c r="H254" s="7">
        <v>290</v>
      </c>
      <c r="I254" s="7">
        <v>49500</v>
      </c>
      <c r="J254" s="7">
        <v>23343</v>
      </c>
      <c r="K254" s="7">
        <v>160</v>
      </c>
      <c r="L254" s="1" t="s">
        <v>33</v>
      </c>
      <c r="M254" s="1" t="s">
        <v>22</v>
      </c>
      <c r="N254" s="8">
        <f t="shared" si="3"/>
        <v>2481</v>
      </c>
      <c r="P254" s="30"/>
      <c r="AA254" s="1"/>
    </row>
    <row r="255" spans="1:27" ht="14.4">
      <c r="A255" s="1" t="s">
        <v>294</v>
      </c>
      <c r="B255" s="1" t="s">
        <v>24</v>
      </c>
      <c r="C255" s="3">
        <v>45691</v>
      </c>
      <c r="D255" s="1" t="s">
        <v>15</v>
      </c>
      <c r="E255" s="1" t="s">
        <v>35</v>
      </c>
      <c r="F255" s="7">
        <v>4995</v>
      </c>
      <c r="G255" s="7">
        <v>231</v>
      </c>
      <c r="H255" s="7">
        <v>94</v>
      </c>
      <c r="I255" s="7">
        <v>34431</v>
      </c>
      <c r="J255" s="7">
        <v>32560</v>
      </c>
      <c r="K255" s="7">
        <v>262</v>
      </c>
      <c r="L255" s="1" t="s">
        <v>42</v>
      </c>
      <c r="M255" s="1" t="s">
        <v>18</v>
      </c>
      <c r="N255" s="8">
        <f t="shared" si="3"/>
        <v>5320</v>
      </c>
      <c r="P255" s="30"/>
      <c r="AA255" s="1"/>
    </row>
    <row r="256" spans="1:27" ht="14.4">
      <c r="A256" s="1" t="s">
        <v>295</v>
      </c>
      <c r="B256" s="1" t="s">
        <v>24</v>
      </c>
      <c r="C256" s="3">
        <v>45385</v>
      </c>
      <c r="D256" s="1" t="s">
        <v>25</v>
      </c>
      <c r="E256" s="1" t="s">
        <v>41</v>
      </c>
      <c r="F256" s="7">
        <v>2291</v>
      </c>
      <c r="G256" s="7">
        <v>146</v>
      </c>
      <c r="H256" s="7">
        <v>399</v>
      </c>
      <c r="I256" s="7">
        <v>49319</v>
      </c>
      <c r="J256" s="7">
        <v>28056</v>
      </c>
      <c r="K256" s="7">
        <v>90</v>
      </c>
      <c r="L256" s="1" t="s">
        <v>39</v>
      </c>
      <c r="M256" s="1" t="s">
        <v>18</v>
      </c>
      <c r="N256" s="8">
        <f t="shared" si="3"/>
        <v>2836</v>
      </c>
      <c r="P256" s="30"/>
      <c r="AA256" s="1"/>
    </row>
    <row r="257" spans="1:27" ht="14.4">
      <c r="A257" s="1" t="s">
        <v>296</v>
      </c>
      <c r="B257" s="1" t="s">
        <v>24</v>
      </c>
      <c r="C257" s="3">
        <v>45481</v>
      </c>
      <c r="D257" s="1" t="s">
        <v>25</v>
      </c>
      <c r="E257" s="1" t="s">
        <v>29</v>
      </c>
      <c r="F257" s="7">
        <v>2304</v>
      </c>
      <c r="G257" s="7">
        <v>289</v>
      </c>
      <c r="H257" s="7">
        <v>161</v>
      </c>
      <c r="I257" s="7">
        <v>52645</v>
      </c>
      <c r="J257" s="7">
        <v>66262</v>
      </c>
      <c r="K257" s="7">
        <v>146</v>
      </c>
      <c r="L257" s="1" t="s">
        <v>27</v>
      </c>
      <c r="M257" s="1" t="s">
        <v>18</v>
      </c>
      <c r="N257" s="8">
        <f t="shared" si="3"/>
        <v>2754</v>
      </c>
      <c r="P257" s="30"/>
      <c r="AA257" s="1"/>
    </row>
    <row r="258" spans="1:27" ht="14.4">
      <c r="A258" s="1" t="s">
        <v>297</v>
      </c>
      <c r="B258" s="1" t="s">
        <v>24</v>
      </c>
      <c r="C258" s="3">
        <v>45451</v>
      </c>
      <c r="D258" s="1" t="s">
        <v>25</v>
      </c>
      <c r="E258" s="1" t="s">
        <v>41</v>
      </c>
      <c r="F258" s="7">
        <v>3413</v>
      </c>
      <c r="G258" s="7">
        <v>326</v>
      </c>
      <c r="H258" s="7">
        <v>86</v>
      </c>
      <c r="I258" s="7">
        <v>44680</v>
      </c>
      <c r="J258" s="7">
        <v>52719</v>
      </c>
      <c r="K258" s="7">
        <v>272</v>
      </c>
      <c r="L258" s="1" t="s">
        <v>39</v>
      </c>
      <c r="M258" s="1" t="s">
        <v>18</v>
      </c>
      <c r="N258" s="8">
        <f t="shared" ref="N258:N301" si="4">F258+G258+H258</f>
        <v>3825</v>
      </c>
      <c r="P258" s="30"/>
      <c r="AA258" s="1"/>
    </row>
    <row r="259" spans="1:27" ht="14.4">
      <c r="A259" s="1" t="s">
        <v>298</v>
      </c>
      <c r="B259" s="1" t="s">
        <v>31</v>
      </c>
      <c r="C259" s="3">
        <v>45736</v>
      </c>
      <c r="D259" s="1" t="s">
        <v>57</v>
      </c>
      <c r="E259" s="1" t="s">
        <v>49</v>
      </c>
      <c r="F259" s="7">
        <v>1453</v>
      </c>
      <c r="G259" s="7">
        <v>156</v>
      </c>
      <c r="H259" s="7">
        <v>178</v>
      </c>
      <c r="I259" s="7">
        <v>52980</v>
      </c>
      <c r="J259" s="7">
        <v>57180</v>
      </c>
      <c r="K259" s="7">
        <v>286</v>
      </c>
      <c r="L259" s="1" t="s">
        <v>58</v>
      </c>
      <c r="M259" s="1" t="s">
        <v>59</v>
      </c>
      <c r="N259" s="8">
        <f t="shared" si="4"/>
        <v>1787</v>
      </c>
      <c r="P259" s="30"/>
      <c r="AA259" s="1"/>
    </row>
    <row r="260" spans="1:27" ht="14.4">
      <c r="A260" s="1" t="s">
        <v>299</v>
      </c>
      <c r="B260" s="1" t="s">
        <v>24</v>
      </c>
      <c r="C260" s="3">
        <v>45676</v>
      </c>
      <c r="D260" s="1" t="s">
        <v>25</v>
      </c>
      <c r="E260" s="1" t="s">
        <v>32</v>
      </c>
      <c r="F260" s="7">
        <v>1651</v>
      </c>
      <c r="G260" s="7">
        <v>480</v>
      </c>
      <c r="H260" s="7">
        <v>282</v>
      </c>
      <c r="I260" s="7">
        <v>32140</v>
      </c>
      <c r="J260" s="7">
        <v>70560</v>
      </c>
      <c r="K260" s="7">
        <v>138</v>
      </c>
      <c r="L260" s="1" t="s">
        <v>17</v>
      </c>
      <c r="M260" s="1" t="s">
        <v>18</v>
      </c>
      <c r="N260" s="8">
        <f t="shared" si="4"/>
        <v>2413</v>
      </c>
      <c r="P260" s="30"/>
      <c r="AA260" s="1"/>
    </row>
    <row r="261" spans="1:27" ht="14.4">
      <c r="A261" s="1" t="s">
        <v>300</v>
      </c>
      <c r="B261" s="1" t="s">
        <v>24</v>
      </c>
      <c r="C261" s="3">
        <v>45662</v>
      </c>
      <c r="D261" s="1" t="s">
        <v>25</v>
      </c>
      <c r="E261" s="1" t="s">
        <v>20</v>
      </c>
      <c r="F261" s="7">
        <v>3341</v>
      </c>
      <c r="G261" s="7">
        <v>154</v>
      </c>
      <c r="H261" s="7">
        <v>123</v>
      </c>
      <c r="I261" s="7">
        <v>43369</v>
      </c>
      <c r="J261" s="7">
        <v>49035</v>
      </c>
      <c r="K261" s="7">
        <v>128</v>
      </c>
      <c r="L261" s="1" t="s">
        <v>27</v>
      </c>
      <c r="M261" s="1" t="s">
        <v>18</v>
      </c>
      <c r="N261" s="8">
        <f t="shared" si="4"/>
        <v>3618</v>
      </c>
      <c r="P261" s="30"/>
      <c r="AA261" s="1"/>
    </row>
    <row r="262" spans="1:27" ht="14.4">
      <c r="A262" s="1" t="s">
        <v>301</v>
      </c>
      <c r="B262" s="1" t="s">
        <v>24</v>
      </c>
      <c r="C262" s="3">
        <v>45612</v>
      </c>
      <c r="D262" s="1" t="s">
        <v>15</v>
      </c>
      <c r="E262" s="1" t="s">
        <v>49</v>
      </c>
      <c r="F262" s="7">
        <v>2972</v>
      </c>
      <c r="G262" s="7">
        <v>263</v>
      </c>
      <c r="H262" s="7">
        <v>308</v>
      </c>
      <c r="I262" s="7">
        <v>51740</v>
      </c>
      <c r="J262" s="7">
        <v>28214</v>
      </c>
      <c r="K262" s="7">
        <v>190</v>
      </c>
      <c r="L262" s="1" t="s">
        <v>45</v>
      </c>
      <c r="M262" s="1" t="s">
        <v>22</v>
      </c>
      <c r="N262" s="8">
        <f t="shared" si="4"/>
        <v>3543</v>
      </c>
      <c r="P262" s="30"/>
      <c r="AA262" s="1"/>
    </row>
    <row r="263" spans="1:27" ht="14.4">
      <c r="A263" s="1" t="s">
        <v>302</v>
      </c>
      <c r="B263" s="1" t="s">
        <v>24</v>
      </c>
      <c r="C263" s="3">
        <v>45626</v>
      </c>
      <c r="D263" s="1" t="s">
        <v>25</v>
      </c>
      <c r="E263" s="1" t="s">
        <v>20</v>
      </c>
      <c r="F263" s="7">
        <v>4963</v>
      </c>
      <c r="G263" s="7">
        <v>255</v>
      </c>
      <c r="H263" s="7">
        <v>193</v>
      </c>
      <c r="I263" s="7">
        <v>44386</v>
      </c>
      <c r="J263" s="7">
        <v>28415</v>
      </c>
      <c r="K263" s="7">
        <v>174</v>
      </c>
      <c r="L263" s="1" t="s">
        <v>27</v>
      </c>
      <c r="M263" s="1" t="s">
        <v>18</v>
      </c>
      <c r="N263" s="8">
        <f t="shared" si="4"/>
        <v>5411</v>
      </c>
      <c r="P263" s="30"/>
      <c r="AA263" s="1"/>
    </row>
    <row r="264" spans="1:27" ht="14.4">
      <c r="A264" s="1" t="s">
        <v>303</v>
      </c>
      <c r="B264" s="1" t="s">
        <v>31</v>
      </c>
      <c r="C264" s="3">
        <v>45378</v>
      </c>
      <c r="D264" s="1" t="s">
        <v>15</v>
      </c>
      <c r="E264" s="1" t="s">
        <v>32</v>
      </c>
      <c r="F264" s="7">
        <v>2399</v>
      </c>
      <c r="G264" s="7">
        <v>191</v>
      </c>
      <c r="H264" s="7">
        <v>221</v>
      </c>
      <c r="I264" s="7">
        <v>51603</v>
      </c>
      <c r="J264" s="7">
        <v>40033</v>
      </c>
      <c r="K264" s="7">
        <v>173</v>
      </c>
      <c r="L264" s="1" t="s">
        <v>33</v>
      </c>
      <c r="M264" s="1" t="s">
        <v>22</v>
      </c>
      <c r="N264" s="8">
        <f t="shared" si="4"/>
        <v>2811</v>
      </c>
      <c r="P264" s="30"/>
      <c r="AA264" s="1"/>
    </row>
    <row r="265" spans="1:27" ht="14.4">
      <c r="A265" s="1" t="s">
        <v>304</v>
      </c>
      <c r="B265" s="1" t="s">
        <v>31</v>
      </c>
      <c r="C265" s="3">
        <v>45808</v>
      </c>
      <c r="D265" s="1" t="s">
        <v>57</v>
      </c>
      <c r="E265" s="1" t="s">
        <v>37</v>
      </c>
      <c r="F265" s="7">
        <v>2162</v>
      </c>
      <c r="G265" s="7">
        <v>318</v>
      </c>
      <c r="H265" s="7">
        <v>83</v>
      </c>
      <c r="I265" s="7">
        <v>46719</v>
      </c>
      <c r="J265" s="7">
        <v>20482</v>
      </c>
      <c r="K265" s="7">
        <v>185</v>
      </c>
      <c r="L265" s="1" t="s">
        <v>58</v>
      </c>
      <c r="M265" s="1" t="s">
        <v>59</v>
      </c>
      <c r="N265" s="8">
        <f t="shared" si="4"/>
        <v>2563</v>
      </c>
      <c r="P265" s="30"/>
      <c r="AA265" s="1"/>
    </row>
    <row r="266" spans="1:27" ht="14.4">
      <c r="A266" s="1" t="s">
        <v>305</v>
      </c>
      <c r="B266" s="1" t="s">
        <v>24</v>
      </c>
      <c r="C266" s="3">
        <v>45825</v>
      </c>
      <c r="D266" s="1" t="s">
        <v>25</v>
      </c>
      <c r="E266" s="1" t="s">
        <v>20</v>
      </c>
      <c r="F266" s="7">
        <v>4341</v>
      </c>
      <c r="G266" s="7">
        <v>141</v>
      </c>
      <c r="H266" s="7">
        <v>63</v>
      </c>
      <c r="I266" s="7">
        <v>50081</v>
      </c>
      <c r="J266" s="7">
        <v>27507</v>
      </c>
      <c r="K266" s="7">
        <v>221</v>
      </c>
      <c r="L266" s="1" t="s">
        <v>39</v>
      </c>
      <c r="M266" s="1" t="s">
        <v>18</v>
      </c>
      <c r="N266" s="8">
        <f t="shared" si="4"/>
        <v>4545</v>
      </c>
      <c r="P266" s="30"/>
      <c r="AA266" s="1"/>
    </row>
    <row r="267" spans="1:27" ht="14.4">
      <c r="A267" s="1" t="s">
        <v>306</v>
      </c>
      <c r="B267" s="1" t="s">
        <v>14</v>
      </c>
      <c r="C267" s="3">
        <v>45442</v>
      </c>
      <c r="D267" s="1" t="s">
        <v>25</v>
      </c>
      <c r="E267" s="1" t="s">
        <v>37</v>
      </c>
      <c r="F267" s="7">
        <v>2448</v>
      </c>
      <c r="G267" s="7">
        <v>464</v>
      </c>
      <c r="H267" s="7">
        <v>98</v>
      </c>
      <c r="I267" s="7">
        <v>25737</v>
      </c>
      <c r="J267" s="7">
        <v>48545</v>
      </c>
      <c r="K267" s="7">
        <v>246</v>
      </c>
      <c r="L267" s="1" t="s">
        <v>42</v>
      </c>
      <c r="M267" s="1" t="s">
        <v>55</v>
      </c>
      <c r="N267" s="8">
        <f t="shared" si="4"/>
        <v>3010</v>
      </c>
      <c r="P267" s="30"/>
      <c r="AA267" s="1"/>
    </row>
    <row r="268" spans="1:27" ht="14.4">
      <c r="A268" s="1" t="s">
        <v>307</v>
      </c>
      <c r="B268" s="1" t="s">
        <v>31</v>
      </c>
      <c r="C268" s="3">
        <v>45604</v>
      </c>
      <c r="D268" s="1" t="s">
        <v>15</v>
      </c>
      <c r="E268" s="1" t="s">
        <v>41</v>
      </c>
      <c r="F268" s="7">
        <v>2471</v>
      </c>
      <c r="G268" s="7">
        <v>166</v>
      </c>
      <c r="H268" s="7">
        <v>320</v>
      </c>
      <c r="I268" s="7">
        <v>48254</v>
      </c>
      <c r="J268" s="7">
        <v>46900</v>
      </c>
      <c r="K268" s="7">
        <v>111</v>
      </c>
      <c r="L268" s="1" t="s">
        <v>33</v>
      </c>
      <c r="M268" s="1" t="s">
        <v>22</v>
      </c>
      <c r="N268" s="8">
        <f t="shared" si="4"/>
        <v>2957</v>
      </c>
      <c r="P268" s="30"/>
      <c r="AA268" s="1"/>
    </row>
    <row r="269" spans="1:27" ht="14.4">
      <c r="A269" s="1" t="s">
        <v>308</v>
      </c>
      <c r="B269" s="1" t="s">
        <v>31</v>
      </c>
      <c r="C269" s="3">
        <v>45368</v>
      </c>
      <c r="D269" s="1" t="s">
        <v>57</v>
      </c>
      <c r="E269" s="1" t="s">
        <v>20</v>
      </c>
      <c r="F269" s="7">
        <v>2692</v>
      </c>
      <c r="G269" s="7">
        <v>446</v>
      </c>
      <c r="H269" s="7">
        <v>216</v>
      </c>
      <c r="I269" s="7">
        <v>45818</v>
      </c>
      <c r="J269" s="7">
        <v>62723</v>
      </c>
      <c r="K269" s="7">
        <v>85</v>
      </c>
      <c r="L269" s="1" t="s">
        <v>58</v>
      </c>
      <c r="M269" s="1" t="s">
        <v>59</v>
      </c>
      <c r="N269" s="8">
        <f t="shared" si="4"/>
        <v>3354</v>
      </c>
      <c r="P269" s="30"/>
      <c r="AA269" s="1"/>
    </row>
    <row r="270" spans="1:27" ht="14.4">
      <c r="A270" s="1" t="s">
        <v>309</v>
      </c>
      <c r="B270" s="1" t="s">
        <v>31</v>
      </c>
      <c r="C270" s="3">
        <v>45464</v>
      </c>
      <c r="D270" s="1" t="s">
        <v>57</v>
      </c>
      <c r="E270" s="1" t="s">
        <v>32</v>
      </c>
      <c r="F270" s="7">
        <v>4621</v>
      </c>
      <c r="G270" s="7">
        <v>374</v>
      </c>
      <c r="H270" s="7">
        <v>298</v>
      </c>
      <c r="I270" s="7">
        <v>56979</v>
      </c>
      <c r="J270" s="7">
        <v>24098</v>
      </c>
      <c r="K270" s="7">
        <v>205</v>
      </c>
      <c r="L270" s="1" t="s">
        <v>58</v>
      </c>
      <c r="M270" s="1" t="s">
        <v>59</v>
      </c>
      <c r="N270" s="8">
        <f t="shared" si="4"/>
        <v>5293</v>
      </c>
      <c r="P270" s="30"/>
      <c r="AA270" s="1"/>
    </row>
    <row r="271" spans="1:27" ht="14.4">
      <c r="A271" s="1" t="s">
        <v>310</v>
      </c>
      <c r="B271" s="1" t="s">
        <v>24</v>
      </c>
      <c r="C271" s="3">
        <v>45609</v>
      </c>
      <c r="D271" s="1" t="s">
        <v>25</v>
      </c>
      <c r="E271" s="1" t="s">
        <v>26</v>
      </c>
      <c r="F271" s="7">
        <v>1409</v>
      </c>
      <c r="G271" s="7">
        <v>466</v>
      </c>
      <c r="H271" s="7">
        <v>105</v>
      </c>
      <c r="I271" s="7">
        <v>58923</v>
      </c>
      <c r="J271" s="7">
        <v>38753</v>
      </c>
      <c r="K271" s="7">
        <v>265</v>
      </c>
      <c r="L271" s="1" t="s">
        <v>39</v>
      </c>
      <c r="M271" s="1" t="s">
        <v>18</v>
      </c>
      <c r="N271" s="8">
        <f t="shared" si="4"/>
        <v>1980</v>
      </c>
      <c r="P271" s="30"/>
      <c r="AA271" s="1"/>
    </row>
    <row r="272" spans="1:27" ht="14.4">
      <c r="A272" s="1" t="s">
        <v>311</v>
      </c>
      <c r="B272" s="1" t="s">
        <v>24</v>
      </c>
      <c r="C272" s="3">
        <v>45693</v>
      </c>
      <c r="D272" s="1" t="s">
        <v>25</v>
      </c>
      <c r="E272" s="1" t="s">
        <v>16</v>
      </c>
      <c r="F272" s="7">
        <v>3029</v>
      </c>
      <c r="G272" s="7">
        <v>440</v>
      </c>
      <c r="H272" s="7">
        <v>66</v>
      </c>
      <c r="I272" s="7">
        <v>23815</v>
      </c>
      <c r="J272" s="7">
        <v>47895</v>
      </c>
      <c r="K272" s="7">
        <v>210</v>
      </c>
      <c r="L272" s="1" t="s">
        <v>39</v>
      </c>
      <c r="M272" s="1" t="s">
        <v>18</v>
      </c>
      <c r="N272" s="8">
        <f t="shared" si="4"/>
        <v>3535</v>
      </c>
      <c r="P272" s="30"/>
      <c r="AA272" s="1"/>
    </row>
    <row r="273" spans="1:27" ht="14.4">
      <c r="A273" s="1" t="s">
        <v>312</v>
      </c>
      <c r="B273" s="1" t="s">
        <v>24</v>
      </c>
      <c r="C273" s="3">
        <v>45603</v>
      </c>
      <c r="D273" s="1" t="s">
        <v>15</v>
      </c>
      <c r="E273" s="1" t="s">
        <v>20</v>
      </c>
      <c r="F273" s="7">
        <v>2229</v>
      </c>
      <c r="G273" s="7">
        <v>395</v>
      </c>
      <c r="H273" s="7">
        <v>328</v>
      </c>
      <c r="I273" s="7">
        <v>56921</v>
      </c>
      <c r="J273" s="7">
        <v>37176</v>
      </c>
      <c r="K273" s="7">
        <v>126</v>
      </c>
      <c r="L273" s="1" t="s">
        <v>45</v>
      </c>
      <c r="M273" s="1" t="s">
        <v>22</v>
      </c>
      <c r="N273" s="8">
        <f t="shared" si="4"/>
        <v>2952</v>
      </c>
      <c r="P273" s="30"/>
      <c r="AA273" s="1"/>
    </row>
    <row r="274" spans="1:27" ht="14.4">
      <c r="A274" s="1" t="s">
        <v>313</v>
      </c>
      <c r="B274" s="1" t="s">
        <v>24</v>
      </c>
      <c r="C274" s="3">
        <v>45334</v>
      </c>
      <c r="D274" s="1" t="s">
        <v>15</v>
      </c>
      <c r="E274" s="1" t="s">
        <v>20</v>
      </c>
      <c r="F274" s="7">
        <v>2691</v>
      </c>
      <c r="G274" s="7">
        <v>486</v>
      </c>
      <c r="H274" s="7">
        <v>206</v>
      </c>
      <c r="I274" s="7">
        <v>51133</v>
      </c>
      <c r="J274" s="7">
        <v>44583</v>
      </c>
      <c r="K274" s="7">
        <v>276</v>
      </c>
      <c r="L274" s="1" t="s">
        <v>42</v>
      </c>
      <c r="M274" s="1" t="s">
        <v>18</v>
      </c>
      <c r="N274" s="8">
        <f t="shared" si="4"/>
        <v>3383</v>
      </c>
      <c r="P274" s="30"/>
      <c r="AA274" s="1"/>
    </row>
    <row r="275" spans="1:27" ht="14.4">
      <c r="A275" s="1" t="s">
        <v>314</v>
      </c>
      <c r="B275" s="1" t="s">
        <v>14</v>
      </c>
      <c r="C275" s="3">
        <v>45573</v>
      </c>
      <c r="D275" s="1" t="s">
        <v>15</v>
      </c>
      <c r="E275" s="1" t="s">
        <v>20</v>
      </c>
      <c r="F275" s="7">
        <v>2110</v>
      </c>
      <c r="G275" s="7">
        <v>384</v>
      </c>
      <c r="H275" s="7">
        <v>236</v>
      </c>
      <c r="I275" s="7">
        <v>49965</v>
      </c>
      <c r="J275" s="7">
        <v>61555</v>
      </c>
      <c r="K275" s="7">
        <v>195</v>
      </c>
      <c r="L275" s="1" t="s">
        <v>21</v>
      </c>
      <c r="M275" s="1" t="s">
        <v>22</v>
      </c>
      <c r="N275" s="8">
        <f t="shared" si="4"/>
        <v>2730</v>
      </c>
      <c r="P275" s="30"/>
      <c r="AA275" s="1"/>
    </row>
    <row r="276" spans="1:27" ht="14.4">
      <c r="A276" s="1" t="s">
        <v>315</v>
      </c>
      <c r="B276" s="1" t="s">
        <v>14</v>
      </c>
      <c r="C276" s="3">
        <v>45341</v>
      </c>
      <c r="D276" s="1" t="s">
        <v>15</v>
      </c>
      <c r="E276" s="1" t="s">
        <v>29</v>
      </c>
      <c r="F276" s="7">
        <v>4752</v>
      </c>
      <c r="G276" s="7">
        <v>449</v>
      </c>
      <c r="H276" s="7">
        <v>309</v>
      </c>
      <c r="I276" s="7">
        <v>58530</v>
      </c>
      <c r="J276" s="7">
        <v>26630</v>
      </c>
      <c r="K276" s="7">
        <v>234</v>
      </c>
      <c r="L276" s="1" t="s">
        <v>21</v>
      </c>
      <c r="M276" s="1" t="s">
        <v>22</v>
      </c>
      <c r="N276" s="8">
        <f t="shared" si="4"/>
        <v>5510</v>
      </c>
      <c r="P276" s="30"/>
      <c r="AA276" s="1"/>
    </row>
    <row r="277" spans="1:27" ht="14.4">
      <c r="A277" s="1" t="s">
        <v>316</v>
      </c>
      <c r="B277" s="1" t="s">
        <v>24</v>
      </c>
      <c r="C277" s="3">
        <v>45720</v>
      </c>
      <c r="D277" s="1" t="s">
        <v>15</v>
      </c>
      <c r="E277" s="1" t="s">
        <v>16</v>
      </c>
      <c r="F277" s="7">
        <v>2177</v>
      </c>
      <c r="G277" s="7">
        <v>258</v>
      </c>
      <c r="H277" s="7">
        <v>292</v>
      </c>
      <c r="I277" s="7">
        <v>47276</v>
      </c>
      <c r="J277" s="7">
        <v>51324</v>
      </c>
      <c r="K277" s="7">
        <v>143</v>
      </c>
      <c r="L277" s="1" t="s">
        <v>42</v>
      </c>
      <c r="M277" s="1" t="s">
        <v>18</v>
      </c>
      <c r="N277" s="8">
        <f t="shared" si="4"/>
        <v>2727</v>
      </c>
      <c r="P277" s="30"/>
      <c r="AA277" s="1"/>
    </row>
    <row r="278" spans="1:27" ht="14.4">
      <c r="A278" s="1" t="s">
        <v>317</v>
      </c>
      <c r="B278" s="1" t="s">
        <v>14</v>
      </c>
      <c r="C278" s="3">
        <v>45691</v>
      </c>
      <c r="D278" s="1" t="s">
        <v>25</v>
      </c>
      <c r="E278" s="1" t="s">
        <v>26</v>
      </c>
      <c r="F278" s="7">
        <v>1205</v>
      </c>
      <c r="G278" s="7">
        <v>486</v>
      </c>
      <c r="H278" s="7">
        <v>269</v>
      </c>
      <c r="I278" s="7">
        <v>23341</v>
      </c>
      <c r="J278" s="7">
        <v>42411</v>
      </c>
      <c r="K278" s="7">
        <v>184</v>
      </c>
      <c r="L278" s="1" t="s">
        <v>42</v>
      </c>
      <c r="M278" s="1" t="s">
        <v>55</v>
      </c>
      <c r="N278" s="8">
        <f t="shared" si="4"/>
        <v>1960</v>
      </c>
      <c r="P278" s="30"/>
      <c r="AA278" s="1"/>
    </row>
    <row r="279" spans="1:27" ht="14.4">
      <c r="A279" s="1" t="s">
        <v>318</v>
      </c>
      <c r="B279" s="1" t="s">
        <v>14</v>
      </c>
      <c r="C279" s="3">
        <v>45628</v>
      </c>
      <c r="D279" s="1" t="s">
        <v>15</v>
      </c>
      <c r="E279" s="1" t="s">
        <v>41</v>
      </c>
      <c r="F279" s="7">
        <v>3194</v>
      </c>
      <c r="G279" s="7">
        <v>292</v>
      </c>
      <c r="H279" s="7">
        <v>245</v>
      </c>
      <c r="I279" s="7">
        <v>56371</v>
      </c>
      <c r="J279" s="7">
        <v>65597</v>
      </c>
      <c r="K279" s="7">
        <v>163</v>
      </c>
      <c r="L279" s="1" t="s">
        <v>17</v>
      </c>
      <c r="M279" s="1" t="s">
        <v>18</v>
      </c>
      <c r="N279" s="8">
        <f t="shared" si="4"/>
        <v>3731</v>
      </c>
      <c r="P279" s="30"/>
      <c r="AA279" s="1"/>
    </row>
    <row r="280" spans="1:27" ht="14.4">
      <c r="A280" s="1" t="s">
        <v>319</v>
      </c>
      <c r="B280" s="1" t="s">
        <v>24</v>
      </c>
      <c r="C280" s="3">
        <v>45676</v>
      </c>
      <c r="D280" s="1" t="s">
        <v>25</v>
      </c>
      <c r="E280" s="1" t="s">
        <v>26</v>
      </c>
      <c r="F280" s="7">
        <v>3507</v>
      </c>
      <c r="G280" s="7">
        <v>295</v>
      </c>
      <c r="H280" s="7">
        <v>371</v>
      </c>
      <c r="I280" s="7">
        <v>20410</v>
      </c>
      <c r="J280" s="7">
        <v>53965</v>
      </c>
      <c r="K280" s="7">
        <v>212</v>
      </c>
      <c r="L280" s="1" t="s">
        <v>17</v>
      </c>
      <c r="M280" s="1" t="s">
        <v>18</v>
      </c>
      <c r="N280" s="8">
        <f t="shared" si="4"/>
        <v>4173</v>
      </c>
      <c r="P280" s="30"/>
      <c r="AA280" s="1"/>
    </row>
    <row r="281" spans="1:27" ht="14.4">
      <c r="A281" s="1" t="s">
        <v>320</v>
      </c>
      <c r="B281" s="1" t="s">
        <v>24</v>
      </c>
      <c r="C281" s="3">
        <v>45563</v>
      </c>
      <c r="D281" s="1" t="s">
        <v>25</v>
      </c>
      <c r="E281" s="1" t="s">
        <v>29</v>
      </c>
      <c r="F281" s="7">
        <v>4471</v>
      </c>
      <c r="G281" s="7">
        <v>317</v>
      </c>
      <c r="H281" s="7">
        <v>249</v>
      </c>
      <c r="I281" s="7">
        <v>44862</v>
      </c>
      <c r="J281" s="7">
        <v>33365</v>
      </c>
      <c r="K281" s="7">
        <v>184</v>
      </c>
      <c r="L281" s="1" t="s">
        <v>39</v>
      </c>
      <c r="M281" s="1" t="s">
        <v>18</v>
      </c>
      <c r="N281" s="8">
        <f t="shared" si="4"/>
        <v>5037</v>
      </c>
      <c r="P281" s="30"/>
      <c r="AA281" s="1"/>
    </row>
    <row r="282" spans="1:27" ht="14.4">
      <c r="A282" s="1" t="s">
        <v>321</v>
      </c>
      <c r="B282" s="1" t="s">
        <v>14</v>
      </c>
      <c r="C282" s="3">
        <v>45298</v>
      </c>
      <c r="D282" s="1" t="s">
        <v>15</v>
      </c>
      <c r="E282" s="1" t="s">
        <v>41</v>
      </c>
      <c r="F282" s="7">
        <v>4931</v>
      </c>
      <c r="G282" s="7">
        <v>469</v>
      </c>
      <c r="H282" s="7">
        <v>193</v>
      </c>
      <c r="I282" s="7">
        <v>56701</v>
      </c>
      <c r="J282" s="7">
        <v>69437</v>
      </c>
      <c r="K282" s="7">
        <v>291</v>
      </c>
      <c r="L282" s="1" t="s">
        <v>17</v>
      </c>
      <c r="M282" s="1" t="s">
        <v>18</v>
      </c>
      <c r="N282" s="8">
        <f t="shared" si="4"/>
        <v>5593</v>
      </c>
      <c r="P282" s="30"/>
      <c r="AA282" s="1"/>
    </row>
    <row r="283" spans="1:27" ht="14.4">
      <c r="A283" s="1" t="s">
        <v>322</v>
      </c>
      <c r="B283" s="1" t="s">
        <v>24</v>
      </c>
      <c r="C283" s="3">
        <v>45343</v>
      </c>
      <c r="D283" s="1" t="s">
        <v>25</v>
      </c>
      <c r="E283" s="1" t="s">
        <v>37</v>
      </c>
      <c r="F283" s="7">
        <v>2604</v>
      </c>
      <c r="G283" s="7">
        <v>439</v>
      </c>
      <c r="H283" s="7">
        <v>148</v>
      </c>
      <c r="I283" s="7">
        <v>58468</v>
      </c>
      <c r="J283" s="7">
        <v>39629</v>
      </c>
      <c r="K283" s="7">
        <v>163</v>
      </c>
      <c r="L283" s="1" t="s">
        <v>27</v>
      </c>
      <c r="M283" s="1" t="s">
        <v>18</v>
      </c>
      <c r="N283" s="8">
        <f t="shared" si="4"/>
        <v>3191</v>
      </c>
      <c r="P283" s="30"/>
      <c r="AA283" s="1"/>
    </row>
    <row r="284" spans="1:27" ht="14.4">
      <c r="A284" s="1" t="s">
        <v>323</v>
      </c>
      <c r="B284" s="1" t="s">
        <v>14</v>
      </c>
      <c r="C284" s="3">
        <v>45531</v>
      </c>
      <c r="D284" s="1" t="s">
        <v>15</v>
      </c>
      <c r="E284" s="1" t="s">
        <v>32</v>
      </c>
      <c r="F284" s="7">
        <v>4197</v>
      </c>
      <c r="G284" s="7">
        <v>359</v>
      </c>
      <c r="H284" s="7">
        <v>280</v>
      </c>
      <c r="I284" s="7">
        <v>56048</v>
      </c>
      <c r="J284" s="7">
        <v>70930</v>
      </c>
      <c r="K284" s="7">
        <v>295</v>
      </c>
      <c r="L284" s="1" t="s">
        <v>21</v>
      </c>
      <c r="M284" s="1" t="s">
        <v>22</v>
      </c>
      <c r="N284" s="8">
        <f t="shared" si="4"/>
        <v>4836</v>
      </c>
      <c r="P284" s="30"/>
      <c r="AA284" s="1"/>
    </row>
    <row r="285" spans="1:27" ht="14.4">
      <c r="A285" s="1" t="s">
        <v>324</v>
      </c>
      <c r="B285" s="1" t="s">
        <v>14</v>
      </c>
      <c r="C285" s="3">
        <v>45589</v>
      </c>
      <c r="D285" s="1" t="s">
        <v>25</v>
      </c>
      <c r="E285" s="1" t="s">
        <v>41</v>
      </c>
      <c r="F285" s="7">
        <v>1914</v>
      </c>
      <c r="G285" s="7">
        <v>255</v>
      </c>
      <c r="H285" s="7">
        <v>156</v>
      </c>
      <c r="I285" s="7">
        <v>27660</v>
      </c>
      <c r="J285" s="7">
        <v>47776</v>
      </c>
      <c r="K285" s="7">
        <v>111</v>
      </c>
      <c r="L285" s="1" t="s">
        <v>42</v>
      </c>
      <c r="M285" s="1" t="s">
        <v>55</v>
      </c>
      <c r="N285" s="8">
        <f t="shared" si="4"/>
        <v>2325</v>
      </c>
      <c r="P285" s="30"/>
      <c r="AA285" s="1"/>
    </row>
    <row r="286" spans="1:27" ht="14.4">
      <c r="A286" s="1" t="s">
        <v>325</v>
      </c>
      <c r="B286" s="1" t="s">
        <v>31</v>
      </c>
      <c r="C286" s="3">
        <v>45686</v>
      </c>
      <c r="D286" s="1" t="s">
        <v>15</v>
      </c>
      <c r="E286" s="1" t="s">
        <v>26</v>
      </c>
      <c r="F286" s="7">
        <v>1334</v>
      </c>
      <c r="G286" s="7">
        <v>357</v>
      </c>
      <c r="H286" s="7">
        <v>257</v>
      </c>
      <c r="I286" s="7">
        <v>56910</v>
      </c>
      <c r="J286" s="7">
        <v>70606</v>
      </c>
      <c r="K286" s="7">
        <v>228</v>
      </c>
      <c r="L286" s="1" t="s">
        <v>33</v>
      </c>
      <c r="M286" s="1" t="s">
        <v>22</v>
      </c>
      <c r="N286" s="8">
        <f t="shared" si="4"/>
        <v>1948</v>
      </c>
      <c r="P286" s="30"/>
      <c r="AA286" s="1"/>
    </row>
    <row r="287" spans="1:27" ht="14.4">
      <c r="A287" s="1" t="s">
        <v>326</v>
      </c>
      <c r="B287" s="1" t="s">
        <v>14</v>
      </c>
      <c r="C287" s="3">
        <v>45413</v>
      </c>
      <c r="D287" s="1" t="s">
        <v>15</v>
      </c>
      <c r="E287" s="1" t="s">
        <v>37</v>
      </c>
      <c r="F287" s="7">
        <v>3359</v>
      </c>
      <c r="G287" s="7">
        <v>137</v>
      </c>
      <c r="H287" s="7">
        <v>387</v>
      </c>
      <c r="I287" s="7">
        <v>33861</v>
      </c>
      <c r="J287" s="7">
        <v>47257</v>
      </c>
      <c r="K287" s="7">
        <v>198</v>
      </c>
      <c r="L287" s="1" t="s">
        <v>21</v>
      </c>
      <c r="M287" s="1" t="s">
        <v>22</v>
      </c>
      <c r="N287" s="8">
        <f t="shared" si="4"/>
        <v>3883</v>
      </c>
      <c r="P287" s="30"/>
      <c r="AA287" s="1"/>
    </row>
    <row r="288" spans="1:27" ht="14.4">
      <c r="A288" s="1" t="s">
        <v>327</v>
      </c>
      <c r="B288" s="1" t="s">
        <v>31</v>
      </c>
      <c r="C288" s="3">
        <v>45468</v>
      </c>
      <c r="D288" s="1" t="s">
        <v>15</v>
      </c>
      <c r="E288" s="1" t="s">
        <v>51</v>
      </c>
      <c r="F288" s="7">
        <v>2172</v>
      </c>
      <c r="G288" s="7">
        <v>338</v>
      </c>
      <c r="H288" s="7">
        <v>70</v>
      </c>
      <c r="I288" s="7">
        <v>30515</v>
      </c>
      <c r="J288" s="7">
        <v>57853</v>
      </c>
      <c r="K288" s="7">
        <v>156</v>
      </c>
      <c r="L288" s="1" t="s">
        <v>33</v>
      </c>
      <c r="M288" s="1" t="s">
        <v>22</v>
      </c>
      <c r="N288" s="8">
        <f t="shared" si="4"/>
        <v>2580</v>
      </c>
      <c r="P288" s="30"/>
      <c r="AA288" s="1"/>
    </row>
    <row r="289" spans="1:27" ht="14.4">
      <c r="A289" s="1" t="s">
        <v>328</v>
      </c>
      <c r="B289" s="1" t="s">
        <v>24</v>
      </c>
      <c r="C289" s="3">
        <v>45513</v>
      </c>
      <c r="D289" s="1" t="s">
        <v>25</v>
      </c>
      <c r="E289" s="1" t="s">
        <v>49</v>
      </c>
      <c r="F289" s="7">
        <v>4877</v>
      </c>
      <c r="G289" s="7">
        <v>442</v>
      </c>
      <c r="H289" s="7">
        <v>236</v>
      </c>
      <c r="I289" s="7">
        <v>52673</v>
      </c>
      <c r="J289" s="7">
        <v>48241</v>
      </c>
      <c r="K289" s="7">
        <v>114</v>
      </c>
      <c r="L289" s="1" t="s">
        <v>39</v>
      </c>
      <c r="M289" s="1" t="s">
        <v>18</v>
      </c>
      <c r="N289" s="8">
        <f t="shared" si="4"/>
        <v>5555</v>
      </c>
      <c r="P289" s="30"/>
      <c r="AA289" s="1"/>
    </row>
    <row r="290" spans="1:27" ht="14.4">
      <c r="A290" s="1" t="s">
        <v>329</v>
      </c>
      <c r="B290" s="1" t="s">
        <v>14</v>
      </c>
      <c r="C290" s="3">
        <v>45678</v>
      </c>
      <c r="D290" s="1" t="s">
        <v>25</v>
      </c>
      <c r="E290" s="1" t="s">
        <v>26</v>
      </c>
      <c r="F290" s="7">
        <v>4918</v>
      </c>
      <c r="G290" s="7">
        <v>440</v>
      </c>
      <c r="H290" s="7">
        <v>149</v>
      </c>
      <c r="I290" s="7">
        <v>53269</v>
      </c>
      <c r="J290" s="7">
        <v>64370</v>
      </c>
      <c r="K290" s="7">
        <v>269</v>
      </c>
      <c r="L290" s="1" t="s">
        <v>42</v>
      </c>
      <c r="M290" s="1" t="s">
        <v>55</v>
      </c>
      <c r="N290" s="8">
        <f t="shared" si="4"/>
        <v>5507</v>
      </c>
      <c r="P290" s="30"/>
      <c r="AA290" s="1"/>
    </row>
    <row r="291" spans="1:27" ht="14.4">
      <c r="A291" s="1" t="s">
        <v>330</v>
      </c>
      <c r="B291" s="1" t="s">
        <v>24</v>
      </c>
      <c r="C291" s="3">
        <v>45517</v>
      </c>
      <c r="D291" s="1" t="s">
        <v>15</v>
      </c>
      <c r="E291" s="1" t="s">
        <v>20</v>
      </c>
      <c r="F291" s="7">
        <v>3418</v>
      </c>
      <c r="G291" s="7">
        <v>107</v>
      </c>
      <c r="H291" s="7">
        <v>221</v>
      </c>
      <c r="I291" s="7">
        <v>23927</v>
      </c>
      <c r="J291" s="7">
        <v>26182</v>
      </c>
      <c r="K291" s="7">
        <v>155</v>
      </c>
      <c r="L291" s="1" t="s">
        <v>45</v>
      </c>
      <c r="M291" s="1" t="s">
        <v>22</v>
      </c>
      <c r="N291" s="8">
        <f t="shared" si="4"/>
        <v>3746</v>
      </c>
      <c r="P291" s="30"/>
      <c r="AA291" s="1"/>
    </row>
    <row r="292" spans="1:27" ht="14.4">
      <c r="A292" s="1" t="s">
        <v>331</v>
      </c>
      <c r="B292" s="1" t="s">
        <v>14</v>
      </c>
      <c r="C292" s="3">
        <v>45472</v>
      </c>
      <c r="D292" s="1" t="s">
        <v>15</v>
      </c>
      <c r="E292" s="1" t="s">
        <v>51</v>
      </c>
      <c r="F292" s="7">
        <v>2088</v>
      </c>
      <c r="G292" s="7">
        <v>490</v>
      </c>
      <c r="H292" s="7">
        <v>124</v>
      </c>
      <c r="I292" s="7">
        <v>46544</v>
      </c>
      <c r="J292" s="7">
        <v>69346</v>
      </c>
      <c r="K292" s="7">
        <v>178</v>
      </c>
      <c r="L292" s="1" t="s">
        <v>17</v>
      </c>
      <c r="M292" s="1" t="s">
        <v>18</v>
      </c>
      <c r="N292" s="8">
        <f t="shared" si="4"/>
        <v>2702</v>
      </c>
      <c r="P292" s="30"/>
      <c r="AA292" s="1"/>
    </row>
    <row r="293" spans="1:27" ht="14.4">
      <c r="A293" s="1" t="s">
        <v>332</v>
      </c>
      <c r="B293" s="1" t="s">
        <v>24</v>
      </c>
      <c r="C293" s="3">
        <v>45599</v>
      </c>
      <c r="D293" s="1" t="s">
        <v>25</v>
      </c>
      <c r="E293" s="1" t="s">
        <v>20</v>
      </c>
      <c r="F293" s="7">
        <v>3061</v>
      </c>
      <c r="G293" s="7">
        <v>320</v>
      </c>
      <c r="H293" s="7">
        <v>76</v>
      </c>
      <c r="I293" s="7">
        <v>26640</v>
      </c>
      <c r="J293" s="7">
        <v>24306</v>
      </c>
      <c r="K293" s="7">
        <v>112</v>
      </c>
      <c r="L293" s="1" t="s">
        <v>27</v>
      </c>
      <c r="M293" s="1" t="s">
        <v>18</v>
      </c>
      <c r="N293" s="8">
        <f t="shared" si="4"/>
        <v>3457</v>
      </c>
      <c r="P293" s="30"/>
      <c r="AA293" s="1"/>
    </row>
    <row r="294" spans="1:27" ht="14.4">
      <c r="A294" s="1" t="s">
        <v>333</v>
      </c>
      <c r="B294" s="1" t="s">
        <v>31</v>
      </c>
      <c r="C294" s="3">
        <v>45765</v>
      </c>
      <c r="D294" s="1" t="s">
        <v>57</v>
      </c>
      <c r="E294" s="1" t="s">
        <v>51</v>
      </c>
      <c r="F294" s="7">
        <v>1265</v>
      </c>
      <c r="G294" s="7">
        <v>230</v>
      </c>
      <c r="H294" s="7">
        <v>364</v>
      </c>
      <c r="I294" s="7">
        <v>41312</v>
      </c>
      <c r="J294" s="7">
        <v>50382</v>
      </c>
      <c r="K294" s="7">
        <v>106</v>
      </c>
      <c r="L294" s="1" t="s">
        <v>58</v>
      </c>
      <c r="M294" s="1" t="s">
        <v>59</v>
      </c>
      <c r="N294" s="8">
        <f t="shared" si="4"/>
        <v>1859</v>
      </c>
      <c r="P294" s="30"/>
      <c r="AA294" s="1"/>
    </row>
    <row r="295" spans="1:27" ht="14.4">
      <c r="A295" s="1" t="s">
        <v>334</v>
      </c>
      <c r="B295" s="1" t="s">
        <v>14</v>
      </c>
      <c r="C295" s="3">
        <v>45653</v>
      </c>
      <c r="D295" s="1" t="s">
        <v>15</v>
      </c>
      <c r="E295" s="1" t="s">
        <v>49</v>
      </c>
      <c r="F295" s="7">
        <v>1436</v>
      </c>
      <c r="G295" s="7">
        <v>219</v>
      </c>
      <c r="H295" s="7">
        <v>229</v>
      </c>
      <c r="I295" s="7">
        <v>58488</v>
      </c>
      <c r="J295" s="7">
        <v>24314</v>
      </c>
      <c r="K295" s="7">
        <v>147</v>
      </c>
      <c r="L295" s="1" t="s">
        <v>21</v>
      </c>
      <c r="M295" s="1" t="s">
        <v>22</v>
      </c>
      <c r="N295" s="8">
        <f t="shared" si="4"/>
        <v>1884</v>
      </c>
      <c r="P295" s="30"/>
      <c r="AA295" s="1"/>
    </row>
    <row r="296" spans="1:27" ht="14.4">
      <c r="A296" s="1" t="s">
        <v>335</v>
      </c>
      <c r="B296" s="1" t="s">
        <v>14</v>
      </c>
      <c r="C296" s="3">
        <v>45724</v>
      </c>
      <c r="D296" s="1" t="s">
        <v>25</v>
      </c>
      <c r="E296" s="1" t="s">
        <v>41</v>
      </c>
      <c r="F296" s="7">
        <v>2244</v>
      </c>
      <c r="G296" s="7">
        <v>392</v>
      </c>
      <c r="H296" s="7">
        <v>231</v>
      </c>
      <c r="I296" s="7">
        <v>25834</v>
      </c>
      <c r="J296" s="7">
        <v>50906</v>
      </c>
      <c r="K296" s="7">
        <v>165</v>
      </c>
      <c r="L296" s="1" t="s">
        <v>42</v>
      </c>
      <c r="M296" s="1" t="s">
        <v>55</v>
      </c>
      <c r="N296" s="8">
        <f t="shared" si="4"/>
        <v>2867</v>
      </c>
      <c r="P296" s="30"/>
      <c r="AA296" s="1"/>
    </row>
    <row r="297" spans="1:27" ht="14.4">
      <c r="A297" s="1" t="s">
        <v>336</v>
      </c>
      <c r="B297" s="1" t="s">
        <v>24</v>
      </c>
      <c r="C297" s="3">
        <v>45736</v>
      </c>
      <c r="D297" s="1" t="s">
        <v>25</v>
      </c>
      <c r="E297" s="1" t="s">
        <v>51</v>
      </c>
      <c r="F297" s="7">
        <v>3393</v>
      </c>
      <c r="G297" s="7">
        <v>104</v>
      </c>
      <c r="H297" s="7">
        <v>79</v>
      </c>
      <c r="I297" s="7">
        <v>30025</v>
      </c>
      <c r="J297" s="7">
        <v>21593</v>
      </c>
      <c r="K297" s="7">
        <v>165</v>
      </c>
      <c r="L297" s="1" t="s">
        <v>27</v>
      </c>
      <c r="M297" s="1" t="s">
        <v>18</v>
      </c>
      <c r="N297" s="8">
        <f t="shared" si="4"/>
        <v>3576</v>
      </c>
      <c r="P297" s="30"/>
      <c r="AA297" s="1"/>
    </row>
    <row r="298" spans="1:27" ht="14.4">
      <c r="A298" s="1" t="s">
        <v>337</v>
      </c>
      <c r="B298" s="1" t="s">
        <v>24</v>
      </c>
      <c r="C298" s="3">
        <v>45612</v>
      </c>
      <c r="D298" s="1" t="s">
        <v>15</v>
      </c>
      <c r="E298" s="1" t="s">
        <v>20</v>
      </c>
      <c r="F298" s="7">
        <v>2901</v>
      </c>
      <c r="G298" s="7">
        <v>108</v>
      </c>
      <c r="H298" s="7">
        <v>86</v>
      </c>
      <c r="I298" s="7">
        <v>51777</v>
      </c>
      <c r="J298" s="7">
        <v>23773</v>
      </c>
      <c r="K298" s="7">
        <v>160</v>
      </c>
      <c r="L298" s="1" t="s">
        <v>45</v>
      </c>
      <c r="M298" s="1" t="s">
        <v>22</v>
      </c>
      <c r="N298" s="8">
        <f t="shared" si="4"/>
        <v>3095</v>
      </c>
      <c r="P298" s="30"/>
      <c r="AA298" s="1"/>
    </row>
    <row r="299" spans="1:27" ht="14.4">
      <c r="A299" s="1" t="s">
        <v>338</v>
      </c>
      <c r="B299" s="1" t="s">
        <v>24</v>
      </c>
      <c r="C299" s="3">
        <v>45838</v>
      </c>
      <c r="D299" s="1" t="s">
        <v>15</v>
      </c>
      <c r="E299" s="1" t="s">
        <v>35</v>
      </c>
      <c r="F299" s="7">
        <v>2275</v>
      </c>
      <c r="G299" s="7">
        <v>285</v>
      </c>
      <c r="H299" s="7">
        <v>125</v>
      </c>
      <c r="I299" s="7">
        <v>43970</v>
      </c>
      <c r="J299" s="7">
        <v>74761</v>
      </c>
      <c r="K299" s="7">
        <v>83</v>
      </c>
      <c r="L299" s="1" t="s">
        <v>42</v>
      </c>
      <c r="M299" s="1" t="s">
        <v>18</v>
      </c>
      <c r="N299" s="8">
        <f t="shared" si="4"/>
        <v>2685</v>
      </c>
      <c r="P299" s="30"/>
      <c r="AA299" s="1"/>
    </row>
    <row r="300" spans="1:27" ht="14.4">
      <c r="A300" s="1" t="s">
        <v>339</v>
      </c>
      <c r="B300" s="1" t="s">
        <v>24</v>
      </c>
      <c r="C300" s="3">
        <v>45303</v>
      </c>
      <c r="D300" s="1" t="s">
        <v>25</v>
      </c>
      <c r="E300" s="1" t="s">
        <v>29</v>
      </c>
      <c r="F300" s="7">
        <v>2227</v>
      </c>
      <c r="G300" s="7">
        <v>494</v>
      </c>
      <c r="H300" s="7">
        <v>161</v>
      </c>
      <c r="I300" s="7">
        <v>51651</v>
      </c>
      <c r="J300" s="7">
        <v>68074</v>
      </c>
      <c r="K300" s="7">
        <v>240</v>
      </c>
      <c r="L300" s="1" t="s">
        <v>39</v>
      </c>
      <c r="M300" s="1" t="s">
        <v>18</v>
      </c>
      <c r="N300" s="8">
        <f t="shared" si="4"/>
        <v>2882</v>
      </c>
      <c r="P300" s="30"/>
      <c r="AA300" s="1"/>
    </row>
    <row r="301" spans="1:27" ht="14.4">
      <c r="A301" s="1" t="s">
        <v>340</v>
      </c>
      <c r="B301" s="1" t="s">
        <v>14</v>
      </c>
      <c r="C301" s="3">
        <v>45329</v>
      </c>
      <c r="D301" s="1" t="s">
        <v>15</v>
      </c>
      <c r="E301" s="1" t="s">
        <v>32</v>
      </c>
      <c r="F301" s="7">
        <v>1883</v>
      </c>
      <c r="G301" s="7">
        <v>432</v>
      </c>
      <c r="H301" s="7">
        <v>397</v>
      </c>
      <c r="I301" s="7">
        <v>28759</v>
      </c>
      <c r="J301" s="7">
        <v>18691</v>
      </c>
      <c r="K301" s="7">
        <v>270</v>
      </c>
      <c r="L301" s="1" t="s">
        <v>17</v>
      </c>
      <c r="M301" s="1" t="s">
        <v>18</v>
      </c>
      <c r="N301" s="8">
        <f t="shared" si="4"/>
        <v>2712</v>
      </c>
      <c r="P301" s="30"/>
      <c r="AA301" s="1"/>
    </row>
    <row r="302" spans="1:27" ht="14.4">
      <c r="P302" s="30"/>
    </row>
    <row r="303" spans="1:27" ht="14.4">
      <c r="N303" s="1"/>
      <c r="O303" s="1"/>
      <c r="P303" s="30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7" ht="14.4">
      <c r="N304" s="1"/>
      <c r="O304" s="1"/>
      <c r="P304" s="30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4:26" ht="14.4">
      <c r="N305" s="1"/>
      <c r="O305" s="1"/>
      <c r="P305" s="30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4:26" ht="14.4">
      <c r="N306" s="1"/>
      <c r="O306" s="1"/>
      <c r="P306" s="30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4:26" ht="14.4">
      <c r="N307" s="1"/>
      <c r="O307" s="1"/>
      <c r="P307" s="30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4:26" ht="14.4">
      <c r="N308" s="1"/>
      <c r="O308" s="1"/>
      <c r="P308" s="30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4:26" ht="14.4">
      <c r="N309" s="1"/>
      <c r="O309" s="1"/>
      <c r="P309" s="30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4:26" ht="14.4">
      <c r="N310" s="1"/>
      <c r="O310" s="1"/>
      <c r="P310" s="30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4:26" ht="14.4">
      <c r="N311" s="1"/>
      <c r="O311" s="1"/>
      <c r="P311" s="30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4:26" ht="14.4">
      <c r="N312" s="1"/>
      <c r="O312" s="1"/>
      <c r="P312" s="30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4:26" ht="14.4">
      <c r="N313" s="1"/>
      <c r="O313" s="1"/>
      <c r="P313" s="30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4:26" ht="14.4">
      <c r="N314" s="1"/>
      <c r="O314" s="1"/>
      <c r="P314" s="30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4:26" ht="14.4">
      <c r="N315" s="1"/>
      <c r="O315" s="1"/>
      <c r="P315" s="30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4:26" ht="14.4">
      <c r="N316" s="1"/>
      <c r="O316" s="1"/>
      <c r="P316" s="30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4:26" ht="14.4">
      <c r="N317" s="1"/>
      <c r="O317" s="1"/>
      <c r="P317" s="30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4:26" ht="14.4">
      <c r="N318" s="1"/>
      <c r="O318" s="1"/>
      <c r="P318" s="30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4:26" ht="14.4">
      <c r="N319" s="1"/>
      <c r="O319" s="1"/>
      <c r="P319" s="30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4:26" ht="14.4">
      <c r="N320" s="1"/>
      <c r="O320" s="1"/>
      <c r="P320" s="30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4:26" ht="14.4">
      <c r="N321" s="1"/>
      <c r="O321" s="1"/>
      <c r="P321" s="30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4:26" ht="14.4">
      <c r="N322" s="1"/>
      <c r="O322" s="1"/>
      <c r="P322" s="30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4:26" ht="14.4">
      <c r="N323" s="1"/>
      <c r="O323" s="1"/>
      <c r="P323" s="30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4:26" ht="14.4">
      <c r="N324" s="1"/>
      <c r="O324" s="1"/>
      <c r="P324" s="30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4:26" ht="14.4">
      <c r="N325" s="1"/>
      <c r="O325" s="1"/>
      <c r="P325" s="30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4:26" ht="14.4">
      <c r="N326" s="1"/>
      <c r="O326" s="1"/>
      <c r="P326" s="30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4:26" ht="14.4">
      <c r="N327" s="1"/>
      <c r="O327" s="1"/>
      <c r="P327" s="30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4:26" ht="14.4">
      <c r="N328" s="1"/>
      <c r="O328" s="1"/>
      <c r="P328" s="30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4:26" ht="14.4">
      <c r="N329" s="1"/>
      <c r="O329" s="1"/>
      <c r="P329" s="30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4:26" ht="14.4">
      <c r="N330" s="1"/>
      <c r="O330" s="1"/>
      <c r="P330" s="30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4:26" ht="14.4">
      <c r="N331" s="1"/>
      <c r="O331" s="1"/>
      <c r="P331" s="30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4:26" ht="14.4">
      <c r="N332" s="1"/>
      <c r="O332" s="1"/>
      <c r="P332" s="30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4:26" ht="14.4">
      <c r="N333" s="1"/>
      <c r="O333" s="1"/>
      <c r="P333" s="30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4:26" ht="14.4">
      <c r="N334" s="1"/>
      <c r="O334" s="1"/>
      <c r="P334" s="30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4:26" ht="14.4">
      <c r="N335" s="1"/>
      <c r="O335" s="1"/>
      <c r="P335" s="30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4:26" ht="14.4">
      <c r="N336" s="1"/>
      <c r="O336" s="1"/>
      <c r="P336" s="30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4:26" ht="14.4">
      <c r="N337" s="1"/>
      <c r="O337" s="1"/>
      <c r="P337" s="30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4:26" ht="14.4">
      <c r="N338" s="1"/>
      <c r="O338" s="1"/>
      <c r="P338" s="30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4:26" ht="14.4">
      <c r="N339" s="1"/>
      <c r="O339" s="1"/>
      <c r="P339" s="30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4:26" ht="14.4">
      <c r="N340" s="1"/>
      <c r="O340" s="1"/>
      <c r="P340" s="30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4:26" ht="14.4">
      <c r="N341" s="1"/>
      <c r="O341" s="1"/>
      <c r="P341" s="30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4:26" ht="14.4">
      <c r="N342" s="1"/>
      <c r="O342" s="1"/>
      <c r="P342" s="30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4:26" ht="14.4">
      <c r="N343" s="1"/>
      <c r="O343" s="1"/>
      <c r="P343" s="30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4:26" ht="14.4">
      <c r="N344" s="1"/>
      <c r="O344" s="1"/>
      <c r="P344" s="30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4:26" ht="14.4">
      <c r="N345" s="1"/>
      <c r="O345" s="1"/>
      <c r="P345" s="30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4:26" ht="14.4">
      <c r="N346" s="1"/>
      <c r="O346" s="1"/>
      <c r="P346" s="30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4:26" ht="14.4">
      <c r="N347" s="1"/>
      <c r="O347" s="1"/>
      <c r="P347" s="30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4:26" ht="14.4">
      <c r="N348" s="1"/>
      <c r="O348" s="1"/>
      <c r="P348" s="30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4:26" ht="14.4">
      <c r="N349" s="1"/>
      <c r="O349" s="1"/>
      <c r="P349" s="30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4:26" ht="14.4">
      <c r="N350" s="1"/>
      <c r="O350" s="1"/>
      <c r="P350" s="30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4:26" ht="14.4">
      <c r="N351" s="1"/>
      <c r="O351" s="1"/>
      <c r="P351" s="30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4:26" ht="14.4">
      <c r="N352" s="1"/>
      <c r="O352" s="1"/>
      <c r="P352" s="30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4:26" ht="14.4">
      <c r="N353" s="1"/>
      <c r="O353" s="1"/>
      <c r="P353" s="30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4:26" ht="14.4">
      <c r="N354" s="1"/>
      <c r="O354" s="1"/>
      <c r="P354" s="30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4:26" ht="14.4">
      <c r="N355" s="1"/>
      <c r="O355" s="1"/>
      <c r="P355" s="30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4:26" ht="14.4">
      <c r="N356" s="1"/>
      <c r="O356" s="1"/>
      <c r="P356" s="30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4:26" ht="14.4">
      <c r="N357" s="1"/>
      <c r="O357" s="1"/>
      <c r="P357" s="30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4:26" ht="14.4">
      <c r="N358" s="1"/>
      <c r="O358" s="1"/>
      <c r="P358" s="30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4:26" ht="14.4">
      <c r="N359" s="1"/>
      <c r="O359" s="1"/>
      <c r="P359" s="30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4:26" ht="14.4">
      <c r="N360" s="1"/>
      <c r="O360" s="1"/>
      <c r="P360" s="30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4:26" ht="14.4">
      <c r="N361" s="1"/>
      <c r="O361" s="1"/>
      <c r="P361" s="30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4:26" ht="14.4">
      <c r="N362" s="1"/>
      <c r="O362" s="1"/>
      <c r="P362" s="30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4:26" ht="14.4">
      <c r="N363" s="1"/>
      <c r="O363" s="1"/>
      <c r="P363" s="30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4:26" ht="14.4">
      <c r="N364" s="1"/>
      <c r="O364" s="1"/>
      <c r="P364" s="30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4:26" ht="14.4">
      <c r="N365" s="1"/>
      <c r="O365" s="1"/>
      <c r="P365" s="30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4:26" ht="14.4">
      <c r="N366" s="1"/>
      <c r="O366" s="1"/>
      <c r="P366" s="30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4:26" ht="14.4">
      <c r="N367" s="1"/>
      <c r="O367" s="1"/>
      <c r="P367" s="30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4:26" ht="14.4">
      <c r="N368" s="1"/>
      <c r="O368" s="1"/>
      <c r="P368" s="30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4:26" ht="14.4">
      <c r="N369" s="1"/>
      <c r="O369" s="1"/>
      <c r="P369" s="30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4:26" ht="14.4">
      <c r="N370" s="1"/>
      <c r="O370" s="1"/>
      <c r="P370" s="30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4:26" ht="14.4">
      <c r="N371" s="1"/>
      <c r="O371" s="1"/>
      <c r="P371" s="30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4:26" ht="14.4">
      <c r="N372" s="1"/>
      <c r="O372" s="1"/>
      <c r="P372" s="30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4:26" ht="14.4">
      <c r="N373" s="1"/>
      <c r="O373" s="1"/>
      <c r="P373" s="30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4:26" ht="14.4">
      <c r="N374" s="1"/>
      <c r="O374" s="1"/>
      <c r="P374" s="30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4:26" ht="14.4">
      <c r="N375" s="1"/>
      <c r="O375" s="1"/>
      <c r="P375" s="30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4:26" ht="14.4">
      <c r="N376" s="1"/>
      <c r="O376" s="1"/>
      <c r="P376" s="30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4:26" ht="14.4">
      <c r="N377" s="1"/>
      <c r="O377" s="1"/>
      <c r="P377" s="30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4:26" ht="14.4">
      <c r="N378" s="1"/>
      <c r="O378" s="1"/>
      <c r="P378" s="30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4:26" ht="14.4">
      <c r="N379" s="1"/>
      <c r="O379" s="1"/>
      <c r="P379" s="30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4:26" ht="14.4">
      <c r="N380" s="1"/>
      <c r="O380" s="1"/>
      <c r="P380" s="30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4:26" ht="14.4">
      <c r="N381" s="1"/>
      <c r="O381" s="1"/>
      <c r="P381" s="30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4:26" ht="14.4">
      <c r="N382" s="1"/>
      <c r="O382" s="1"/>
      <c r="P382" s="30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4:26" ht="14.4">
      <c r="N383" s="1"/>
      <c r="O383" s="1"/>
      <c r="P383" s="30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4:26" ht="14.4">
      <c r="N384" s="1"/>
      <c r="O384" s="1"/>
      <c r="P384" s="30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4:26" ht="14.4">
      <c r="N385" s="1"/>
      <c r="O385" s="1"/>
      <c r="P385" s="30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4:26" ht="14.4">
      <c r="N386" s="1"/>
      <c r="O386" s="1"/>
      <c r="P386" s="30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4:26" ht="14.4">
      <c r="N387" s="1"/>
      <c r="O387" s="1"/>
      <c r="P387" s="30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4:26" ht="14.4">
      <c r="N388" s="1"/>
      <c r="O388" s="1"/>
      <c r="P388" s="30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4:26" ht="14.4">
      <c r="N389" s="1"/>
      <c r="O389" s="1"/>
      <c r="P389" s="30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4:26" ht="14.4">
      <c r="N390" s="1"/>
      <c r="O390" s="1"/>
      <c r="P390" s="30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4:26" ht="14.4">
      <c r="N391" s="1"/>
      <c r="O391" s="1"/>
      <c r="P391" s="30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4:26" ht="14.4">
      <c r="N392" s="1"/>
      <c r="O392" s="1"/>
      <c r="P392" s="30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4:26" ht="14.4">
      <c r="N393" s="1"/>
      <c r="O393" s="1"/>
      <c r="P393" s="30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4:26" ht="14.4">
      <c r="N394" s="1"/>
      <c r="O394" s="1"/>
      <c r="P394" s="30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4:26" ht="14.4">
      <c r="N395" s="1"/>
      <c r="O395" s="1"/>
      <c r="P395" s="30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4:26" ht="14.4">
      <c r="N396" s="1"/>
      <c r="O396" s="1"/>
      <c r="P396" s="30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4:26" ht="14.4">
      <c r="N397" s="1"/>
      <c r="O397" s="1"/>
      <c r="P397" s="30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4:26" ht="14.4">
      <c r="N398" s="1"/>
      <c r="O398" s="1"/>
      <c r="P398" s="30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4:26" ht="14.4">
      <c r="N399" s="1"/>
      <c r="O399" s="1"/>
      <c r="P399" s="30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4:26" ht="14.4">
      <c r="N400" s="1"/>
      <c r="O400" s="1"/>
      <c r="P400" s="30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4:26" ht="14.4">
      <c r="N401" s="1"/>
      <c r="O401" s="1"/>
      <c r="P401" s="30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4:26" ht="14.4">
      <c r="N402" s="1"/>
      <c r="O402" s="1"/>
      <c r="P402" s="30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4:26" ht="14.4">
      <c r="N403" s="1"/>
      <c r="O403" s="1"/>
      <c r="P403" s="30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4:26" ht="14.4">
      <c r="N404" s="1"/>
      <c r="O404" s="1"/>
      <c r="P404" s="30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4:26" ht="14.4">
      <c r="N405" s="1"/>
      <c r="O405" s="1"/>
      <c r="P405" s="30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4:26" ht="14.4">
      <c r="N406" s="1"/>
      <c r="O406" s="1"/>
      <c r="P406" s="30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4:26" ht="14.4">
      <c r="N407" s="1"/>
      <c r="O407" s="1"/>
      <c r="P407" s="30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4:26" ht="14.4">
      <c r="N408" s="1"/>
      <c r="O408" s="1"/>
      <c r="P408" s="30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4:26" ht="14.4">
      <c r="N409" s="1"/>
      <c r="O409" s="1"/>
      <c r="P409" s="30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4:26" ht="14.4">
      <c r="N410" s="1"/>
      <c r="O410" s="1"/>
      <c r="P410" s="30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4:26" ht="14.4">
      <c r="N411" s="1"/>
      <c r="O411" s="1"/>
      <c r="P411" s="30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4:26" ht="14.4">
      <c r="N412" s="1"/>
      <c r="O412" s="1"/>
      <c r="P412" s="30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4:26" ht="14.4">
      <c r="P413" s="30"/>
    </row>
    <row r="414" spans="14:26" ht="14.4">
      <c r="P414" s="30"/>
    </row>
    <row r="415" spans="14:26" ht="14.4">
      <c r="P415" s="30"/>
    </row>
    <row r="416" spans="14:26" ht="14.4">
      <c r="P416" s="30"/>
    </row>
    <row r="417" spans="16:16" ht="14.4">
      <c r="P417" s="30"/>
    </row>
    <row r="418" spans="16:16" ht="14.4">
      <c r="P418" s="30"/>
    </row>
    <row r="419" spans="16:16" ht="14.4">
      <c r="P419" s="30"/>
    </row>
    <row r="420" spans="16:16" ht="14.4">
      <c r="P420" s="30"/>
    </row>
    <row r="421" spans="16:16" ht="14.4">
      <c r="P421" s="30"/>
    </row>
    <row r="422" spans="16:16" ht="14.4">
      <c r="P422" s="30"/>
    </row>
    <row r="423" spans="16:16" ht="14.4">
      <c r="P423" s="30"/>
    </row>
    <row r="424" spans="16:16" ht="14.4">
      <c r="P424" s="30"/>
    </row>
    <row r="425" spans="16:16" ht="14.4">
      <c r="P425" s="30"/>
    </row>
    <row r="426" spans="16:16" ht="14.4">
      <c r="P426" s="30"/>
    </row>
    <row r="427" spans="16:16" ht="14.4">
      <c r="P427" s="30"/>
    </row>
    <row r="428" spans="16:16" ht="14.4">
      <c r="P428" s="30"/>
    </row>
    <row r="429" spans="16:16" ht="14.4">
      <c r="P429" s="30"/>
    </row>
    <row r="430" spans="16:16" ht="14.4">
      <c r="P430" s="30"/>
    </row>
    <row r="431" spans="16:16" ht="14.4">
      <c r="P431" s="30"/>
    </row>
    <row r="432" spans="16:16" ht="14.4">
      <c r="P432" s="30"/>
    </row>
    <row r="433" spans="16:16" ht="14.4">
      <c r="P433" s="30"/>
    </row>
    <row r="434" spans="16:16" ht="14.4">
      <c r="P434" s="30"/>
    </row>
    <row r="435" spans="16:16" ht="14.4">
      <c r="P435" s="30"/>
    </row>
    <row r="436" spans="16:16" ht="14.4">
      <c r="P436" s="30"/>
    </row>
    <row r="437" spans="16:16" ht="14.4">
      <c r="P437" s="30"/>
    </row>
    <row r="438" spans="16:16" ht="14.4">
      <c r="P438" s="30"/>
    </row>
    <row r="439" spans="16:16" ht="14.4">
      <c r="P439" s="30"/>
    </row>
    <row r="440" spans="16:16" ht="14.4">
      <c r="P440" s="30"/>
    </row>
    <row r="441" spans="16:16" ht="14.4">
      <c r="P441" s="30"/>
    </row>
    <row r="442" spans="16:16" ht="14.4">
      <c r="P442" s="30"/>
    </row>
    <row r="443" spans="16:16" ht="14.4">
      <c r="P443" s="30"/>
    </row>
    <row r="444" spans="16:16" ht="14.4">
      <c r="P444" s="30"/>
    </row>
    <row r="445" spans="16:16" ht="14.4">
      <c r="P445" s="30"/>
    </row>
    <row r="446" spans="16:16" ht="14.4">
      <c r="P446" s="30"/>
    </row>
    <row r="447" spans="16:16" ht="14.4">
      <c r="P447" s="30"/>
    </row>
    <row r="448" spans="16:16" ht="14.4">
      <c r="P448" s="30"/>
    </row>
    <row r="449" spans="16:16" ht="14.4">
      <c r="P449" s="30"/>
    </row>
    <row r="450" spans="16:16" ht="14.4">
      <c r="P450" s="30"/>
    </row>
    <row r="451" spans="16:16" ht="14.4">
      <c r="P451" s="30"/>
    </row>
    <row r="452" spans="16:16" ht="14.4">
      <c r="P452" s="30"/>
    </row>
    <row r="453" spans="16:16" ht="14.4">
      <c r="P453" s="30"/>
    </row>
    <row r="454" spans="16:16" ht="14.4">
      <c r="P454" s="30"/>
    </row>
    <row r="455" spans="16:16" ht="14.4">
      <c r="P455" s="30"/>
    </row>
    <row r="456" spans="16:16" ht="14.4">
      <c r="P456" s="30"/>
    </row>
    <row r="457" spans="16:16" ht="14.4">
      <c r="P457" s="30"/>
    </row>
    <row r="458" spans="16:16" ht="14.4">
      <c r="P458" s="30"/>
    </row>
    <row r="459" spans="16:16" ht="14.4">
      <c r="P459" s="30"/>
    </row>
    <row r="460" spans="16:16" ht="14.4">
      <c r="P460" s="30"/>
    </row>
    <row r="461" spans="16:16" ht="14.4">
      <c r="P461" s="30"/>
    </row>
    <row r="462" spans="16:16" ht="14.4">
      <c r="P462" s="30"/>
    </row>
    <row r="463" spans="16:16" ht="14.4">
      <c r="P463" s="30"/>
    </row>
    <row r="464" spans="16:16" ht="14.4">
      <c r="P464" s="30"/>
    </row>
    <row r="465" spans="16:16" ht="14.4">
      <c r="P465" s="30"/>
    </row>
    <row r="466" spans="16:16" ht="14.4">
      <c r="P466" s="30"/>
    </row>
    <row r="467" spans="16:16" ht="14.4">
      <c r="P467" s="30"/>
    </row>
    <row r="468" spans="16:16" ht="14.4">
      <c r="P468" s="30"/>
    </row>
    <row r="469" spans="16:16" ht="14.4">
      <c r="P469" s="30"/>
    </row>
    <row r="470" spans="16:16" ht="14.4">
      <c r="P470" s="30"/>
    </row>
    <row r="471" spans="16:16" ht="14.4">
      <c r="P471" s="30"/>
    </row>
    <row r="472" spans="16:16" ht="14.4">
      <c r="P472" s="30"/>
    </row>
    <row r="473" spans="16:16" ht="14.4">
      <c r="P473" s="30"/>
    </row>
    <row r="474" spans="16:16" ht="14.4">
      <c r="P474" s="30"/>
    </row>
    <row r="475" spans="16:16" ht="14.4">
      <c r="P475" s="30"/>
    </row>
    <row r="476" spans="16:16" ht="14.4">
      <c r="P476" s="30"/>
    </row>
    <row r="477" spans="16:16" ht="14.4">
      <c r="P477" s="30"/>
    </row>
    <row r="478" spans="16:16" ht="14.4">
      <c r="P478" s="30"/>
    </row>
    <row r="479" spans="16:16" ht="14.4">
      <c r="P479" s="30"/>
    </row>
    <row r="480" spans="16:16" ht="14.4">
      <c r="P480" s="30"/>
    </row>
    <row r="481" spans="16:16" ht="14.4">
      <c r="P481" s="30"/>
    </row>
    <row r="482" spans="16:16" ht="14.4">
      <c r="P482" s="30"/>
    </row>
    <row r="483" spans="16:16" ht="14.4">
      <c r="P483" s="30"/>
    </row>
    <row r="484" spans="16:16" ht="14.4">
      <c r="P484" s="30"/>
    </row>
    <row r="485" spans="16:16" ht="14.4">
      <c r="P485" s="30"/>
    </row>
    <row r="486" spans="16:16" ht="14.4">
      <c r="P486" s="30"/>
    </row>
    <row r="487" spans="16:16" ht="14.4">
      <c r="P487" s="30"/>
    </row>
    <row r="488" spans="16:16" ht="14.4">
      <c r="P488" s="30"/>
    </row>
    <row r="489" spans="16:16" ht="14.4">
      <c r="P489" s="30"/>
    </row>
    <row r="490" spans="16:16" ht="14.4">
      <c r="P490" s="30"/>
    </row>
    <row r="491" spans="16:16" ht="14.4">
      <c r="P491" s="30"/>
    </row>
    <row r="492" spans="16:16" ht="14.4">
      <c r="P492" s="30"/>
    </row>
    <row r="493" spans="16:16" ht="14.4">
      <c r="P493" s="30"/>
    </row>
    <row r="494" spans="16:16" ht="14.4">
      <c r="P494" s="30"/>
    </row>
    <row r="495" spans="16:16" ht="14.4">
      <c r="P495" s="30"/>
    </row>
    <row r="496" spans="16:16" ht="14.4">
      <c r="P496" s="30"/>
    </row>
    <row r="497" spans="16:16" ht="14.4">
      <c r="P497" s="30"/>
    </row>
    <row r="498" spans="16:16" ht="14.4">
      <c r="P498" s="30"/>
    </row>
    <row r="499" spans="16:16" ht="14.4">
      <c r="P499" s="30"/>
    </row>
    <row r="500" spans="16:16" ht="14.4">
      <c r="P500" s="30"/>
    </row>
    <row r="501" spans="16:16" ht="14.4">
      <c r="P501" s="30"/>
    </row>
    <row r="502" spans="16:16" ht="14.4">
      <c r="P502" s="30"/>
    </row>
    <row r="503" spans="16:16" ht="14.4">
      <c r="P503" s="30"/>
    </row>
    <row r="504" spans="16:16" ht="14.4">
      <c r="P504" s="30"/>
    </row>
    <row r="505" spans="16:16" ht="14.4">
      <c r="P505" s="30"/>
    </row>
    <row r="506" spans="16:16" ht="14.4">
      <c r="P506" s="30"/>
    </row>
    <row r="507" spans="16:16" ht="14.4">
      <c r="P507" s="30"/>
    </row>
    <row r="508" spans="16:16" ht="14.4">
      <c r="P508" s="30"/>
    </row>
    <row r="509" spans="16:16" ht="14.4">
      <c r="P509" s="30"/>
    </row>
    <row r="510" spans="16:16" ht="14.4">
      <c r="P510" s="30"/>
    </row>
    <row r="511" spans="16:16" ht="14.4">
      <c r="P511" s="30"/>
    </row>
    <row r="512" spans="16:16" ht="14.4">
      <c r="P512" s="30"/>
    </row>
    <row r="513" spans="16:16" ht="14.4">
      <c r="P513" s="30"/>
    </row>
    <row r="514" spans="16:16" ht="14.4">
      <c r="P514" s="30"/>
    </row>
    <row r="515" spans="16:16" ht="14.4">
      <c r="P515" s="30"/>
    </row>
    <row r="516" spans="16:16" ht="14.4">
      <c r="P516" s="30"/>
    </row>
    <row r="517" spans="16:16" ht="14.4">
      <c r="P517" s="30"/>
    </row>
    <row r="518" spans="16:16" ht="14.4">
      <c r="P518" s="30"/>
    </row>
    <row r="519" spans="16:16" ht="14.4">
      <c r="P519" s="30"/>
    </row>
    <row r="520" spans="16:16" ht="14.4">
      <c r="P520" s="30"/>
    </row>
    <row r="521" spans="16:16" ht="14.4">
      <c r="P521" s="30"/>
    </row>
    <row r="522" spans="16:16" ht="14.4">
      <c r="P522" s="30"/>
    </row>
    <row r="523" spans="16:16" ht="14.4">
      <c r="P523" s="30"/>
    </row>
    <row r="524" spans="16:16" ht="14.4">
      <c r="P524" s="30"/>
    </row>
    <row r="525" spans="16:16" ht="14.4">
      <c r="P525" s="30"/>
    </row>
    <row r="526" spans="16:16" ht="14.4">
      <c r="P526" s="30"/>
    </row>
    <row r="527" spans="16:16" ht="14.4">
      <c r="P527" s="30"/>
    </row>
    <row r="528" spans="16:16" ht="14.4">
      <c r="P528" s="30"/>
    </row>
    <row r="529" spans="16:16" ht="14.4">
      <c r="P529" s="30"/>
    </row>
    <row r="530" spans="16:16" ht="14.4">
      <c r="P530" s="30"/>
    </row>
    <row r="531" spans="16:16" ht="14.4">
      <c r="P531" s="30"/>
    </row>
    <row r="532" spans="16:16" ht="14.4">
      <c r="P532" s="30"/>
    </row>
    <row r="533" spans="16:16" ht="14.4">
      <c r="P533" s="30"/>
    </row>
    <row r="534" spans="16:16" ht="14.4">
      <c r="P534" s="30"/>
    </row>
    <row r="535" spans="16:16" ht="14.4">
      <c r="P535" s="30"/>
    </row>
    <row r="536" spans="16:16" ht="14.4">
      <c r="P536" s="30"/>
    </row>
    <row r="537" spans="16:16" ht="14.4">
      <c r="P537" s="30"/>
    </row>
    <row r="538" spans="16:16" ht="14.4">
      <c r="P538" s="30"/>
    </row>
    <row r="539" spans="16:16" ht="14.4">
      <c r="P539" s="30"/>
    </row>
    <row r="540" spans="16:16" ht="14.4">
      <c r="P540" s="30"/>
    </row>
    <row r="541" spans="16:16" ht="14.4">
      <c r="P541" s="30"/>
    </row>
    <row r="542" spans="16:16" ht="14.4">
      <c r="P542" s="30"/>
    </row>
    <row r="543" spans="16:16" ht="14.4">
      <c r="P543" s="30"/>
    </row>
    <row r="544" spans="16:16" ht="14.4">
      <c r="P544" s="30"/>
    </row>
    <row r="545" spans="16:16" ht="14.4">
      <c r="P545" s="30"/>
    </row>
    <row r="546" spans="16:16" ht="14.4">
      <c r="P546" s="30"/>
    </row>
    <row r="547" spans="16:16" ht="14.4">
      <c r="P547" s="30"/>
    </row>
    <row r="548" spans="16:16" ht="14.4">
      <c r="P548" s="30"/>
    </row>
    <row r="549" spans="16:16" ht="14.4">
      <c r="P549" s="30"/>
    </row>
    <row r="550" spans="16:16" ht="14.4">
      <c r="P550" s="30"/>
    </row>
    <row r="551" spans="16:16" ht="14.4">
      <c r="P551" s="30"/>
    </row>
    <row r="552" spans="16:16" ht="14.4">
      <c r="P552" s="30"/>
    </row>
    <row r="553" spans="16:16" ht="14.4">
      <c r="P553" s="30"/>
    </row>
    <row r="554" spans="16:16" ht="14.4">
      <c r="P554" s="30"/>
    </row>
    <row r="555" spans="16:16" ht="14.4">
      <c r="P555" s="30"/>
    </row>
    <row r="556" spans="16:16" ht="14.4">
      <c r="P556" s="30"/>
    </row>
    <row r="557" spans="16:16" ht="14.4">
      <c r="P557" s="30"/>
    </row>
    <row r="558" spans="16:16" ht="14.4">
      <c r="P558" s="30"/>
    </row>
    <row r="559" spans="16:16" ht="14.4">
      <c r="P559" s="30"/>
    </row>
    <row r="560" spans="16:16" ht="14.4">
      <c r="P560" s="30"/>
    </row>
    <row r="561" spans="16:16" ht="14.4">
      <c r="P561" s="30"/>
    </row>
    <row r="562" spans="16:16" ht="14.4">
      <c r="P562" s="30"/>
    </row>
    <row r="563" spans="16:16" ht="14.4">
      <c r="P563" s="30"/>
    </row>
    <row r="564" spans="16:16" ht="14.4">
      <c r="P564" s="30"/>
    </row>
    <row r="565" spans="16:16" ht="14.4">
      <c r="P565" s="30"/>
    </row>
    <row r="566" spans="16:16" ht="14.4">
      <c r="P566" s="30"/>
    </row>
    <row r="567" spans="16:16" ht="14.4">
      <c r="P567" s="30"/>
    </row>
    <row r="568" spans="16:16" ht="14.4">
      <c r="P568" s="30"/>
    </row>
    <row r="569" spans="16:16" ht="14.4">
      <c r="P569" s="30"/>
    </row>
    <row r="570" spans="16:16" ht="14.4">
      <c r="P570" s="30"/>
    </row>
    <row r="571" spans="16:16" ht="14.4">
      <c r="P571" s="30"/>
    </row>
    <row r="572" spans="16:16" ht="14.4">
      <c r="P572" s="30"/>
    </row>
    <row r="573" spans="16:16" ht="14.4">
      <c r="P573" s="30"/>
    </row>
    <row r="574" spans="16:16" ht="14.4">
      <c r="P574" s="30"/>
    </row>
    <row r="575" spans="16:16" ht="14.4">
      <c r="P575" s="30"/>
    </row>
    <row r="576" spans="16:16" ht="14.4">
      <c r="P576" s="30"/>
    </row>
    <row r="577" spans="16:16" ht="14.4">
      <c r="P577" s="30"/>
    </row>
    <row r="578" spans="16:16" ht="14.4">
      <c r="P578" s="30"/>
    </row>
    <row r="579" spans="16:16" ht="14.4">
      <c r="P579" s="30"/>
    </row>
    <row r="580" spans="16:16" ht="14.4">
      <c r="P580" s="30"/>
    </row>
    <row r="581" spans="16:16" ht="14.4">
      <c r="P581" s="30"/>
    </row>
    <row r="582" spans="16:16" ht="14.4">
      <c r="P582" s="30"/>
    </row>
    <row r="583" spans="16:16" ht="14.4">
      <c r="P583" s="30"/>
    </row>
    <row r="584" spans="16:16" ht="14.4">
      <c r="P584" s="30"/>
    </row>
    <row r="585" spans="16:16" ht="14.4">
      <c r="P585" s="30"/>
    </row>
    <row r="586" spans="16:16" ht="14.4">
      <c r="P586" s="30"/>
    </row>
    <row r="587" spans="16:16" ht="14.4">
      <c r="P587" s="30"/>
    </row>
    <row r="588" spans="16:16" ht="14.4">
      <c r="P588" s="30"/>
    </row>
    <row r="589" spans="16:16" ht="14.4">
      <c r="P589" s="30"/>
    </row>
    <row r="590" spans="16:16" ht="14.4">
      <c r="P590" s="30"/>
    </row>
    <row r="591" spans="16:16" ht="14.4">
      <c r="P591" s="30"/>
    </row>
    <row r="592" spans="16:16" ht="14.4">
      <c r="P592" s="30"/>
    </row>
    <row r="593" spans="16:16" ht="14.4">
      <c r="P593" s="30"/>
    </row>
    <row r="594" spans="16:16" ht="14.4">
      <c r="P594" s="30"/>
    </row>
    <row r="595" spans="16:16" ht="14.4">
      <c r="P595" s="30"/>
    </row>
    <row r="596" spans="16:16" ht="14.4">
      <c r="P596" s="30"/>
    </row>
    <row r="597" spans="16:16" ht="14.4">
      <c r="P597" s="30"/>
    </row>
    <row r="598" spans="16:16" ht="14.4">
      <c r="P598" s="30"/>
    </row>
    <row r="599" spans="16:16" ht="14.4">
      <c r="P599" s="30"/>
    </row>
    <row r="600" spans="16:16" ht="14.4">
      <c r="P600" s="30"/>
    </row>
    <row r="601" spans="16:16" ht="14.4">
      <c r="P601" s="30"/>
    </row>
    <row r="602" spans="16:16" ht="14.4">
      <c r="P602" s="30"/>
    </row>
    <row r="603" spans="16:16" ht="14.4">
      <c r="P603" s="30"/>
    </row>
    <row r="604" spans="16:16" ht="14.4">
      <c r="P604" s="30"/>
    </row>
    <row r="605" spans="16:16" ht="14.4">
      <c r="P605" s="30"/>
    </row>
    <row r="606" spans="16:16" ht="14.4">
      <c r="P606" s="30"/>
    </row>
    <row r="607" spans="16:16" ht="14.4">
      <c r="P607" s="30"/>
    </row>
    <row r="608" spans="16:16" ht="14.4">
      <c r="P608" s="30"/>
    </row>
    <row r="609" spans="16:16" ht="14.4">
      <c r="P609" s="30"/>
    </row>
    <row r="610" spans="16:16" ht="14.4">
      <c r="P610" s="30"/>
    </row>
    <row r="611" spans="16:16" ht="14.4">
      <c r="P611" s="30"/>
    </row>
    <row r="612" spans="16:16" ht="14.4">
      <c r="P612" s="30"/>
    </row>
    <row r="613" spans="16:16" ht="14.4">
      <c r="P613" s="30"/>
    </row>
    <row r="614" spans="16:16" ht="14.4">
      <c r="P614" s="30"/>
    </row>
    <row r="615" spans="16:16" ht="14.4">
      <c r="P615" s="30"/>
    </row>
    <row r="616" spans="16:16" ht="14.4">
      <c r="P616" s="30"/>
    </row>
    <row r="617" spans="16:16" ht="14.4">
      <c r="P617" s="30"/>
    </row>
    <row r="618" spans="16:16" ht="14.4">
      <c r="P618" s="30"/>
    </row>
    <row r="619" spans="16:16" ht="14.4">
      <c r="P619" s="30"/>
    </row>
    <row r="620" spans="16:16" ht="14.4">
      <c r="P620" s="30"/>
    </row>
    <row r="621" spans="16:16" ht="14.4">
      <c r="P621" s="30"/>
    </row>
    <row r="622" spans="16:16" ht="14.4">
      <c r="P622" s="30"/>
    </row>
    <row r="623" spans="16:16" ht="14.4">
      <c r="P623" s="30"/>
    </row>
    <row r="624" spans="16:16" ht="14.4">
      <c r="P624" s="30"/>
    </row>
    <row r="625" spans="16:16" ht="14.4">
      <c r="P625" s="30"/>
    </row>
    <row r="626" spans="16:16" ht="14.4">
      <c r="P626" s="30"/>
    </row>
    <row r="627" spans="16:16" ht="14.4">
      <c r="P627" s="30"/>
    </row>
    <row r="628" spans="16:16" ht="14.4">
      <c r="P628" s="30"/>
    </row>
    <row r="629" spans="16:16" ht="14.4">
      <c r="P629" s="30"/>
    </row>
    <row r="630" spans="16:16" ht="14.4">
      <c r="P630" s="30"/>
    </row>
    <row r="631" spans="16:16" ht="14.4">
      <c r="P631" s="30"/>
    </row>
    <row r="632" spans="16:16" ht="14.4">
      <c r="P632" s="30"/>
    </row>
    <row r="633" spans="16:16" ht="14.4">
      <c r="P633" s="30"/>
    </row>
    <row r="634" spans="16:16" ht="14.4">
      <c r="P634" s="30"/>
    </row>
    <row r="635" spans="16:16" ht="14.4">
      <c r="P635" s="30"/>
    </row>
    <row r="636" spans="16:16" ht="14.4">
      <c r="P636" s="30"/>
    </row>
    <row r="637" spans="16:16" ht="14.4">
      <c r="P637" s="30"/>
    </row>
    <row r="638" spans="16:16" ht="14.4">
      <c r="P638" s="30"/>
    </row>
    <row r="639" spans="16:16" ht="14.4">
      <c r="P639" s="30"/>
    </row>
    <row r="640" spans="16:16" ht="14.4">
      <c r="P640" s="30"/>
    </row>
    <row r="641" spans="16:16" ht="14.4">
      <c r="P641" s="30"/>
    </row>
    <row r="642" spans="16:16" ht="14.4">
      <c r="P642" s="30"/>
    </row>
    <row r="643" spans="16:16" ht="14.4">
      <c r="P643" s="30"/>
    </row>
    <row r="644" spans="16:16" ht="14.4">
      <c r="P644" s="30"/>
    </row>
    <row r="645" spans="16:16" ht="14.4">
      <c r="P645" s="30"/>
    </row>
    <row r="646" spans="16:16" ht="14.4">
      <c r="P646" s="30"/>
    </row>
    <row r="647" spans="16:16" ht="14.4">
      <c r="P647" s="30"/>
    </row>
    <row r="648" spans="16:16" ht="14.4">
      <c r="P648" s="30"/>
    </row>
    <row r="649" spans="16:16" ht="14.4">
      <c r="P649" s="30"/>
    </row>
    <row r="650" spans="16:16" ht="14.4">
      <c r="P650" s="30"/>
    </row>
    <row r="651" spans="16:16" ht="14.4">
      <c r="P651" s="30"/>
    </row>
    <row r="652" spans="16:16" ht="14.4">
      <c r="P652" s="30"/>
    </row>
    <row r="653" spans="16:16" ht="14.4">
      <c r="P653" s="30"/>
    </row>
    <row r="654" spans="16:16" ht="14.4">
      <c r="P654" s="30"/>
    </row>
    <row r="655" spans="16:16" ht="14.4">
      <c r="P655" s="30"/>
    </row>
    <row r="656" spans="16:16" ht="14.4">
      <c r="P656" s="30"/>
    </row>
    <row r="657" spans="16:16" ht="14.4">
      <c r="P657" s="30"/>
    </row>
    <row r="658" spans="16:16" ht="14.4">
      <c r="P658" s="30"/>
    </row>
    <row r="659" spans="16:16" ht="14.4">
      <c r="P659" s="30"/>
    </row>
    <row r="660" spans="16:16" ht="14.4">
      <c r="P660" s="30"/>
    </row>
    <row r="661" spans="16:16" ht="14.4">
      <c r="P661" s="30"/>
    </row>
    <row r="662" spans="16:16" ht="14.4">
      <c r="P662" s="30"/>
    </row>
    <row r="663" spans="16:16" ht="14.4">
      <c r="P663" s="30"/>
    </row>
    <row r="664" spans="16:16" ht="14.4">
      <c r="P664" s="30"/>
    </row>
    <row r="665" spans="16:16" ht="14.4">
      <c r="P665" s="30"/>
    </row>
    <row r="666" spans="16:16" ht="14.4">
      <c r="P666" s="30"/>
    </row>
    <row r="667" spans="16:16" ht="14.4">
      <c r="P667" s="30"/>
    </row>
    <row r="668" spans="16:16" ht="14.4">
      <c r="P668" s="30"/>
    </row>
    <row r="669" spans="16:16" ht="14.4">
      <c r="P669" s="30"/>
    </row>
    <row r="670" spans="16:16" ht="14.4">
      <c r="P670" s="30"/>
    </row>
    <row r="671" spans="16:16" ht="14.4">
      <c r="P671" s="30"/>
    </row>
    <row r="672" spans="16:16" ht="14.4">
      <c r="P672" s="30"/>
    </row>
    <row r="673" spans="16:16" ht="14.4">
      <c r="P673" s="30"/>
    </row>
    <row r="674" spans="16:16" ht="14.4">
      <c r="P674" s="30"/>
    </row>
    <row r="675" spans="16:16" ht="14.4">
      <c r="P675" s="30"/>
    </row>
    <row r="676" spans="16:16" ht="14.4">
      <c r="P676" s="30"/>
    </row>
    <row r="677" spans="16:16" ht="14.4">
      <c r="P677" s="30"/>
    </row>
    <row r="678" spans="16:16" ht="14.4">
      <c r="P678" s="30"/>
    </row>
    <row r="679" spans="16:16" ht="14.4">
      <c r="P679" s="30"/>
    </row>
    <row r="680" spans="16:16" ht="14.4">
      <c r="P680" s="30"/>
    </row>
    <row r="681" spans="16:16" ht="14.4">
      <c r="P681" s="30"/>
    </row>
    <row r="682" spans="16:16" ht="14.4">
      <c r="P682" s="30"/>
    </row>
    <row r="683" spans="16:16" ht="14.4">
      <c r="P683" s="30"/>
    </row>
    <row r="684" spans="16:16" ht="14.4">
      <c r="P684" s="30"/>
    </row>
    <row r="685" spans="16:16" ht="14.4">
      <c r="P685" s="30"/>
    </row>
    <row r="686" spans="16:16" ht="14.4">
      <c r="P686" s="30"/>
    </row>
    <row r="687" spans="16:16" ht="14.4">
      <c r="P687" s="30"/>
    </row>
    <row r="688" spans="16:16" ht="14.4">
      <c r="P688" s="30"/>
    </row>
    <row r="689" spans="16:16" ht="14.4">
      <c r="P689" s="30"/>
    </row>
    <row r="690" spans="16:16" ht="14.4">
      <c r="P690" s="30"/>
    </row>
    <row r="691" spans="16:16" ht="14.4">
      <c r="P691" s="30"/>
    </row>
    <row r="692" spans="16:16" ht="14.4">
      <c r="P692" s="30"/>
    </row>
    <row r="693" spans="16:16" ht="14.4">
      <c r="P693" s="30"/>
    </row>
    <row r="694" spans="16:16" ht="14.4">
      <c r="P694" s="30"/>
    </row>
    <row r="695" spans="16:16" ht="14.4">
      <c r="P695" s="30"/>
    </row>
    <row r="696" spans="16:16" ht="14.4">
      <c r="P696" s="30"/>
    </row>
    <row r="697" spans="16:16" ht="14.4">
      <c r="P697" s="30"/>
    </row>
    <row r="698" spans="16:16" ht="14.4">
      <c r="P698" s="30"/>
    </row>
    <row r="699" spans="16:16" ht="14.4">
      <c r="P699" s="30"/>
    </row>
    <row r="700" spans="16:16" ht="14.4">
      <c r="P700" s="30"/>
    </row>
    <row r="701" spans="16:16" ht="14.4">
      <c r="P701" s="30"/>
    </row>
    <row r="702" spans="16:16" ht="14.4">
      <c r="P702" s="30"/>
    </row>
    <row r="703" spans="16:16" ht="14.4">
      <c r="P703" s="30"/>
    </row>
    <row r="704" spans="16:16" ht="14.4">
      <c r="P704" s="30"/>
    </row>
    <row r="705" spans="16:16" ht="14.4">
      <c r="P705" s="30"/>
    </row>
    <row r="706" spans="16:16" ht="14.4">
      <c r="P706" s="30"/>
    </row>
    <row r="707" spans="16:16" ht="14.4">
      <c r="P707" s="30"/>
    </row>
    <row r="708" spans="16:16" ht="14.4">
      <c r="P708" s="30"/>
    </row>
    <row r="709" spans="16:16" ht="14.4">
      <c r="P709" s="30"/>
    </row>
    <row r="710" spans="16:16" ht="14.4">
      <c r="P710" s="30"/>
    </row>
    <row r="711" spans="16:16" ht="14.4">
      <c r="P711" s="30"/>
    </row>
    <row r="712" spans="16:16" ht="14.4">
      <c r="P712" s="30"/>
    </row>
    <row r="713" spans="16:16" ht="14.4">
      <c r="P713" s="30"/>
    </row>
    <row r="714" spans="16:16" ht="14.4">
      <c r="P714" s="30"/>
    </row>
    <row r="715" spans="16:16" ht="14.4">
      <c r="P715" s="30"/>
    </row>
    <row r="716" spans="16:16" ht="14.4">
      <c r="P716" s="30"/>
    </row>
    <row r="717" spans="16:16" ht="14.4">
      <c r="P717" s="30"/>
    </row>
    <row r="718" spans="16:16" ht="14.4">
      <c r="P718" s="30"/>
    </row>
    <row r="719" spans="16:16" ht="14.4">
      <c r="P719" s="30"/>
    </row>
    <row r="720" spans="16:16" ht="14.4">
      <c r="P720" s="30"/>
    </row>
    <row r="721" spans="16:16" ht="14.4">
      <c r="P721" s="30"/>
    </row>
    <row r="722" spans="16:16" ht="14.4">
      <c r="P722" s="30"/>
    </row>
    <row r="723" spans="16:16" ht="14.4">
      <c r="P723" s="30"/>
    </row>
    <row r="724" spans="16:16" ht="14.4">
      <c r="P724" s="30"/>
    </row>
    <row r="725" spans="16:16" ht="14.4">
      <c r="P725" s="30"/>
    </row>
    <row r="726" spans="16:16" ht="14.4">
      <c r="P726" s="30"/>
    </row>
    <row r="727" spans="16:16" ht="14.4">
      <c r="P727" s="30"/>
    </row>
    <row r="728" spans="16:16" ht="14.4">
      <c r="P728" s="30"/>
    </row>
    <row r="729" spans="16:16" ht="14.4">
      <c r="P729" s="30"/>
    </row>
    <row r="730" spans="16:16" ht="14.4">
      <c r="P730" s="30"/>
    </row>
    <row r="731" spans="16:16" ht="14.4">
      <c r="P731" s="30"/>
    </row>
    <row r="732" spans="16:16" ht="14.4">
      <c r="P732" s="30"/>
    </row>
    <row r="733" spans="16:16" ht="14.4">
      <c r="P733" s="30"/>
    </row>
    <row r="734" spans="16:16" ht="14.4">
      <c r="P734" s="30"/>
    </row>
    <row r="735" spans="16:16" ht="14.4">
      <c r="P735" s="30"/>
    </row>
    <row r="736" spans="16:16" ht="14.4">
      <c r="P736" s="30"/>
    </row>
    <row r="737" spans="16:16" ht="14.4">
      <c r="P737" s="30"/>
    </row>
    <row r="738" spans="16:16" ht="14.4">
      <c r="P738" s="30"/>
    </row>
    <row r="739" spans="16:16" ht="14.4">
      <c r="P739" s="30"/>
    </row>
    <row r="740" spans="16:16" ht="14.4">
      <c r="P740" s="30"/>
    </row>
    <row r="741" spans="16:16" ht="14.4">
      <c r="P741" s="30"/>
    </row>
    <row r="742" spans="16:16" ht="14.4">
      <c r="P742" s="30"/>
    </row>
    <row r="743" spans="16:16" ht="14.4">
      <c r="P743" s="30"/>
    </row>
    <row r="744" spans="16:16" ht="14.4">
      <c r="P744" s="30"/>
    </row>
    <row r="745" spans="16:16" ht="14.4">
      <c r="P745" s="30"/>
    </row>
    <row r="746" spans="16:16" ht="14.4">
      <c r="P746" s="30"/>
    </row>
    <row r="747" spans="16:16" ht="14.4">
      <c r="P747" s="30"/>
    </row>
    <row r="748" spans="16:16" ht="14.4">
      <c r="P748" s="30"/>
    </row>
    <row r="749" spans="16:16" ht="14.4">
      <c r="P749" s="30"/>
    </row>
    <row r="750" spans="16:16" ht="14.4">
      <c r="P750" s="30"/>
    </row>
    <row r="751" spans="16:16" ht="14.4">
      <c r="P751" s="30"/>
    </row>
    <row r="752" spans="16:16" ht="14.4">
      <c r="P752" s="30"/>
    </row>
    <row r="753" spans="16:16" ht="14.4">
      <c r="P753" s="30"/>
    </row>
    <row r="754" spans="16:16" ht="14.4">
      <c r="P754" s="30"/>
    </row>
    <row r="755" spans="16:16" ht="14.4">
      <c r="P755" s="30"/>
    </row>
    <row r="756" spans="16:16" ht="14.4">
      <c r="P756" s="30"/>
    </row>
    <row r="757" spans="16:16" ht="14.4">
      <c r="P757" s="30"/>
    </row>
    <row r="758" spans="16:16" ht="14.4">
      <c r="P758" s="30"/>
    </row>
    <row r="759" spans="16:16" ht="14.4">
      <c r="P759" s="30"/>
    </row>
    <row r="760" spans="16:16" ht="14.4">
      <c r="P760" s="30"/>
    </row>
    <row r="761" spans="16:16" ht="14.4">
      <c r="P761" s="30"/>
    </row>
    <row r="762" spans="16:16" ht="14.4">
      <c r="P762" s="30"/>
    </row>
    <row r="763" spans="16:16" ht="14.4">
      <c r="P763" s="30"/>
    </row>
    <row r="764" spans="16:16" ht="14.4">
      <c r="P764" s="30"/>
    </row>
    <row r="765" spans="16:16" ht="14.4">
      <c r="P765" s="30"/>
    </row>
    <row r="766" spans="16:16" ht="14.4">
      <c r="P766" s="30"/>
    </row>
    <row r="767" spans="16:16" ht="14.4">
      <c r="P767" s="30"/>
    </row>
    <row r="768" spans="16:16" ht="14.4">
      <c r="P768" s="30"/>
    </row>
    <row r="769" spans="16:16" ht="14.4">
      <c r="P769" s="30"/>
    </row>
    <row r="770" spans="16:16" ht="14.4">
      <c r="P770" s="30"/>
    </row>
    <row r="771" spans="16:16" ht="14.4">
      <c r="P771" s="30"/>
    </row>
    <row r="772" spans="16:16" ht="14.4">
      <c r="P772" s="30"/>
    </row>
    <row r="773" spans="16:16" ht="14.4">
      <c r="P773" s="30"/>
    </row>
    <row r="774" spans="16:16" ht="14.4">
      <c r="P774" s="30"/>
    </row>
    <row r="775" spans="16:16" ht="14.4">
      <c r="P775" s="30"/>
    </row>
    <row r="776" spans="16:16" ht="14.4">
      <c r="P776" s="30"/>
    </row>
    <row r="777" spans="16:16" ht="14.4">
      <c r="P777" s="30"/>
    </row>
    <row r="778" spans="16:16" ht="14.4">
      <c r="P778" s="30"/>
    </row>
    <row r="779" spans="16:16" ht="14.4">
      <c r="P779" s="30"/>
    </row>
    <row r="780" spans="16:16" ht="14.4">
      <c r="P780" s="30"/>
    </row>
    <row r="781" spans="16:16" ht="14.4">
      <c r="P781" s="30"/>
    </row>
    <row r="782" spans="16:16" ht="14.4">
      <c r="P782" s="30"/>
    </row>
    <row r="783" spans="16:16" ht="14.4">
      <c r="P783" s="30"/>
    </row>
    <row r="784" spans="16:16" ht="14.4">
      <c r="P784" s="30"/>
    </row>
    <row r="785" spans="16:16" ht="14.4">
      <c r="P785" s="30"/>
    </row>
    <row r="786" spans="16:16" ht="14.4">
      <c r="P786" s="30"/>
    </row>
    <row r="787" spans="16:16" ht="14.4">
      <c r="P787" s="30"/>
    </row>
    <row r="788" spans="16:16" ht="14.4">
      <c r="P788" s="30"/>
    </row>
    <row r="789" spans="16:16" ht="14.4">
      <c r="P789" s="30"/>
    </row>
    <row r="790" spans="16:16" ht="14.4">
      <c r="P790" s="30"/>
    </row>
    <row r="791" spans="16:16" ht="14.4">
      <c r="P791" s="30"/>
    </row>
    <row r="792" spans="16:16" ht="14.4">
      <c r="P792" s="30"/>
    </row>
    <row r="793" spans="16:16" ht="14.4">
      <c r="P793" s="30"/>
    </row>
    <row r="794" spans="16:16" ht="14.4">
      <c r="P794" s="30"/>
    </row>
    <row r="795" spans="16:16" ht="14.4">
      <c r="P795" s="30"/>
    </row>
    <row r="796" spans="16:16" ht="14.4">
      <c r="P796" s="30"/>
    </row>
    <row r="797" spans="16:16" ht="14.4">
      <c r="P797" s="30"/>
    </row>
    <row r="798" spans="16:16" ht="14.4">
      <c r="P798" s="30"/>
    </row>
    <row r="799" spans="16:16" ht="14.4">
      <c r="P799" s="30"/>
    </row>
    <row r="800" spans="16:16" ht="14.4">
      <c r="P800" s="30"/>
    </row>
    <row r="801" spans="16:16" ht="14.4">
      <c r="P801" s="30"/>
    </row>
    <row r="802" spans="16:16" ht="14.4">
      <c r="P802" s="30"/>
    </row>
    <row r="803" spans="16:16" ht="14.4">
      <c r="P803" s="30"/>
    </row>
    <row r="804" spans="16:16" ht="14.4">
      <c r="P804" s="30"/>
    </row>
    <row r="805" spans="16:16" ht="14.4">
      <c r="P805" s="30"/>
    </row>
    <row r="806" spans="16:16" ht="14.4">
      <c r="P806" s="30"/>
    </row>
    <row r="807" spans="16:16" ht="14.4">
      <c r="P807" s="30"/>
    </row>
    <row r="808" spans="16:16" ht="14.4">
      <c r="P808" s="30"/>
    </row>
    <row r="809" spans="16:16" ht="14.4">
      <c r="P809" s="30"/>
    </row>
    <row r="810" spans="16:16" ht="14.4">
      <c r="P810" s="30"/>
    </row>
    <row r="811" spans="16:16" ht="14.4">
      <c r="P811" s="30"/>
    </row>
    <row r="812" spans="16:16" ht="14.4">
      <c r="P812" s="30"/>
    </row>
    <row r="813" spans="16:16" ht="14.4">
      <c r="P813" s="30"/>
    </row>
    <row r="814" spans="16:16" ht="14.4">
      <c r="P814" s="30"/>
    </row>
    <row r="815" spans="16:16" ht="14.4">
      <c r="P815" s="30"/>
    </row>
    <row r="816" spans="16:16" ht="14.4">
      <c r="P816" s="30"/>
    </row>
    <row r="817" spans="16:16" ht="14.4">
      <c r="P817" s="30"/>
    </row>
    <row r="818" spans="16:16" ht="14.4">
      <c r="P818" s="30"/>
    </row>
    <row r="819" spans="16:16" ht="14.4">
      <c r="P819" s="30"/>
    </row>
    <row r="820" spans="16:16" ht="14.4">
      <c r="P820" s="30"/>
    </row>
    <row r="821" spans="16:16" ht="14.4">
      <c r="P821" s="30"/>
    </row>
    <row r="822" spans="16:16" ht="14.4">
      <c r="P822" s="30"/>
    </row>
    <row r="823" spans="16:16" ht="14.4">
      <c r="P823" s="30"/>
    </row>
    <row r="824" spans="16:16" ht="14.4">
      <c r="P824" s="30"/>
    </row>
    <row r="825" spans="16:16" ht="14.4">
      <c r="P825" s="30"/>
    </row>
    <row r="826" spans="16:16" ht="14.4">
      <c r="P826" s="30"/>
    </row>
    <row r="827" spans="16:16" ht="14.4">
      <c r="P827" s="30"/>
    </row>
    <row r="828" spans="16:16" ht="14.4">
      <c r="P828" s="30"/>
    </row>
    <row r="829" spans="16:16" ht="14.4">
      <c r="P829" s="30"/>
    </row>
    <row r="830" spans="16:16" ht="14.4">
      <c r="P830" s="30"/>
    </row>
    <row r="831" spans="16:16" ht="14.4">
      <c r="P831" s="30"/>
    </row>
    <row r="832" spans="16:16" ht="14.4">
      <c r="P832" s="30"/>
    </row>
    <row r="833" spans="16:16" ht="14.4">
      <c r="P833" s="30"/>
    </row>
    <row r="834" spans="16:16" ht="14.4">
      <c r="P834" s="30"/>
    </row>
    <row r="835" spans="16:16" ht="14.4">
      <c r="P835" s="30"/>
    </row>
    <row r="836" spans="16:16" ht="14.4">
      <c r="P836" s="30"/>
    </row>
    <row r="837" spans="16:16" ht="14.4">
      <c r="P837" s="30"/>
    </row>
    <row r="838" spans="16:16" ht="14.4">
      <c r="P838" s="30"/>
    </row>
    <row r="839" spans="16:16" ht="14.4">
      <c r="P839" s="30"/>
    </row>
    <row r="840" spans="16:16" ht="14.4">
      <c r="P840" s="30"/>
    </row>
    <row r="841" spans="16:16" ht="14.4">
      <c r="P841" s="30"/>
    </row>
    <row r="842" spans="16:16" ht="14.4">
      <c r="P842" s="30"/>
    </row>
    <row r="843" spans="16:16" ht="14.4">
      <c r="P843" s="30"/>
    </row>
    <row r="844" spans="16:16" ht="14.4">
      <c r="P844" s="30"/>
    </row>
    <row r="845" spans="16:16" ht="14.4">
      <c r="P845" s="30"/>
    </row>
    <row r="846" spans="16:16" ht="14.4">
      <c r="P846" s="30"/>
    </row>
    <row r="847" spans="16:16" ht="14.4">
      <c r="P847" s="30"/>
    </row>
    <row r="848" spans="16:16" ht="14.4">
      <c r="P848" s="30"/>
    </row>
    <row r="849" spans="16:16" ht="14.4">
      <c r="P849" s="30"/>
    </row>
    <row r="850" spans="16:16" ht="14.4">
      <c r="P850" s="30"/>
    </row>
    <row r="851" spans="16:16" ht="14.4">
      <c r="P851" s="30"/>
    </row>
    <row r="852" spans="16:16" ht="14.4">
      <c r="P852" s="30"/>
    </row>
    <row r="853" spans="16:16" ht="14.4">
      <c r="P853" s="30"/>
    </row>
    <row r="854" spans="16:16" ht="14.4">
      <c r="P854" s="30"/>
    </row>
    <row r="855" spans="16:16" ht="14.4">
      <c r="P855" s="30"/>
    </row>
    <row r="856" spans="16:16" ht="14.4">
      <c r="P856" s="30"/>
    </row>
    <row r="857" spans="16:16" ht="14.4">
      <c r="P857" s="30"/>
    </row>
    <row r="858" spans="16:16" ht="14.4">
      <c r="P858" s="30"/>
    </row>
    <row r="859" spans="16:16" ht="14.4">
      <c r="P859" s="30"/>
    </row>
    <row r="860" spans="16:16" ht="14.4">
      <c r="P860" s="30"/>
    </row>
    <row r="861" spans="16:16" ht="14.4">
      <c r="P861" s="30"/>
    </row>
    <row r="862" spans="16:16" ht="14.4">
      <c r="P862" s="30"/>
    </row>
    <row r="863" spans="16:16" ht="14.4">
      <c r="P863" s="30"/>
    </row>
    <row r="864" spans="16:16" ht="14.4">
      <c r="P864" s="30"/>
    </row>
    <row r="865" spans="16:16" ht="14.4">
      <c r="P865" s="30"/>
    </row>
    <row r="866" spans="16:16" ht="14.4">
      <c r="P866" s="30"/>
    </row>
    <row r="867" spans="16:16" ht="14.4">
      <c r="P867" s="30"/>
    </row>
    <row r="868" spans="16:16" ht="14.4">
      <c r="P868" s="30"/>
    </row>
    <row r="869" spans="16:16" ht="14.4">
      <c r="P869" s="30"/>
    </row>
    <row r="870" spans="16:16" ht="14.4">
      <c r="P870" s="30"/>
    </row>
    <row r="871" spans="16:16" ht="14.4">
      <c r="P871" s="30"/>
    </row>
    <row r="872" spans="16:16" ht="14.4">
      <c r="P872" s="30"/>
    </row>
    <row r="873" spans="16:16" ht="14.4">
      <c r="P873" s="30"/>
    </row>
    <row r="874" spans="16:16" ht="14.4">
      <c r="P874" s="30"/>
    </row>
    <row r="875" spans="16:16" ht="14.4">
      <c r="P875" s="30"/>
    </row>
    <row r="876" spans="16:16" ht="14.4">
      <c r="P876" s="30"/>
    </row>
    <row r="877" spans="16:16" ht="14.4">
      <c r="P877" s="30"/>
    </row>
    <row r="878" spans="16:16" ht="14.4">
      <c r="P878" s="30"/>
    </row>
    <row r="879" spans="16:16" ht="14.4">
      <c r="P879" s="30"/>
    </row>
    <row r="880" spans="16:16" ht="14.4">
      <c r="P880" s="30"/>
    </row>
    <row r="881" spans="16:16" ht="14.4">
      <c r="P881" s="30"/>
    </row>
    <row r="882" spans="16:16" ht="14.4">
      <c r="P882" s="30"/>
    </row>
    <row r="883" spans="16:16" ht="14.4">
      <c r="P883" s="30"/>
    </row>
    <row r="884" spans="16:16" ht="14.4">
      <c r="P884" s="30"/>
    </row>
    <row r="885" spans="16:16" ht="14.4">
      <c r="P885" s="30"/>
    </row>
    <row r="886" spans="16:16" ht="14.4">
      <c r="P886" s="30"/>
    </row>
    <row r="887" spans="16:16" ht="14.4">
      <c r="P887" s="30"/>
    </row>
    <row r="888" spans="16:16" ht="14.4">
      <c r="P888" s="30"/>
    </row>
    <row r="889" spans="16:16" ht="14.4">
      <c r="P889" s="30"/>
    </row>
    <row r="890" spans="16:16" ht="14.4">
      <c r="P890" s="30"/>
    </row>
    <row r="891" spans="16:16" ht="14.4">
      <c r="P891" s="30"/>
    </row>
    <row r="892" spans="16:16" ht="14.4">
      <c r="P892" s="30"/>
    </row>
    <row r="893" spans="16:16" ht="14.4">
      <c r="P893" s="30"/>
    </row>
    <row r="894" spans="16:16" ht="14.4">
      <c r="P894" s="30"/>
    </row>
    <row r="895" spans="16:16" ht="14.4">
      <c r="P895" s="30"/>
    </row>
    <row r="896" spans="16:16" ht="14.4">
      <c r="P896" s="30"/>
    </row>
    <row r="897" spans="16:16" ht="14.4">
      <c r="P897" s="30"/>
    </row>
    <row r="898" spans="16:16" ht="14.4">
      <c r="P898" s="30"/>
    </row>
    <row r="899" spans="16:16" ht="14.4">
      <c r="P899" s="30"/>
    </row>
    <row r="900" spans="16:16" ht="14.4">
      <c r="P900" s="30"/>
    </row>
    <row r="901" spans="16:16" ht="14.4">
      <c r="P901" s="30"/>
    </row>
    <row r="902" spans="16:16" ht="14.4">
      <c r="P902" s="30"/>
    </row>
    <row r="903" spans="16:16" ht="14.4">
      <c r="P903" s="30"/>
    </row>
    <row r="904" spans="16:16" ht="14.4">
      <c r="P904" s="30"/>
    </row>
    <row r="905" spans="16:16" ht="14.4">
      <c r="P905" s="30"/>
    </row>
    <row r="906" spans="16:16" ht="14.4">
      <c r="P906" s="30"/>
    </row>
    <row r="907" spans="16:16" ht="14.4">
      <c r="P907" s="30"/>
    </row>
    <row r="908" spans="16:16" ht="14.4">
      <c r="P908" s="30"/>
    </row>
    <row r="909" spans="16:16" ht="14.4">
      <c r="P909" s="30"/>
    </row>
    <row r="910" spans="16:16" ht="14.4">
      <c r="P910" s="30"/>
    </row>
    <row r="911" spans="16:16" ht="14.4">
      <c r="P911" s="30"/>
    </row>
    <row r="912" spans="16:16" ht="14.4">
      <c r="P912" s="30"/>
    </row>
    <row r="913" spans="16:16" ht="14.4">
      <c r="P913" s="30"/>
    </row>
    <row r="914" spans="16:16" ht="14.4">
      <c r="P914" s="30"/>
    </row>
    <row r="915" spans="16:16" ht="14.4">
      <c r="P915" s="30"/>
    </row>
    <row r="916" spans="16:16" ht="14.4">
      <c r="P916" s="30"/>
    </row>
    <row r="917" spans="16:16" ht="14.4">
      <c r="P917" s="30"/>
    </row>
    <row r="918" spans="16:16" ht="14.4">
      <c r="P918" s="30"/>
    </row>
    <row r="919" spans="16:16" ht="14.4">
      <c r="P919" s="30"/>
    </row>
    <row r="920" spans="16:16" ht="14.4">
      <c r="P920" s="30"/>
    </row>
    <row r="921" spans="16:16" ht="14.4">
      <c r="P921" s="30"/>
    </row>
    <row r="922" spans="16:16" ht="14.4">
      <c r="P922" s="30"/>
    </row>
    <row r="923" spans="16:16" ht="14.4">
      <c r="P923" s="30"/>
    </row>
    <row r="924" spans="16:16" ht="14.4">
      <c r="P924" s="30"/>
    </row>
    <row r="925" spans="16:16" ht="14.4">
      <c r="P925" s="30"/>
    </row>
    <row r="926" spans="16:16" ht="14.4">
      <c r="P926" s="30"/>
    </row>
    <row r="927" spans="16:16" ht="14.4">
      <c r="P927" s="30"/>
    </row>
    <row r="928" spans="16:16" ht="14.4">
      <c r="P928" s="30"/>
    </row>
    <row r="929" spans="16:16" ht="14.4">
      <c r="P929" s="30"/>
    </row>
    <row r="930" spans="16:16" ht="14.4">
      <c r="P930" s="30"/>
    </row>
    <row r="931" spans="16:16" ht="14.4">
      <c r="P931" s="30"/>
    </row>
    <row r="932" spans="16:16" ht="14.4">
      <c r="P932" s="30"/>
    </row>
    <row r="933" spans="16:16" ht="14.4">
      <c r="P933" s="30"/>
    </row>
    <row r="934" spans="16:16" ht="14.4">
      <c r="P934" s="30"/>
    </row>
    <row r="935" spans="16:16" ht="14.4">
      <c r="P935" s="30"/>
    </row>
    <row r="936" spans="16:16" ht="14.4">
      <c r="P936" s="30"/>
    </row>
    <row r="937" spans="16:16" ht="14.4">
      <c r="P937" s="30"/>
    </row>
    <row r="938" spans="16:16" ht="14.4">
      <c r="P938" s="30"/>
    </row>
    <row r="939" spans="16:16" ht="14.4">
      <c r="P939" s="30"/>
    </row>
    <row r="940" spans="16:16" ht="14.4">
      <c r="P940" s="30"/>
    </row>
    <row r="941" spans="16:16" ht="14.4">
      <c r="P941" s="30"/>
    </row>
    <row r="942" spans="16:16" ht="14.4">
      <c r="P942" s="30"/>
    </row>
    <row r="943" spans="16:16" ht="14.4">
      <c r="P943" s="30"/>
    </row>
    <row r="944" spans="16:16" ht="14.4">
      <c r="P944" s="30"/>
    </row>
    <row r="945" spans="16:16" ht="14.4">
      <c r="P945" s="30"/>
    </row>
    <row r="946" spans="16:16" ht="14.4">
      <c r="P946" s="30"/>
    </row>
    <row r="947" spans="16:16" ht="14.4">
      <c r="P947" s="30"/>
    </row>
    <row r="948" spans="16:16" ht="14.4">
      <c r="P948" s="30"/>
    </row>
    <row r="949" spans="16:16" ht="14.4">
      <c r="P949" s="30"/>
    </row>
    <row r="950" spans="16:16" ht="14.4">
      <c r="P950" s="30"/>
    </row>
    <row r="951" spans="16:16" ht="14.4">
      <c r="P951" s="30"/>
    </row>
    <row r="952" spans="16:16" ht="14.4">
      <c r="P952" s="30"/>
    </row>
    <row r="953" spans="16:16" ht="14.4">
      <c r="P953" s="30"/>
    </row>
    <row r="954" spans="16:16" ht="14.4">
      <c r="P954" s="30"/>
    </row>
    <row r="955" spans="16:16" ht="14.4">
      <c r="P955" s="30"/>
    </row>
    <row r="956" spans="16:16" ht="14.4">
      <c r="P956" s="30"/>
    </row>
    <row r="957" spans="16:16" ht="14.4">
      <c r="P957" s="30"/>
    </row>
    <row r="958" spans="16:16" ht="14.4">
      <c r="P958" s="30"/>
    </row>
    <row r="959" spans="16:16" ht="14.4">
      <c r="P959" s="30"/>
    </row>
    <row r="960" spans="16:16" ht="14.4">
      <c r="P960" s="30"/>
    </row>
    <row r="961" spans="16:16" ht="14.4">
      <c r="P961" s="30"/>
    </row>
    <row r="962" spans="16:16" ht="14.4">
      <c r="P962" s="30"/>
    </row>
    <row r="963" spans="16:16" ht="14.4">
      <c r="P963" s="30"/>
    </row>
    <row r="964" spans="16:16" ht="14.4">
      <c r="P964" s="30"/>
    </row>
    <row r="965" spans="16:16" ht="14.4">
      <c r="P965" s="30"/>
    </row>
    <row r="966" spans="16:16" ht="14.4">
      <c r="P966" s="30"/>
    </row>
    <row r="967" spans="16:16" ht="14.4">
      <c r="P967" s="30"/>
    </row>
    <row r="968" spans="16:16" ht="14.4">
      <c r="P968" s="30"/>
    </row>
    <row r="969" spans="16:16" ht="14.4">
      <c r="P969" s="30"/>
    </row>
    <row r="970" spans="16:16" ht="14.4">
      <c r="P970" s="30"/>
    </row>
    <row r="971" spans="16:16" ht="14.4">
      <c r="P971" s="30"/>
    </row>
    <row r="972" spans="16:16" ht="14.4">
      <c r="P972" s="30"/>
    </row>
    <row r="973" spans="16:16" ht="14.4">
      <c r="P973" s="30"/>
    </row>
    <row r="974" spans="16:16" ht="14.4">
      <c r="P974" s="30"/>
    </row>
    <row r="975" spans="16:16" ht="14.4">
      <c r="P975" s="30"/>
    </row>
    <row r="976" spans="16:16" ht="14.4">
      <c r="P976" s="30"/>
    </row>
    <row r="977" spans="16:16" ht="14.4">
      <c r="P977" s="30"/>
    </row>
    <row r="978" spans="16:16" ht="14.4">
      <c r="P978" s="30"/>
    </row>
    <row r="979" spans="16:16" ht="14.4">
      <c r="P979" s="30"/>
    </row>
    <row r="980" spans="16:16" ht="14.4">
      <c r="P980" s="30"/>
    </row>
    <row r="981" spans="16:16" ht="14.4">
      <c r="P981" s="30"/>
    </row>
    <row r="982" spans="16:16" ht="14.4">
      <c r="P982" s="30"/>
    </row>
    <row r="983" spans="16:16" ht="14.4">
      <c r="P983" s="30"/>
    </row>
    <row r="984" spans="16:16" ht="14.4">
      <c r="P984" s="30"/>
    </row>
    <row r="985" spans="16:16" ht="14.4">
      <c r="P985" s="30"/>
    </row>
    <row r="986" spans="16:16" ht="14.4">
      <c r="P986" s="30"/>
    </row>
    <row r="987" spans="16:16" ht="14.4">
      <c r="P987" s="30"/>
    </row>
    <row r="988" spans="16:16" ht="14.4">
      <c r="P988" s="30"/>
    </row>
    <row r="989" spans="16:16" ht="14.4">
      <c r="P989" s="30"/>
    </row>
    <row r="990" spans="16:16" ht="14.4">
      <c r="P990" s="30"/>
    </row>
    <row r="991" spans="16:16" ht="14.4">
      <c r="P991" s="30"/>
    </row>
    <row r="992" spans="16:16" ht="14.4">
      <c r="P992" s="30"/>
    </row>
    <row r="993" spans="16:16" ht="14.4">
      <c r="P993" s="30"/>
    </row>
    <row r="994" spans="16:16" ht="14.4">
      <c r="P994" s="30"/>
    </row>
    <row r="995" spans="16:16" ht="14.4">
      <c r="P995" s="30"/>
    </row>
    <row r="996" spans="16:16" ht="14.4">
      <c r="P996" s="30"/>
    </row>
    <row r="997" spans="16:16" ht="14.4">
      <c r="P997" s="30"/>
    </row>
    <row r="998" spans="16:16" ht="14.4">
      <c r="P998" s="30"/>
    </row>
    <row r="999" spans="16:16" ht="14.4">
      <c r="P999" s="30"/>
    </row>
    <row r="1000" spans="16:16" ht="14.4">
      <c r="P1000" s="30"/>
    </row>
    <row r="1001" spans="16:16" ht="14.4">
      <c r="P1001" s="30"/>
    </row>
    <row r="1002" spans="16:16" ht="14.4">
      <c r="P1002" s="30"/>
    </row>
    <row r="1003" spans="16:16" ht="14.4">
      <c r="P1003" s="30"/>
    </row>
    <row r="1004" spans="16:16" ht="14.4">
      <c r="P1004" s="30"/>
    </row>
    <row r="1005" spans="16:16" ht="14.4">
      <c r="P1005" s="30"/>
    </row>
    <row r="1006" spans="16:16" ht="14.4">
      <c r="P1006" s="30"/>
    </row>
    <row r="1007" spans="16:16" ht="14.4">
      <c r="P1007" s="30"/>
    </row>
    <row r="1008" spans="16:16" ht="14.4">
      <c r="P1008" s="30"/>
    </row>
    <row r="1009" spans="16:16" ht="14.4">
      <c r="P1009" s="30"/>
    </row>
    <row r="1010" spans="16:16" ht="14.4">
      <c r="P1010" s="30"/>
    </row>
    <row r="1011" spans="16:16" ht="14.4">
      <c r="P1011" s="30"/>
    </row>
    <row r="1012" spans="16:16" ht="14.4">
      <c r="P1012" s="30"/>
    </row>
    <row r="1013" spans="16:16" ht="14.4">
      <c r="P1013" s="30"/>
    </row>
    <row r="1014" spans="16:16" ht="14.4">
      <c r="P1014" s="30"/>
    </row>
    <row r="1015" spans="16:16" ht="14.4">
      <c r="P1015" s="30"/>
    </row>
    <row r="1016" spans="16:16" ht="14.4">
      <c r="P1016" s="30"/>
    </row>
    <row r="1017" spans="16:16" ht="14.4">
      <c r="P1017" s="30"/>
    </row>
    <row r="1018" spans="16:16" ht="14.4">
      <c r="P1018" s="30"/>
    </row>
    <row r="1019" spans="16:16" ht="14.4">
      <c r="P1019" s="30"/>
    </row>
    <row r="1020" spans="16:16" ht="14.4">
      <c r="P1020" s="30"/>
    </row>
    <row r="1021" spans="16:16" ht="14.4">
      <c r="P1021" s="30"/>
    </row>
    <row r="1022" spans="16:16" ht="14.4">
      <c r="P1022" s="30"/>
    </row>
    <row r="1023" spans="16:16" ht="14.4">
      <c r="P1023" s="30"/>
    </row>
    <row r="1024" spans="16:16" ht="14.4">
      <c r="P1024" s="30"/>
    </row>
    <row r="1025" spans="16:16" ht="14.4">
      <c r="P1025" s="30"/>
    </row>
    <row r="1026" spans="16:16" ht="14.4">
      <c r="P1026" s="30"/>
    </row>
    <row r="1027" spans="16:16" ht="14.4">
      <c r="P1027" s="30"/>
    </row>
    <row r="1028" spans="16:16" ht="14.4">
      <c r="P1028" s="30"/>
    </row>
    <row r="1029" spans="16:16" ht="14.4">
      <c r="P1029" s="30"/>
    </row>
    <row r="1030" spans="16:16" ht="14.4">
      <c r="P1030" s="30"/>
    </row>
    <row r="1031" spans="16:16" ht="14.4">
      <c r="P1031" s="30"/>
    </row>
    <row r="1032" spans="16:16" ht="14.4">
      <c r="P1032" s="30"/>
    </row>
    <row r="1033" spans="16:16" ht="14.4">
      <c r="P1033" s="30"/>
    </row>
    <row r="1034" spans="16:16" ht="14.4">
      <c r="P1034" s="30"/>
    </row>
    <row r="1035" spans="16:16" ht="14.4">
      <c r="P1035" s="30"/>
    </row>
    <row r="1036" spans="16:16" ht="14.4">
      <c r="P1036" s="30"/>
    </row>
    <row r="1037" spans="16:16" ht="14.4">
      <c r="P1037" s="30"/>
    </row>
    <row r="1038" spans="16:16" ht="14.4">
      <c r="P1038" s="30"/>
    </row>
    <row r="1039" spans="16:16" ht="14.4">
      <c r="P1039" s="30"/>
    </row>
    <row r="1040" spans="16:16" ht="14.4">
      <c r="P1040" s="30"/>
    </row>
    <row r="1041" spans="16:16" ht="14.4">
      <c r="P1041" s="30"/>
    </row>
    <row r="1042" spans="16:16" ht="14.4">
      <c r="P1042" s="30"/>
    </row>
    <row r="1043" spans="16:16" ht="14.4">
      <c r="P1043" s="30"/>
    </row>
    <row r="1044" spans="16:16" ht="14.4">
      <c r="P1044" s="30"/>
    </row>
    <row r="1045" spans="16:16" ht="14.4">
      <c r="P1045" s="30"/>
    </row>
    <row r="1046" spans="16:16" ht="14.4">
      <c r="P1046" s="30"/>
    </row>
    <row r="1047" spans="16:16" ht="14.4">
      <c r="P1047" s="30"/>
    </row>
    <row r="1048" spans="16:16" ht="14.4">
      <c r="P1048" s="30"/>
    </row>
    <row r="1049" spans="16:16" ht="14.4">
      <c r="P1049" s="30"/>
    </row>
    <row r="1050" spans="16:16" ht="14.4">
      <c r="P1050" s="30"/>
    </row>
    <row r="1051" spans="16:16" ht="14.4">
      <c r="P1051" s="30"/>
    </row>
    <row r="1052" spans="16:16" ht="14.4">
      <c r="P1052" s="30"/>
    </row>
    <row r="1053" spans="16:16" ht="14.4">
      <c r="P1053" s="30"/>
    </row>
    <row r="1054" spans="16:16" ht="14.4">
      <c r="P1054" s="30"/>
    </row>
    <row r="1055" spans="16:16" ht="14.4">
      <c r="P1055" s="30"/>
    </row>
    <row r="1056" spans="16:16" ht="14.4">
      <c r="P1056" s="30"/>
    </row>
    <row r="1057" spans="16:16" ht="14.4">
      <c r="P1057" s="30"/>
    </row>
    <row r="1058" spans="16:16" ht="14.4">
      <c r="P1058" s="30"/>
    </row>
    <row r="1059" spans="16:16" ht="14.4">
      <c r="P1059" s="30"/>
    </row>
    <row r="1060" spans="16:16" ht="14.4">
      <c r="P1060" s="30"/>
    </row>
    <row r="1061" spans="16:16" ht="14.4">
      <c r="P1061" s="30"/>
    </row>
    <row r="1062" spans="16:16" ht="14.4">
      <c r="P1062" s="30"/>
    </row>
    <row r="1063" spans="16:16" ht="14.4">
      <c r="P1063" s="30"/>
    </row>
    <row r="1064" spans="16:16" ht="14.4">
      <c r="P1064" s="30"/>
    </row>
    <row r="1065" spans="16:16" ht="14.4">
      <c r="P1065" s="30"/>
    </row>
    <row r="1066" spans="16:16" ht="14.4">
      <c r="P1066" s="30"/>
    </row>
    <row r="1067" spans="16:16" ht="14.4">
      <c r="P1067" s="30"/>
    </row>
    <row r="1068" spans="16:16" ht="14.4">
      <c r="P1068" s="30"/>
    </row>
    <row r="1069" spans="16:16" ht="14.4">
      <c r="P1069" s="30"/>
    </row>
    <row r="1070" spans="16:16" ht="14.4">
      <c r="P1070" s="30"/>
    </row>
    <row r="1071" spans="16:16" ht="14.4">
      <c r="P1071" s="30"/>
    </row>
    <row r="1072" spans="16:16" ht="14.4">
      <c r="P1072" s="30"/>
    </row>
    <row r="1073" spans="16:16" ht="14.4">
      <c r="P1073" s="30"/>
    </row>
    <row r="1074" spans="16:16" ht="14.4">
      <c r="P1074" s="30"/>
    </row>
    <row r="1075" spans="16:16" ht="14.4">
      <c r="P1075" s="30"/>
    </row>
    <row r="1076" spans="16:16" ht="14.4">
      <c r="P1076" s="30"/>
    </row>
    <row r="1077" spans="16:16" ht="14.4">
      <c r="P1077" s="30"/>
    </row>
    <row r="1078" spans="16:16" ht="14.4">
      <c r="P1078" s="30"/>
    </row>
    <row r="1079" spans="16:16" ht="14.4">
      <c r="P1079" s="30"/>
    </row>
    <row r="1080" spans="16:16" ht="14.4">
      <c r="P1080" s="30"/>
    </row>
    <row r="1081" spans="16:16" ht="14.4">
      <c r="P1081" s="30"/>
    </row>
    <row r="1082" spans="16:16" ht="14.4">
      <c r="P1082" s="30"/>
    </row>
    <row r="1083" spans="16:16" ht="14.4">
      <c r="P1083" s="30"/>
    </row>
    <row r="1084" spans="16:16" ht="14.4">
      <c r="P1084" s="30"/>
    </row>
    <row r="1085" spans="16:16" ht="14.4">
      <c r="P1085" s="30"/>
    </row>
    <row r="1086" spans="16:16" ht="14.4">
      <c r="P1086" s="30"/>
    </row>
    <row r="1087" spans="16:16" ht="14.4">
      <c r="P1087" s="30"/>
    </row>
    <row r="1088" spans="16:16" ht="14.4">
      <c r="P1088" s="30"/>
    </row>
    <row r="1089" spans="16:16" ht="14.4">
      <c r="P1089" s="30"/>
    </row>
    <row r="1090" spans="16:16" ht="14.4">
      <c r="P1090" s="30"/>
    </row>
    <row r="1091" spans="16:16" ht="14.4">
      <c r="P1091" s="30"/>
    </row>
    <row r="1092" spans="16:16" ht="14.4">
      <c r="P1092" s="30"/>
    </row>
    <row r="1093" spans="16:16" ht="14.4">
      <c r="P1093" s="30"/>
    </row>
    <row r="1094" spans="16:16" ht="14.4">
      <c r="P1094" s="30"/>
    </row>
    <row r="1095" spans="16:16" ht="14.4">
      <c r="P1095" s="30"/>
    </row>
    <row r="1096" spans="16:16" ht="14.4">
      <c r="P1096" s="30"/>
    </row>
    <row r="1097" spans="16:16" ht="14.4">
      <c r="P1097" s="30"/>
    </row>
    <row r="1098" spans="16:16" ht="14.4">
      <c r="P1098" s="30"/>
    </row>
    <row r="1099" spans="16:16" ht="14.4">
      <c r="P1099" s="30"/>
    </row>
    <row r="1100" spans="16:16" ht="14.4">
      <c r="P1100" s="30"/>
    </row>
    <row r="1101" spans="16:16" ht="14.4">
      <c r="P1101" s="30"/>
    </row>
    <row r="1102" spans="16:16" ht="14.4">
      <c r="P1102" s="30"/>
    </row>
    <row r="1103" spans="16:16" ht="14.4">
      <c r="P1103" s="30"/>
    </row>
    <row r="1104" spans="16:16" ht="14.4">
      <c r="P1104" s="30"/>
    </row>
    <row r="1105" spans="16:16" ht="14.4">
      <c r="P1105" s="30"/>
    </row>
    <row r="1106" spans="16:16" ht="14.4">
      <c r="P1106" s="30"/>
    </row>
    <row r="1107" spans="16:16" ht="14.4">
      <c r="P1107" s="30"/>
    </row>
    <row r="1108" spans="16:16" ht="14.4">
      <c r="P1108" s="30"/>
    </row>
    <row r="1109" spans="16:16" ht="14.4">
      <c r="P1109" s="30"/>
    </row>
    <row r="1110" spans="16:16" ht="14.4">
      <c r="P1110" s="30"/>
    </row>
    <row r="1111" spans="16:16" ht="14.4">
      <c r="P1111" s="30"/>
    </row>
    <row r="1112" spans="16:16" ht="14.4">
      <c r="P1112" s="30"/>
    </row>
    <row r="1113" spans="16:16" ht="14.4">
      <c r="P1113" s="30"/>
    </row>
    <row r="1114" spans="16:16" ht="14.4">
      <c r="P1114" s="30"/>
    </row>
    <row r="1115" spans="16:16" ht="14.4">
      <c r="P1115" s="30"/>
    </row>
    <row r="1116" spans="16:16" ht="14.4">
      <c r="P1116" s="30"/>
    </row>
    <row r="1117" spans="16:16" ht="14.4">
      <c r="P1117" s="30"/>
    </row>
    <row r="1118" spans="16:16" ht="14.4">
      <c r="P1118" s="30"/>
    </row>
    <row r="1119" spans="16:16" ht="14.4">
      <c r="P1119" s="30"/>
    </row>
    <row r="1120" spans="16:16" ht="14.4">
      <c r="P1120" s="30"/>
    </row>
    <row r="1121" spans="16:16" ht="14.4">
      <c r="P1121" s="30"/>
    </row>
    <row r="1122" spans="16:16" ht="14.4">
      <c r="P1122" s="30"/>
    </row>
    <row r="1123" spans="16:16" ht="14.4">
      <c r="P1123" s="30"/>
    </row>
    <row r="1124" spans="16:16" ht="14.4">
      <c r="P1124" s="30"/>
    </row>
    <row r="1125" spans="16:16" ht="14.4">
      <c r="P1125" s="30"/>
    </row>
    <row r="1126" spans="16:16" ht="14.4">
      <c r="P1126" s="30"/>
    </row>
    <row r="1127" spans="16:16" ht="14.4">
      <c r="P1127" s="30"/>
    </row>
    <row r="1128" spans="16:16" ht="14.4">
      <c r="P1128" s="30"/>
    </row>
    <row r="1129" spans="16:16" ht="14.4">
      <c r="P1129" s="30"/>
    </row>
    <row r="1130" spans="16:16" ht="14.4">
      <c r="P1130" s="30"/>
    </row>
    <row r="1131" spans="16:16" ht="14.4">
      <c r="P1131" s="30"/>
    </row>
    <row r="1132" spans="16:16" ht="14.4">
      <c r="P1132" s="30"/>
    </row>
    <row r="1133" spans="16:16" ht="14.4">
      <c r="P1133" s="30"/>
    </row>
    <row r="1134" spans="16:16" ht="14.4">
      <c r="P1134" s="30"/>
    </row>
    <row r="1135" spans="16:16" ht="14.4">
      <c r="P1135" s="30"/>
    </row>
    <row r="1136" spans="16:16" ht="14.4">
      <c r="P1136" s="30"/>
    </row>
    <row r="1137" spans="16:16" ht="14.4">
      <c r="P1137" s="30"/>
    </row>
    <row r="1138" spans="16:16" ht="14.4">
      <c r="P1138" s="30"/>
    </row>
    <row r="1139" spans="16:16" ht="14.4">
      <c r="P1139" s="30"/>
    </row>
    <row r="1140" spans="16:16" ht="14.4">
      <c r="P1140" s="30"/>
    </row>
    <row r="1141" spans="16:16" ht="14.4">
      <c r="P1141" s="30"/>
    </row>
    <row r="1142" spans="16:16" ht="14.4">
      <c r="P1142" s="30"/>
    </row>
    <row r="1143" spans="16:16" ht="14.4">
      <c r="P1143" s="30"/>
    </row>
    <row r="1144" spans="16:16" ht="14.4">
      <c r="P1144" s="30"/>
    </row>
    <row r="1145" spans="16:16" ht="14.4">
      <c r="P1145" s="30"/>
    </row>
    <row r="1146" spans="16:16" ht="14.4">
      <c r="P1146" s="30"/>
    </row>
    <row r="1147" spans="16:16" ht="14.4">
      <c r="P1147" s="30"/>
    </row>
    <row r="1148" spans="16:16" ht="14.4">
      <c r="P1148" s="30"/>
    </row>
    <row r="1149" spans="16:16" ht="14.4">
      <c r="P1149" s="30"/>
    </row>
    <row r="1150" spans="16:16" ht="14.4">
      <c r="P1150" s="30"/>
    </row>
    <row r="1151" spans="16:16" ht="14.4">
      <c r="P1151" s="30"/>
    </row>
    <row r="1152" spans="16:16" ht="14.4">
      <c r="P1152" s="30"/>
    </row>
    <row r="1153" spans="16:16" ht="14.4">
      <c r="P1153" s="30"/>
    </row>
    <row r="1154" spans="16:16" ht="14.4">
      <c r="P1154" s="30"/>
    </row>
    <row r="1155" spans="16:16" ht="14.4">
      <c r="P1155" s="30"/>
    </row>
    <row r="1156" spans="16:16" ht="14.4">
      <c r="P1156" s="30"/>
    </row>
    <row r="1157" spans="16:16" ht="14.4">
      <c r="P1157" s="30"/>
    </row>
    <row r="1158" spans="16:16" ht="14.4">
      <c r="P1158" s="30"/>
    </row>
    <row r="1159" spans="16:16" ht="14.4">
      <c r="P1159" s="30"/>
    </row>
    <row r="1160" spans="16:16" ht="14.4">
      <c r="P1160" s="30"/>
    </row>
    <row r="1161" spans="16:16" ht="14.4">
      <c r="P1161" s="30"/>
    </row>
    <row r="1162" spans="16:16" ht="14.4">
      <c r="P1162" s="30"/>
    </row>
    <row r="1163" spans="16:16" ht="14.4">
      <c r="P1163" s="30"/>
    </row>
    <row r="1164" spans="16:16" ht="14.4">
      <c r="P1164" s="30"/>
    </row>
    <row r="1165" spans="16:16" ht="14.4">
      <c r="P1165" s="30"/>
    </row>
    <row r="1166" spans="16:16" ht="14.4">
      <c r="P1166" s="30"/>
    </row>
    <row r="1167" spans="16:16" ht="14.4">
      <c r="P1167" s="30"/>
    </row>
    <row r="1168" spans="16:16" ht="14.4">
      <c r="P1168" s="30"/>
    </row>
    <row r="1169" spans="16:16" ht="14.4">
      <c r="P1169" s="30"/>
    </row>
    <row r="1170" spans="16:16" ht="14.4">
      <c r="P1170" s="30"/>
    </row>
    <row r="1171" spans="16:16" ht="14.4">
      <c r="P1171" s="30"/>
    </row>
    <row r="1172" spans="16:16" ht="14.4">
      <c r="P1172" s="30"/>
    </row>
    <row r="1173" spans="16:16" ht="14.4">
      <c r="P1173" s="30"/>
    </row>
    <row r="1174" spans="16:16" ht="14.4">
      <c r="P1174" s="30"/>
    </row>
    <row r="1175" spans="16:16" ht="14.4">
      <c r="P1175" s="30"/>
    </row>
    <row r="1176" spans="16:16" ht="14.4">
      <c r="P1176" s="30"/>
    </row>
    <row r="1177" spans="16:16" ht="14.4">
      <c r="P1177" s="30"/>
    </row>
    <row r="1178" spans="16:16" ht="14.4">
      <c r="P1178" s="30"/>
    </row>
    <row r="1179" spans="16:16" ht="14.4">
      <c r="P1179" s="30"/>
    </row>
    <row r="1180" spans="16:16" ht="14.4">
      <c r="P1180" s="30"/>
    </row>
    <row r="1181" spans="16:16" ht="14.4">
      <c r="P1181" s="30"/>
    </row>
    <row r="1182" spans="16:16" ht="14.4">
      <c r="P1182" s="30"/>
    </row>
    <row r="1183" spans="16:16" ht="14.4">
      <c r="P1183" s="30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B92E-A113-403F-8456-60A25DCB4DF5}">
  <dimension ref="A1:G5"/>
  <sheetViews>
    <sheetView workbookViewId="0">
      <selection activeCell="A2" sqref="A2:C5"/>
    </sheetView>
  </sheetViews>
  <sheetFormatPr defaultRowHeight="14.4"/>
  <cols>
    <col min="1" max="1" width="15.5546875" bestFit="1" customWidth="1"/>
    <col min="2" max="3" width="10.33203125" bestFit="1" customWidth="1"/>
    <col min="4" max="4" width="15.109375" bestFit="1" customWidth="1"/>
    <col min="5" max="5" width="12.21875" bestFit="1" customWidth="1"/>
    <col min="6" max="6" width="17.6640625" bestFit="1" customWidth="1"/>
    <col min="7" max="7" width="32.109375" bestFit="1" customWidth="1"/>
  </cols>
  <sheetData>
    <row r="1" spans="1:7">
      <c r="A1" s="127" t="s">
        <v>12</v>
      </c>
      <c r="B1" s="128" t="s">
        <v>347</v>
      </c>
      <c r="C1" s="128" t="s">
        <v>348</v>
      </c>
      <c r="D1" s="127" t="s">
        <v>349</v>
      </c>
      <c r="E1" s="129" t="s">
        <v>350</v>
      </c>
      <c r="F1" s="127" t="s">
        <v>351</v>
      </c>
      <c r="G1" s="127" t="s">
        <v>352</v>
      </c>
    </row>
    <row r="2" spans="1:7">
      <c r="A2" s="124" t="s">
        <v>59</v>
      </c>
      <c r="B2" s="125" t="s">
        <v>353</v>
      </c>
      <c r="C2" s="125" t="s">
        <v>354</v>
      </c>
      <c r="D2" s="124" t="s">
        <v>355</v>
      </c>
      <c r="E2" s="126">
        <v>175000</v>
      </c>
      <c r="F2" s="124" t="s">
        <v>356</v>
      </c>
      <c r="G2" s="124" t="s">
        <v>357</v>
      </c>
    </row>
    <row r="3" spans="1:7">
      <c r="A3" s="124" t="s">
        <v>55</v>
      </c>
      <c r="B3" s="125" t="s">
        <v>358</v>
      </c>
      <c r="C3" s="125" t="s">
        <v>359</v>
      </c>
      <c r="D3" s="124" t="s">
        <v>360</v>
      </c>
      <c r="E3" s="126">
        <v>225000</v>
      </c>
      <c r="F3" s="124" t="s">
        <v>361</v>
      </c>
      <c r="G3" s="124" t="s">
        <v>362</v>
      </c>
    </row>
    <row r="4" spans="1:7">
      <c r="A4" s="124" t="s">
        <v>18</v>
      </c>
      <c r="B4" s="125" t="s">
        <v>363</v>
      </c>
      <c r="C4" s="125" t="s">
        <v>364</v>
      </c>
      <c r="D4" s="124" t="s">
        <v>365</v>
      </c>
      <c r="E4" s="126">
        <v>200000</v>
      </c>
      <c r="F4" s="124" t="s">
        <v>366</v>
      </c>
      <c r="G4" s="124" t="s">
        <v>367</v>
      </c>
    </row>
    <row r="5" spans="1:7">
      <c r="A5" s="124" t="s">
        <v>22</v>
      </c>
      <c r="B5" s="125" t="s">
        <v>368</v>
      </c>
      <c r="C5" s="125" t="s">
        <v>369</v>
      </c>
      <c r="D5" s="124" t="s">
        <v>370</v>
      </c>
      <c r="E5" s="126">
        <v>160000</v>
      </c>
      <c r="F5" s="124" t="s">
        <v>371</v>
      </c>
      <c r="G5" s="124" t="s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48FF-A133-4B3C-A9CF-1E9B585D077D}">
  <dimension ref="A1:G201"/>
  <sheetViews>
    <sheetView workbookViewId="0">
      <selection activeCell="H1" sqref="H1"/>
    </sheetView>
  </sheetViews>
  <sheetFormatPr defaultRowHeight="14.4"/>
  <cols>
    <col min="1" max="1" width="16.88671875" bestFit="1" customWidth="1"/>
  </cols>
  <sheetData>
    <row r="1" spans="1:7">
      <c r="A1" s="156" t="s">
        <v>341</v>
      </c>
      <c r="B1" s="157" t="s">
        <v>1</v>
      </c>
      <c r="C1" s="158" t="s">
        <v>342</v>
      </c>
      <c r="D1" s="158" t="s">
        <v>343</v>
      </c>
      <c r="E1" s="158" t="s">
        <v>344</v>
      </c>
      <c r="F1" s="158" t="s">
        <v>345</v>
      </c>
      <c r="G1" s="158" t="s">
        <v>346</v>
      </c>
    </row>
    <row r="2" spans="1:7">
      <c r="A2" s="153">
        <v>45446</v>
      </c>
      <c r="B2" s="154" t="s">
        <v>14</v>
      </c>
      <c r="C2" s="155">
        <v>1402</v>
      </c>
      <c r="D2" s="155">
        <v>68</v>
      </c>
      <c r="E2" s="155">
        <v>124562</v>
      </c>
      <c r="F2" s="155">
        <v>9.92</v>
      </c>
      <c r="G2" s="155">
        <v>23125</v>
      </c>
    </row>
    <row r="3" spans="1:7">
      <c r="A3" s="153">
        <v>45446</v>
      </c>
      <c r="B3" s="154" t="s">
        <v>24</v>
      </c>
      <c r="C3" s="155">
        <v>995</v>
      </c>
      <c r="D3" s="155">
        <v>86</v>
      </c>
      <c r="E3" s="155">
        <v>227958</v>
      </c>
      <c r="F3" s="155">
        <v>8.0500000000000007</v>
      </c>
      <c r="G3" s="155">
        <v>22788</v>
      </c>
    </row>
    <row r="4" spans="1:7">
      <c r="A4" s="153">
        <v>45446</v>
      </c>
      <c r="B4" s="154" t="s">
        <v>397</v>
      </c>
      <c r="C4" s="155">
        <v>1472</v>
      </c>
      <c r="D4" s="155">
        <v>296</v>
      </c>
      <c r="E4" s="155">
        <v>370242</v>
      </c>
      <c r="F4" s="155">
        <v>7.72</v>
      </c>
      <c r="G4" s="155">
        <v>7810</v>
      </c>
    </row>
    <row r="5" spans="1:7">
      <c r="A5" s="153">
        <v>45453</v>
      </c>
      <c r="B5" s="154" t="s">
        <v>14</v>
      </c>
      <c r="C5" s="155">
        <v>1018</v>
      </c>
      <c r="D5" s="155">
        <v>90</v>
      </c>
      <c r="E5" s="155">
        <v>92474</v>
      </c>
      <c r="F5" s="155">
        <v>9.4</v>
      </c>
      <c r="G5" s="155">
        <v>11966</v>
      </c>
    </row>
    <row r="6" spans="1:7">
      <c r="A6" s="153">
        <v>45453</v>
      </c>
      <c r="B6" s="154" t="s">
        <v>24</v>
      </c>
      <c r="C6" s="155">
        <v>1461</v>
      </c>
      <c r="D6" s="155">
        <v>64</v>
      </c>
      <c r="E6" s="155">
        <v>328902</v>
      </c>
      <c r="F6" s="155">
        <v>9.02</v>
      </c>
      <c r="G6" s="155">
        <v>26298</v>
      </c>
    </row>
    <row r="7" spans="1:7">
      <c r="A7" s="153">
        <v>45453</v>
      </c>
      <c r="B7" s="154" t="s">
        <v>397</v>
      </c>
      <c r="C7" s="155">
        <v>545</v>
      </c>
      <c r="D7" s="155">
        <v>93</v>
      </c>
      <c r="E7" s="155">
        <v>391621</v>
      </c>
      <c r="F7" s="155">
        <v>9.9600000000000009</v>
      </c>
      <c r="G7" s="155">
        <v>22029</v>
      </c>
    </row>
    <row r="8" spans="1:7">
      <c r="A8" s="153">
        <v>45460</v>
      </c>
      <c r="B8" s="154" t="s">
        <v>14</v>
      </c>
      <c r="C8" s="155">
        <v>881</v>
      </c>
      <c r="D8" s="155">
        <v>291</v>
      </c>
      <c r="E8" s="155">
        <v>95885</v>
      </c>
      <c r="F8" s="155">
        <v>5.29</v>
      </c>
      <c r="G8" s="155">
        <v>12391</v>
      </c>
    </row>
    <row r="9" spans="1:7">
      <c r="A9" s="153">
        <v>45460</v>
      </c>
      <c r="B9" s="154" t="s">
        <v>24</v>
      </c>
      <c r="C9" s="155">
        <v>1414</v>
      </c>
      <c r="D9" s="155">
        <v>131</v>
      </c>
      <c r="E9" s="155">
        <v>245947</v>
      </c>
      <c r="F9" s="155">
        <v>8.3000000000000007</v>
      </c>
      <c r="G9" s="155">
        <v>14477</v>
      </c>
    </row>
    <row r="10" spans="1:7">
      <c r="A10" s="153">
        <v>45460</v>
      </c>
      <c r="B10" s="154" t="s">
        <v>397</v>
      </c>
      <c r="C10" s="155">
        <v>1472</v>
      </c>
      <c r="D10" s="155">
        <v>170</v>
      </c>
      <c r="E10" s="155">
        <v>250428</v>
      </c>
      <c r="F10" s="155">
        <v>4.66</v>
      </c>
      <c r="G10" s="155">
        <v>25040</v>
      </c>
    </row>
    <row r="11" spans="1:7">
      <c r="A11" s="153">
        <v>45467</v>
      </c>
      <c r="B11" s="154" t="s">
        <v>14</v>
      </c>
      <c r="C11" s="155">
        <v>809</v>
      </c>
      <c r="D11" s="155">
        <v>197</v>
      </c>
      <c r="E11" s="155">
        <v>87186</v>
      </c>
      <c r="F11" s="155">
        <v>9.48</v>
      </c>
      <c r="G11" s="155">
        <v>22619</v>
      </c>
    </row>
    <row r="12" spans="1:7">
      <c r="A12" s="153">
        <v>45467</v>
      </c>
      <c r="B12" s="154" t="s">
        <v>24</v>
      </c>
      <c r="C12" s="155">
        <v>1371</v>
      </c>
      <c r="D12" s="155">
        <v>250</v>
      </c>
      <c r="E12" s="155">
        <v>128620</v>
      </c>
      <c r="F12" s="155">
        <v>7.11</v>
      </c>
      <c r="G12" s="155">
        <v>12399</v>
      </c>
    </row>
    <row r="13" spans="1:7">
      <c r="A13" s="153">
        <v>45467</v>
      </c>
      <c r="B13" s="154" t="s">
        <v>397</v>
      </c>
      <c r="C13" s="155">
        <v>844</v>
      </c>
      <c r="D13" s="155">
        <v>144</v>
      </c>
      <c r="E13" s="155">
        <v>126015</v>
      </c>
      <c r="F13" s="155">
        <v>9.65</v>
      </c>
      <c r="G13" s="155">
        <v>22456</v>
      </c>
    </row>
    <row r="14" spans="1:7">
      <c r="A14" s="153">
        <v>45474</v>
      </c>
      <c r="B14" s="154" t="s">
        <v>14</v>
      </c>
      <c r="C14" s="155">
        <v>786</v>
      </c>
      <c r="D14" s="155">
        <v>72</v>
      </c>
      <c r="E14" s="155">
        <v>178615</v>
      </c>
      <c r="F14" s="155">
        <v>5.43</v>
      </c>
      <c r="G14" s="155">
        <v>19328</v>
      </c>
    </row>
    <row r="15" spans="1:7">
      <c r="A15" s="153">
        <v>45474</v>
      </c>
      <c r="B15" s="154" t="s">
        <v>24</v>
      </c>
      <c r="C15" s="155">
        <v>845</v>
      </c>
      <c r="D15" s="155">
        <v>250</v>
      </c>
      <c r="E15" s="155">
        <v>218228</v>
      </c>
      <c r="F15" s="155">
        <v>4.5199999999999996</v>
      </c>
      <c r="G15" s="155">
        <v>21107</v>
      </c>
    </row>
    <row r="16" spans="1:7">
      <c r="A16" s="153">
        <v>45474</v>
      </c>
      <c r="B16" s="154" t="s">
        <v>397</v>
      </c>
      <c r="C16" s="155">
        <v>1218</v>
      </c>
      <c r="D16" s="155">
        <v>101</v>
      </c>
      <c r="E16" s="155">
        <v>300397</v>
      </c>
      <c r="F16" s="155">
        <v>4.33</v>
      </c>
      <c r="G16" s="155">
        <v>12277</v>
      </c>
    </row>
    <row r="17" spans="1:7">
      <c r="A17" s="153">
        <v>45481</v>
      </c>
      <c r="B17" s="154" t="s">
        <v>14</v>
      </c>
      <c r="C17" s="155">
        <v>797</v>
      </c>
      <c r="D17" s="155">
        <v>130</v>
      </c>
      <c r="E17" s="155">
        <v>340121</v>
      </c>
      <c r="F17" s="155">
        <v>8.52</v>
      </c>
      <c r="G17" s="155">
        <v>11684</v>
      </c>
    </row>
    <row r="18" spans="1:7">
      <c r="A18" s="153">
        <v>45481</v>
      </c>
      <c r="B18" s="154" t="s">
        <v>24</v>
      </c>
      <c r="C18" s="155">
        <v>1471</v>
      </c>
      <c r="D18" s="155">
        <v>100</v>
      </c>
      <c r="E18" s="155">
        <v>76866</v>
      </c>
      <c r="F18" s="155">
        <v>8.5500000000000007</v>
      </c>
      <c r="G18" s="155">
        <v>14412</v>
      </c>
    </row>
    <row r="19" spans="1:7">
      <c r="A19" s="153">
        <v>45481</v>
      </c>
      <c r="B19" s="154" t="s">
        <v>397</v>
      </c>
      <c r="C19" s="155">
        <v>1253</v>
      </c>
      <c r="D19" s="155">
        <v>136</v>
      </c>
      <c r="E19" s="155">
        <v>193131</v>
      </c>
      <c r="F19" s="155">
        <v>7.99</v>
      </c>
      <c r="G19" s="155">
        <v>15924</v>
      </c>
    </row>
    <row r="20" spans="1:7">
      <c r="A20" s="153">
        <v>45488</v>
      </c>
      <c r="B20" s="154" t="s">
        <v>14</v>
      </c>
      <c r="C20" s="155">
        <v>616</v>
      </c>
      <c r="D20" s="155">
        <v>257</v>
      </c>
      <c r="E20" s="155">
        <v>169665</v>
      </c>
      <c r="F20" s="155">
        <v>6.31</v>
      </c>
      <c r="G20" s="155">
        <v>12390</v>
      </c>
    </row>
    <row r="21" spans="1:7">
      <c r="A21" s="153">
        <v>45488</v>
      </c>
      <c r="B21" s="154" t="s">
        <v>24</v>
      </c>
      <c r="C21" s="155">
        <v>1308</v>
      </c>
      <c r="D21" s="155">
        <v>210</v>
      </c>
      <c r="E21" s="155">
        <v>263729</v>
      </c>
      <c r="F21" s="155">
        <v>8.5299999999999994</v>
      </c>
      <c r="G21" s="155">
        <v>25742</v>
      </c>
    </row>
    <row r="22" spans="1:7">
      <c r="A22" s="153">
        <v>45488</v>
      </c>
      <c r="B22" s="154" t="s">
        <v>397</v>
      </c>
      <c r="C22" s="155">
        <v>981</v>
      </c>
      <c r="D22" s="155">
        <v>69</v>
      </c>
      <c r="E22" s="155">
        <v>206921</v>
      </c>
      <c r="F22" s="155">
        <v>8.42</v>
      </c>
      <c r="G22" s="155">
        <v>10495</v>
      </c>
    </row>
    <row r="23" spans="1:7">
      <c r="A23" s="153">
        <v>45495</v>
      </c>
      <c r="B23" s="154" t="s">
        <v>14</v>
      </c>
      <c r="C23" s="155">
        <v>866</v>
      </c>
      <c r="D23" s="155">
        <v>74</v>
      </c>
      <c r="E23" s="155">
        <v>204121</v>
      </c>
      <c r="F23" s="155">
        <v>9.34</v>
      </c>
      <c r="G23" s="155">
        <v>7797</v>
      </c>
    </row>
    <row r="24" spans="1:7">
      <c r="A24" s="153">
        <v>45495</v>
      </c>
      <c r="B24" s="154" t="s">
        <v>24</v>
      </c>
      <c r="C24" s="155">
        <v>547</v>
      </c>
      <c r="D24" s="155">
        <v>183</v>
      </c>
      <c r="E24" s="155">
        <v>266350</v>
      </c>
      <c r="F24" s="155">
        <v>5.65</v>
      </c>
      <c r="G24" s="155">
        <v>15595</v>
      </c>
    </row>
    <row r="25" spans="1:7">
      <c r="A25" s="153">
        <v>45495</v>
      </c>
      <c r="B25" s="154" t="s">
        <v>397</v>
      </c>
      <c r="C25" s="155">
        <v>1241</v>
      </c>
      <c r="D25" s="155">
        <v>116</v>
      </c>
      <c r="E25" s="155">
        <v>380606</v>
      </c>
      <c r="F25" s="155">
        <v>4.2</v>
      </c>
      <c r="G25" s="155">
        <v>24617</v>
      </c>
    </row>
    <row r="26" spans="1:7">
      <c r="A26" s="153">
        <v>45502</v>
      </c>
      <c r="B26" s="154" t="s">
        <v>14</v>
      </c>
      <c r="C26" s="155">
        <v>973</v>
      </c>
      <c r="D26" s="155">
        <v>104</v>
      </c>
      <c r="E26" s="155">
        <v>376358</v>
      </c>
      <c r="F26" s="155">
        <v>3.87</v>
      </c>
      <c r="G26" s="155">
        <v>9847</v>
      </c>
    </row>
    <row r="27" spans="1:7">
      <c r="A27" s="153">
        <v>45502</v>
      </c>
      <c r="B27" s="154" t="s">
        <v>24</v>
      </c>
      <c r="C27" s="155">
        <v>611</v>
      </c>
      <c r="D27" s="155">
        <v>197</v>
      </c>
      <c r="E27" s="155">
        <v>79423</v>
      </c>
      <c r="F27" s="155">
        <v>5.82</v>
      </c>
      <c r="G27" s="155">
        <v>13644</v>
      </c>
    </row>
    <row r="28" spans="1:7">
      <c r="A28" s="153">
        <v>45502</v>
      </c>
      <c r="B28" s="154" t="s">
        <v>397</v>
      </c>
      <c r="C28" s="155">
        <v>983</v>
      </c>
      <c r="D28" s="155">
        <v>134</v>
      </c>
      <c r="E28" s="155">
        <v>352178</v>
      </c>
      <c r="F28" s="155">
        <v>3.55</v>
      </c>
      <c r="G28" s="155">
        <v>11421</v>
      </c>
    </row>
    <row r="29" spans="1:7">
      <c r="A29" s="153">
        <v>45509</v>
      </c>
      <c r="B29" s="154" t="s">
        <v>14</v>
      </c>
      <c r="C29" s="155">
        <v>1449</v>
      </c>
      <c r="D29" s="155">
        <v>96</v>
      </c>
      <c r="E29" s="155">
        <v>200636</v>
      </c>
      <c r="F29" s="155">
        <v>9.92</v>
      </c>
      <c r="G29" s="155">
        <v>15613</v>
      </c>
    </row>
    <row r="30" spans="1:7">
      <c r="A30" s="153">
        <v>45509</v>
      </c>
      <c r="B30" s="154" t="s">
        <v>24</v>
      </c>
      <c r="C30" s="155">
        <v>752</v>
      </c>
      <c r="D30" s="155">
        <v>170</v>
      </c>
      <c r="E30" s="155">
        <v>132756</v>
      </c>
      <c r="F30" s="155">
        <v>8.17</v>
      </c>
      <c r="G30" s="155">
        <v>23900</v>
      </c>
    </row>
    <row r="31" spans="1:7">
      <c r="A31" s="153">
        <v>45509</v>
      </c>
      <c r="B31" s="154" t="s">
        <v>397</v>
      </c>
      <c r="C31" s="155">
        <v>937</v>
      </c>
      <c r="D31" s="155">
        <v>179</v>
      </c>
      <c r="E31" s="155">
        <v>318098</v>
      </c>
      <c r="F31" s="155">
        <v>5.3</v>
      </c>
      <c r="G31" s="155">
        <v>5836</v>
      </c>
    </row>
    <row r="32" spans="1:7">
      <c r="A32" s="153">
        <v>45516</v>
      </c>
      <c r="B32" s="154" t="s">
        <v>14</v>
      </c>
      <c r="C32" s="155">
        <v>1060</v>
      </c>
      <c r="D32" s="155">
        <v>83</v>
      </c>
      <c r="E32" s="155">
        <v>68724</v>
      </c>
      <c r="F32" s="155">
        <v>5.98</v>
      </c>
      <c r="G32" s="155">
        <v>5624</v>
      </c>
    </row>
    <row r="33" spans="1:7">
      <c r="A33" s="153">
        <v>45516</v>
      </c>
      <c r="B33" s="154" t="s">
        <v>24</v>
      </c>
      <c r="C33" s="155">
        <v>1456</v>
      </c>
      <c r="D33" s="155">
        <v>265</v>
      </c>
      <c r="E33" s="155">
        <v>115505</v>
      </c>
      <c r="F33" s="155">
        <v>7.49</v>
      </c>
      <c r="G33" s="155">
        <v>10311</v>
      </c>
    </row>
    <row r="34" spans="1:7">
      <c r="A34" s="153">
        <v>45516</v>
      </c>
      <c r="B34" s="154" t="s">
        <v>397</v>
      </c>
      <c r="C34" s="155">
        <v>1109</v>
      </c>
      <c r="D34" s="155">
        <v>205</v>
      </c>
      <c r="E34" s="155">
        <v>276722</v>
      </c>
      <c r="F34" s="155">
        <v>9.3800000000000008</v>
      </c>
      <c r="G34" s="155">
        <v>8274</v>
      </c>
    </row>
    <row r="35" spans="1:7">
      <c r="A35" s="153">
        <v>45523</v>
      </c>
      <c r="B35" s="154" t="s">
        <v>14</v>
      </c>
      <c r="C35" s="155">
        <v>1002</v>
      </c>
      <c r="D35" s="155">
        <v>93</v>
      </c>
      <c r="E35" s="155">
        <v>353538</v>
      </c>
      <c r="F35" s="155">
        <v>5.84</v>
      </c>
      <c r="G35" s="155">
        <v>6031</v>
      </c>
    </row>
    <row r="36" spans="1:7">
      <c r="A36" s="153">
        <v>45523</v>
      </c>
      <c r="B36" s="154" t="s">
        <v>24</v>
      </c>
      <c r="C36" s="155">
        <v>571</v>
      </c>
      <c r="D36" s="155">
        <v>189</v>
      </c>
      <c r="E36" s="155">
        <v>61445</v>
      </c>
      <c r="F36" s="155">
        <v>5.41</v>
      </c>
      <c r="G36" s="155">
        <v>27829</v>
      </c>
    </row>
    <row r="37" spans="1:7">
      <c r="A37" s="153">
        <v>45523</v>
      </c>
      <c r="B37" s="154" t="s">
        <v>397</v>
      </c>
      <c r="C37" s="155">
        <v>1240</v>
      </c>
      <c r="D37" s="155">
        <v>231</v>
      </c>
      <c r="E37" s="155">
        <v>165035</v>
      </c>
      <c r="F37" s="155">
        <v>6.05</v>
      </c>
      <c r="G37" s="155">
        <v>18267</v>
      </c>
    </row>
    <row r="38" spans="1:7">
      <c r="A38" s="153">
        <v>45530</v>
      </c>
      <c r="B38" s="154" t="s">
        <v>14</v>
      </c>
      <c r="C38" s="155">
        <v>1154</v>
      </c>
      <c r="D38" s="155">
        <v>132</v>
      </c>
      <c r="E38" s="155">
        <v>194595</v>
      </c>
      <c r="F38" s="155">
        <v>7.54</v>
      </c>
      <c r="G38" s="155">
        <v>26624</v>
      </c>
    </row>
    <row r="39" spans="1:7">
      <c r="A39" s="153">
        <v>45530</v>
      </c>
      <c r="B39" s="154" t="s">
        <v>24</v>
      </c>
      <c r="C39" s="155">
        <v>537</v>
      </c>
      <c r="D39" s="155">
        <v>275</v>
      </c>
      <c r="E39" s="155">
        <v>236238</v>
      </c>
      <c r="F39" s="155">
        <v>5.87</v>
      </c>
      <c r="G39" s="155">
        <v>26644</v>
      </c>
    </row>
    <row r="40" spans="1:7">
      <c r="A40" s="153">
        <v>45530</v>
      </c>
      <c r="B40" s="154" t="s">
        <v>397</v>
      </c>
      <c r="C40" s="155">
        <v>1456</v>
      </c>
      <c r="D40" s="155">
        <v>290</v>
      </c>
      <c r="E40" s="155">
        <v>271044</v>
      </c>
      <c r="F40" s="155">
        <v>7.17</v>
      </c>
      <c r="G40" s="155">
        <v>13051</v>
      </c>
    </row>
    <row r="41" spans="1:7">
      <c r="A41" s="153">
        <v>45537</v>
      </c>
      <c r="B41" s="154" t="s">
        <v>14</v>
      </c>
      <c r="C41" s="155">
        <v>721</v>
      </c>
      <c r="D41" s="155">
        <v>206</v>
      </c>
      <c r="E41" s="155">
        <v>334887</v>
      </c>
      <c r="F41" s="155">
        <v>6.05</v>
      </c>
      <c r="G41" s="155">
        <v>14217</v>
      </c>
    </row>
    <row r="42" spans="1:7">
      <c r="A42" s="153">
        <v>45537</v>
      </c>
      <c r="B42" s="154" t="s">
        <v>24</v>
      </c>
      <c r="C42" s="155">
        <v>1098</v>
      </c>
      <c r="D42" s="155">
        <v>142</v>
      </c>
      <c r="E42" s="155">
        <v>359150</v>
      </c>
      <c r="F42" s="155">
        <v>7.51</v>
      </c>
      <c r="G42" s="155">
        <v>16385</v>
      </c>
    </row>
    <row r="43" spans="1:7">
      <c r="A43" s="153">
        <v>45537</v>
      </c>
      <c r="B43" s="154" t="s">
        <v>397</v>
      </c>
      <c r="C43" s="155">
        <v>1096</v>
      </c>
      <c r="D43" s="155">
        <v>65</v>
      </c>
      <c r="E43" s="155">
        <v>358295</v>
      </c>
      <c r="F43" s="155">
        <v>7.66</v>
      </c>
      <c r="G43" s="155">
        <v>24548</v>
      </c>
    </row>
    <row r="44" spans="1:7">
      <c r="A44" s="153">
        <v>45544</v>
      </c>
      <c r="B44" s="154" t="s">
        <v>14</v>
      </c>
      <c r="C44" s="155">
        <v>912</v>
      </c>
      <c r="D44" s="155">
        <v>275</v>
      </c>
      <c r="E44" s="155">
        <v>368454</v>
      </c>
      <c r="F44" s="155">
        <v>6.03</v>
      </c>
      <c r="G44" s="155">
        <v>9195</v>
      </c>
    </row>
    <row r="45" spans="1:7">
      <c r="A45" s="153">
        <v>45544</v>
      </c>
      <c r="B45" s="154" t="s">
        <v>24</v>
      </c>
      <c r="C45" s="155">
        <v>1430</v>
      </c>
      <c r="D45" s="155">
        <v>162</v>
      </c>
      <c r="E45" s="155">
        <v>269082</v>
      </c>
      <c r="F45" s="155">
        <v>3.4</v>
      </c>
      <c r="G45" s="155">
        <v>18071</v>
      </c>
    </row>
    <row r="46" spans="1:7">
      <c r="A46" s="153">
        <v>45544</v>
      </c>
      <c r="B46" s="154" t="s">
        <v>397</v>
      </c>
      <c r="C46" s="155">
        <v>854</v>
      </c>
      <c r="D46" s="155">
        <v>129</v>
      </c>
      <c r="E46" s="155">
        <v>310903</v>
      </c>
      <c r="F46" s="155">
        <v>7.83</v>
      </c>
      <c r="G46" s="155">
        <v>16875</v>
      </c>
    </row>
    <row r="47" spans="1:7">
      <c r="A47" s="153">
        <v>45551</v>
      </c>
      <c r="B47" s="154" t="s">
        <v>14</v>
      </c>
      <c r="C47" s="155">
        <v>681</v>
      </c>
      <c r="D47" s="155">
        <v>210</v>
      </c>
      <c r="E47" s="155">
        <v>248581</v>
      </c>
      <c r="F47" s="155">
        <v>8.76</v>
      </c>
      <c r="G47" s="155">
        <v>9567</v>
      </c>
    </row>
    <row r="48" spans="1:7">
      <c r="A48" s="153">
        <v>45551</v>
      </c>
      <c r="B48" s="154" t="s">
        <v>24</v>
      </c>
      <c r="C48" s="155">
        <v>1373</v>
      </c>
      <c r="D48" s="155">
        <v>82</v>
      </c>
      <c r="E48" s="155">
        <v>371015</v>
      </c>
      <c r="F48" s="155">
        <v>9.52</v>
      </c>
      <c r="G48" s="155">
        <v>20306</v>
      </c>
    </row>
    <row r="49" spans="1:7">
      <c r="A49" s="153">
        <v>45551</v>
      </c>
      <c r="B49" s="154" t="s">
        <v>397</v>
      </c>
      <c r="C49" s="155">
        <v>685</v>
      </c>
      <c r="D49" s="155">
        <v>285</v>
      </c>
      <c r="E49" s="155">
        <v>177452</v>
      </c>
      <c r="F49" s="155">
        <v>3.36</v>
      </c>
      <c r="G49" s="155">
        <v>21134</v>
      </c>
    </row>
    <row r="50" spans="1:7">
      <c r="A50" s="153">
        <v>45558</v>
      </c>
      <c r="B50" s="154" t="s">
        <v>14</v>
      </c>
      <c r="C50" s="155">
        <v>1290</v>
      </c>
      <c r="D50" s="155">
        <v>177</v>
      </c>
      <c r="E50" s="155">
        <v>80745</v>
      </c>
      <c r="F50" s="155">
        <v>9.2200000000000006</v>
      </c>
      <c r="G50" s="155">
        <v>26872</v>
      </c>
    </row>
    <row r="51" spans="1:7">
      <c r="A51" s="153">
        <v>45558</v>
      </c>
      <c r="B51" s="154" t="s">
        <v>24</v>
      </c>
      <c r="C51" s="155">
        <v>1437</v>
      </c>
      <c r="D51" s="155">
        <v>239</v>
      </c>
      <c r="E51" s="155">
        <v>362441</v>
      </c>
      <c r="F51" s="155">
        <v>5.57</v>
      </c>
      <c r="G51" s="155">
        <v>10253</v>
      </c>
    </row>
    <row r="52" spans="1:7">
      <c r="A52" s="153">
        <v>45558</v>
      </c>
      <c r="B52" s="154" t="s">
        <v>397</v>
      </c>
      <c r="C52" s="155">
        <v>769</v>
      </c>
      <c r="D52" s="155">
        <v>295</v>
      </c>
      <c r="E52" s="155">
        <v>344771</v>
      </c>
      <c r="F52" s="155">
        <v>8.06</v>
      </c>
      <c r="G52" s="155">
        <v>23963</v>
      </c>
    </row>
    <row r="53" spans="1:7">
      <c r="A53" s="153">
        <v>45565</v>
      </c>
      <c r="B53" s="154" t="s">
        <v>14</v>
      </c>
      <c r="C53" s="155">
        <v>1416</v>
      </c>
      <c r="D53" s="155">
        <v>284</v>
      </c>
      <c r="E53" s="155">
        <v>374952</v>
      </c>
      <c r="F53" s="155">
        <v>3.45</v>
      </c>
      <c r="G53" s="155">
        <v>11335</v>
      </c>
    </row>
    <row r="54" spans="1:7">
      <c r="A54" s="153">
        <v>45565</v>
      </c>
      <c r="B54" s="154" t="s">
        <v>24</v>
      </c>
      <c r="C54" s="155">
        <v>998</v>
      </c>
      <c r="D54" s="155">
        <v>154</v>
      </c>
      <c r="E54" s="155">
        <v>179781</v>
      </c>
      <c r="F54" s="155">
        <v>9.58</v>
      </c>
      <c r="G54" s="155">
        <v>12115</v>
      </c>
    </row>
    <row r="55" spans="1:7">
      <c r="A55" s="153">
        <v>45565</v>
      </c>
      <c r="B55" s="154" t="s">
        <v>397</v>
      </c>
      <c r="C55" s="155">
        <v>1421</v>
      </c>
      <c r="D55" s="155">
        <v>246</v>
      </c>
      <c r="E55" s="155">
        <v>358581</v>
      </c>
      <c r="F55" s="155">
        <v>8.8800000000000008</v>
      </c>
      <c r="G55" s="155">
        <v>24358</v>
      </c>
    </row>
    <row r="56" spans="1:7">
      <c r="A56" s="153">
        <v>45572</v>
      </c>
      <c r="B56" s="154" t="s">
        <v>14</v>
      </c>
      <c r="C56" s="155">
        <v>764</v>
      </c>
      <c r="D56" s="155">
        <v>205</v>
      </c>
      <c r="E56" s="155">
        <v>319294</v>
      </c>
      <c r="F56" s="155">
        <v>6.23</v>
      </c>
      <c r="G56" s="155">
        <v>12181</v>
      </c>
    </row>
    <row r="57" spans="1:7">
      <c r="A57" s="153">
        <v>45572</v>
      </c>
      <c r="B57" s="154" t="s">
        <v>24</v>
      </c>
      <c r="C57" s="155">
        <v>678</v>
      </c>
      <c r="D57" s="155">
        <v>124</v>
      </c>
      <c r="E57" s="155">
        <v>192022</v>
      </c>
      <c r="F57" s="155">
        <v>8.4499999999999993</v>
      </c>
      <c r="G57" s="155">
        <v>17729</v>
      </c>
    </row>
    <row r="58" spans="1:7">
      <c r="A58" s="153">
        <v>45572</v>
      </c>
      <c r="B58" s="154" t="s">
        <v>397</v>
      </c>
      <c r="C58" s="155">
        <v>1328</v>
      </c>
      <c r="D58" s="155">
        <v>103</v>
      </c>
      <c r="E58" s="155">
        <v>151462</v>
      </c>
      <c r="F58" s="155">
        <v>8.4</v>
      </c>
      <c r="G58" s="155">
        <v>10881</v>
      </c>
    </row>
    <row r="59" spans="1:7">
      <c r="A59" s="153">
        <v>45579</v>
      </c>
      <c r="B59" s="154" t="s">
        <v>14</v>
      </c>
      <c r="C59" s="155">
        <v>1161</v>
      </c>
      <c r="D59" s="155">
        <v>269</v>
      </c>
      <c r="E59" s="155">
        <v>188193</v>
      </c>
      <c r="F59" s="155">
        <v>7.34</v>
      </c>
      <c r="G59" s="155">
        <v>18576</v>
      </c>
    </row>
    <row r="60" spans="1:7">
      <c r="A60" s="153">
        <v>45579</v>
      </c>
      <c r="B60" s="154" t="s">
        <v>24</v>
      </c>
      <c r="C60" s="155">
        <v>588</v>
      </c>
      <c r="D60" s="155">
        <v>52</v>
      </c>
      <c r="E60" s="155">
        <v>292040</v>
      </c>
      <c r="F60" s="155">
        <v>8.14</v>
      </c>
      <c r="G60" s="155">
        <v>9383</v>
      </c>
    </row>
    <row r="61" spans="1:7">
      <c r="A61" s="153">
        <v>45579</v>
      </c>
      <c r="B61" s="154" t="s">
        <v>397</v>
      </c>
      <c r="C61" s="155">
        <v>1457</v>
      </c>
      <c r="D61" s="155">
        <v>215</v>
      </c>
      <c r="E61" s="155">
        <v>325325</v>
      </c>
      <c r="F61" s="155">
        <v>9.58</v>
      </c>
      <c r="G61" s="155">
        <v>14178</v>
      </c>
    </row>
    <row r="62" spans="1:7">
      <c r="A62" s="153">
        <v>45586</v>
      </c>
      <c r="B62" s="154" t="s">
        <v>14</v>
      </c>
      <c r="C62" s="155">
        <v>1190</v>
      </c>
      <c r="D62" s="155">
        <v>242</v>
      </c>
      <c r="E62" s="155">
        <v>86849</v>
      </c>
      <c r="F62" s="155">
        <v>8.06</v>
      </c>
      <c r="G62" s="155">
        <v>21254</v>
      </c>
    </row>
    <row r="63" spans="1:7">
      <c r="A63" s="153">
        <v>45586</v>
      </c>
      <c r="B63" s="154" t="s">
        <v>24</v>
      </c>
      <c r="C63" s="155">
        <v>886</v>
      </c>
      <c r="D63" s="155">
        <v>124</v>
      </c>
      <c r="E63" s="155">
        <v>141161</v>
      </c>
      <c r="F63" s="155">
        <v>8.19</v>
      </c>
      <c r="G63" s="155">
        <v>14215</v>
      </c>
    </row>
    <row r="64" spans="1:7">
      <c r="A64" s="153">
        <v>45586</v>
      </c>
      <c r="B64" s="154" t="s">
        <v>397</v>
      </c>
      <c r="C64" s="155">
        <v>1237</v>
      </c>
      <c r="D64" s="155">
        <v>155</v>
      </c>
      <c r="E64" s="155">
        <v>149916</v>
      </c>
      <c r="F64" s="155">
        <v>4.4800000000000004</v>
      </c>
      <c r="G64" s="155">
        <v>16921</v>
      </c>
    </row>
    <row r="65" spans="1:7">
      <c r="A65" s="153">
        <v>45593</v>
      </c>
      <c r="B65" s="154" t="s">
        <v>14</v>
      </c>
      <c r="C65" s="155">
        <v>1435</v>
      </c>
      <c r="D65" s="155">
        <v>261</v>
      </c>
      <c r="E65" s="155">
        <v>308533</v>
      </c>
      <c r="F65" s="155">
        <v>4.5199999999999996</v>
      </c>
      <c r="G65" s="155">
        <v>25130</v>
      </c>
    </row>
    <row r="66" spans="1:7">
      <c r="A66" s="153">
        <v>45593</v>
      </c>
      <c r="B66" s="154" t="s">
        <v>24</v>
      </c>
      <c r="C66" s="155">
        <v>746</v>
      </c>
      <c r="D66" s="155">
        <v>282</v>
      </c>
      <c r="E66" s="155">
        <v>293894</v>
      </c>
      <c r="F66" s="155">
        <v>5.42</v>
      </c>
      <c r="G66" s="155">
        <v>25537</v>
      </c>
    </row>
    <row r="67" spans="1:7">
      <c r="A67" s="153">
        <v>45593</v>
      </c>
      <c r="B67" s="154" t="s">
        <v>397</v>
      </c>
      <c r="C67" s="155">
        <v>759</v>
      </c>
      <c r="D67" s="155">
        <v>216</v>
      </c>
      <c r="E67" s="155">
        <v>147656</v>
      </c>
      <c r="F67" s="155">
        <v>4.08</v>
      </c>
      <c r="G67" s="155">
        <v>24943</v>
      </c>
    </row>
    <row r="68" spans="1:7">
      <c r="A68" s="153">
        <v>45600</v>
      </c>
      <c r="B68" s="154" t="s">
        <v>14</v>
      </c>
      <c r="C68" s="155">
        <v>1437</v>
      </c>
      <c r="D68" s="155">
        <v>235</v>
      </c>
      <c r="E68" s="155">
        <v>326791</v>
      </c>
      <c r="F68" s="155">
        <v>4.0599999999999996</v>
      </c>
      <c r="G68" s="155">
        <v>14563</v>
      </c>
    </row>
    <row r="69" spans="1:7">
      <c r="A69" s="153">
        <v>45600</v>
      </c>
      <c r="B69" s="154" t="s">
        <v>24</v>
      </c>
      <c r="C69" s="155">
        <v>1463</v>
      </c>
      <c r="D69" s="155">
        <v>73</v>
      </c>
      <c r="E69" s="155">
        <v>348877</v>
      </c>
      <c r="F69" s="155">
        <v>9.91</v>
      </c>
      <c r="G69" s="155">
        <v>26273</v>
      </c>
    </row>
    <row r="70" spans="1:7">
      <c r="A70" s="153">
        <v>45600</v>
      </c>
      <c r="B70" s="154" t="s">
        <v>397</v>
      </c>
      <c r="C70" s="155">
        <v>1208</v>
      </c>
      <c r="D70" s="155">
        <v>224</v>
      </c>
      <c r="E70" s="155">
        <v>122730</v>
      </c>
      <c r="F70" s="155">
        <v>8.7200000000000006</v>
      </c>
      <c r="G70" s="155">
        <v>10858</v>
      </c>
    </row>
    <row r="71" spans="1:7">
      <c r="A71" s="153">
        <v>45607</v>
      </c>
      <c r="B71" s="154" t="s">
        <v>14</v>
      </c>
      <c r="C71" s="155">
        <v>1391</v>
      </c>
      <c r="D71" s="155">
        <v>187</v>
      </c>
      <c r="E71" s="155">
        <v>306508</v>
      </c>
      <c r="F71" s="155">
        <v>8.3800000000000008</v>
      </c>
      <c r="G71" s="155">
        <v>25038</v>
      </c>
    </row>
    <row r="72" spans="1:7">
      <c r="A72" s="153">
        <v>45607</v>
      </c>
      <c r="B72" s="154" t="s">
        <v>24</v>
      </c>
      <c r="C72" s="155">
        <v>655</v>
      </c>
      <c r="D72" s="155">
        <v>123</v>
      </c>
      <c r="E72" s="155">
        <v>202472</v>
      </c>
      <c r="F72" s="155">
        <v>7.56</v>
      </c>
      <c r="G72" s="155">
        <v>9092</v>
      </c>
    </row>
    <row r="73" spans="1:7">
      <c r="A73" s="153">
        <v>45607</v>
      </c>
      <c r="B73" s="154" t="s">
        <v>397</v>
      </c>
      <c r="C73" s="155">
        <v>1148</v>
      </c>
      <c r="D73" s="155">
        <v>90</v>
      </c>
      <c r="E73" s="155">
        <v>227249</v>
      </c>
      <c r="F73" s="155">
        <v>7.24</v>
      </c>
      <c r="G73" s="155">
        <v>17662</v>
      </c>
    </row>
    <row r="74" spans="1:7">
      <c r="A74" s="153">
        <v>45614</v>
      </c>
      <c r="B74" s="154" t="s">
        <v>14</v>
      </c>
      <c r="C74" s="155">
        <v>946</v>
      </c>
      <c r="D74" s="155">
        <v>270</v>
      </c>
      <c r="E74" s="155">
        <v>246567</v>
      </c>
      <c r="F74" s="155">
        <v>4.53</v>
      </c>
      <c r="G74" s="155">
        <v>5924</v>
      </c>
    </row>
    <row r="75" spans="1:7">
      <c r="A75" s="153">
        <v>45614</v>
      </c>
      <c r="B75" s="154" t="s">
        <v>24</v>
      </c>
      <c r="C75" s="155">
        <v>791</v>
      </c>
      <c r="D75" s="155">
        <v>214</v>
      </c>
      <c r="E75" s="155">
        <v>114738</v>
      </c>
      <c r="F75" s="155">
        <v>6.62</v>
      </c>
      <c r="G75" s="155">
        <v>25347</v>
      </c>
    </row>
    <row r="76" spans="1:7">
      <c r="A76" s="153">
        <v>45614</v>
      </c>
      <c r="B76" s="154" t="s">
        <v>397</v>
      </c>
      <c r="C76" s="155">
        <v>793</v>
      </c>
      <c r="D76" s="155">
        <v>111</v>
      </c>
      <c r="E76" s="155">
        <v>333500</v>
      </c>
      <c r="F76" s="155">
        <v>6.36</v>
      </c>
      <c r="G76" s="155">
        <v>8910</v>
      </c>
    </row>
    <row r="77" spans="1:7">
      <c r="A77" s="153">
        <v>45621</v>
      </c>
      <c r="B77" s="154" t="s">
        <v>14</v>
      </c>
      <c r="C77" s="155">
        <v>663</v>
      </c>
      <c r="D77" s="155">
        <v>213</v>
      </c>
      <c r="E77" s="155">
        <v>352677</v>
      </c>
      <c r="F77" s="155">
        <v>9</v>
      </c>
      <c r="G77" s="155">
        <v>20438</v>
      </c>
    </row>
    <row r="78" spans="1:7">
      <c r="A78" s="153">
        <v>45621</v>
      </c>
      <c r="B78" s="154" t="s">
        <v>24</v>
      </c>
      <c r="C78" s="155">
        <v>954</v>
      </c>
      <c r="D78" s="155">
        <v>271</v>
      </c>
      <c r="E78" s="155">
        <v>160936</v>
      </c>
      <c r="F78" s="155">
        <v>8.83</v>
      </c>
      <c r="G78" s="155">
        <v>8760</v>
      </c>
    </row>
    <row r="79" spans="1:7">
      <c r="A79" s="153">
        <v>45621</v>
      </c>
      <c r="B79" s="154" t="s">
        <v>397</v>
      </c>
      <c r="C79" s="155">
        <v>1313</v>
      </c>
      <c r="D79" s="155">
        <v>159</v>
      </c>
      <c r="E79" s="155">
        <v>197183</v>
      </c>
      <c r="F79" s="155">
        <v>9.7100000000000009</v>
      </c>
      <c r="G79" s="155">
        <v>6625</v>
      </c>
    </row>
    <row r="80" spans="1:7">
      <c r="A80" s="153">
        <v>45628</v>
      </c>
      <c r="B80" s="154" t="s">
        <v>14</v>
      </c>
      <c r="C80" s="155">
        <v>895</v>
      </c>
      <c r="D80" s="155">
        <v>87</v>
      </c>
      <c r="E80" s="155">
        <v>171271</v>
      </c>
      <c r="F80" s="155">
        <v>6.68</v>
      </c>
      <c r="G80" s="155">
        <v>23329</v>
      </c>
    </row>
    <row r="81" spans="1:7">
      <c r="A81" s="153">
        <v>45628</v>
      </c>
      <c r="B81" s="154" t="s">
        <v>24</v>
      </c>
      <c r="C81" s="155">
        <v>1027</v>
      </c>
      <c r="D81" s="155">
        <v>156</v>
      </c>
      <c r="E81" s="155">
        <v>111293</v>
      </c>
      <c r="F81" s="155">
        <v>5.51</v>
      </c>
      <c r="G81" s="155">
        <v>7299</v>
      </c>
    </row>
    <row r="82" spans="1:7">
      <c r="A82" s="153">
        <v>45628</v>
      </c>
      <c r="B82" s="154" t="s">
        <v>397</v>
      </c>
      <c r="C82" s="155">
        <v>990</v>
      </c>
      <c r="D82" s="155">
        <v>286</v>
      </c>
      <c r="E82" s="155">
        <v>351493</v>
      </c>
      <c r="F82" s="155">
        <v>7.97</v>
      </c>
      <c r="G82" s="155">
        <v>14496</v>
      </c>
    </row>
    <row r="83" spans="1:7">
      <c r="A83" s="153">
        <v>45635</v>
      </c>
      <c r="B83" s="154" t="s">
        <v>14</v>
      </c>
      <c r="C83" s="155">
        <v>875</v>
      </c>
      <c r="D83" s="155">
        <v>264</v>
      </c>
      <c r="E83" s="155">
        <v>345631</v>
      </c>
      <c r="F83" s="155">
        <v>9.18</v>
      </c>
      <c r="G83" s="155">
        <v>25703</v>
      </c>
    </row>
    <row r="84" spans="1:7">
      <c r="A84" s="153">
        <v>45635</v>
      </c>
      <c r="B84" s="154" t="s">
        <v>24</v>
      </c>
      <c r="C84" s="155">
        <v>599</v>
      </c>
      <c r="D84" s="155">
        <v>194</v>
      </c>
      <c r="E84" s="155">
        <v>105622</v>
      </c>
      <c r="F84" s="155">
        <v>6.44</v>
      </c>
      <c r="G84" s="155">
        <v>15108</v>
      </c>
    </row>
    <row r="85" spans="1:7">
      <c r="A85" s="153">
        <v>45635</v>
      </c>
      <c r="B85" s="154" t="s">
        <v>397</v>
      </c>
      <c r="C85" s="155">
        <v>630</v>
      </c>
      <c r="D85" s="155">
        <v>248</v>
      </c>
      <c r="E85" s="155">
        <v>119054</v>
      </c>
      <c r="F85" s="155">
        <v>5.0199999999999996</v>
      </c>
      <c r="G85" s="155">
        <v>18867</v>
      </c>
    </row>
    <row r="86" spans="1:7">
      <c r="A86" s="153">
        <v>45642</v>
      </c>
      <c r="B86" s="154" t="s">
        <v>14</v>
      </c>
      <c r="C86" s="155">
        <v>1350</v>
      </c>
      <c r="D86" s="155">
        <v>233</v>
      </c>
      <c r="E86" s="155">
        <v>171670</v>
      </c>
      <c r="F86" s="155">
        <v>4.53</v>
      </c>
      <c r="G86" s="155">
        <v>17574</v>
      </c>
    </row>
    <row r="87" spans="1:7">
      <c r="A87" s="153">
        <v>45642</v>
      </c>
      <c r="B87" s="154" t="s">
        <v>24</v>
      </c>
      <c r="C87" s="155">
        <v>632</v>
      </c>
      <c r="D87" s="155">
        <v>155</v>
      </c>
      <c r="E87" s="155">
        <v>170432</v>
      </c>
      <c r="F87" s="155">
        <v>9.17</v>
      </c>
      <c r="G87" s="155">
        <v>12840</v>
      </c>
    </row>
    <row r="88" spans="1:7">
      <c r="A88" s="153">
        <v>45642</v>
      </c>
      <c r="B88" s="154" t="s">
        <v>397</v>
      </c>
      <c r="C88" s="155">
        <v>1182</v>
      </c>
      <c r="D88" s="155">
        <v>83</v>
      </c>
      <c r="E88" s="155">
        <v>140300</v>
      </c>
      <c r="F88" s="155">
        <v>3.27</v>
      </c>
      <c r="G88" s="155">
        <v>21079</v>
      </c>
    </row>
    <row r="89" spans="1:7">
      <c r="A89" s="153">
        <v>45649</v>
      </c>
      <c r="B89" s="154" t="s">
        <v>14</v>
      </c>
      <c r="C89" s="155">
        <v>661</v>
      </c>
      <c r="D89" s="155">
        <v>94</v>
      </c>
      <c r="E89" s="155">
        <v>116538</v>
      </c>
      <c r="F89" s="155">
        <v>5.31</v>
      </c>
      <c r="G89" s="155">
        <v>23486</v>
      </c>
    </row>
    <row r="90" spans="1:7">
      <c r="A90" s="153">
        <v>45649</v>
      </c>
      <c r="B90" s="154" t="s">
        <v>24</v>
      </c>
      <c r="C90" s="155">
        <v>1360</v>
      </c>
      <c r="D90" s="155">
        <v>227</v>
      </c>
      <c r="E90" s="155">
        <v>176902</v>
      </c>
      <c r="F90" s="155">
        <v>6.03</v>
      </c>
      <c r="G90" s="155">
        <v>5960</v>
      </c>
    </row>
    <row r="91" spans="1:7">
      <c r="A91" s="153">
        <v>45649</v>
      </c>
      <c r="B91" s="154" t="s">
        <v>397</v>
      </c>
      <c r="C91" s="155">
        <v>935</v>
      </c>
      <c r="D91" s="155">
        <v>85</v>
      </c>
      <c r="E91" s="155">
        <v>326821</v>
      </c>
      <c r="F91" s="155">
        <v>8.89</v>
      </c>
      <c r="G91" s="155">
        <v>13301</v>
      </c>
    </row>
    <row r="92" spans="1:7">
      <c r="A92" s="153">
        <v>45656</v>
      </c>
      <c r="B92" s="154" t="s">
        <v>14</v>
      </c>
      <c r="C92" s="155">
        <v>664</v>
      </c>
      <c r="D92" s="155">
        <v>251</v>
      </c>
      <c r="E92" s="155">
        <v>240598</v>
      </c>
      <c r="F92" s="155">
        <v>4.79</v>
      </c>
      <c r="G92" s="155">
        <v>10563</v>
      </c>
    </row>
    <row r="93" spans="1:7">
      <c r="A93" s="153">
        <v>45656</v>
      </c>
      <c r="B93" s="154" t="s">
        <v>24</v>
      </c>
      <c r="C93" s="155">
        <v>1490</v>
      </c>
      <c r="D93" s="155">
        <v>103</v>
      </c>
      <c r="E93" s="155">
        <v>373274</v>
      </c>
      <c r="F93" s="155">
        <v>4.8</v>
      </c>
      <c r="G93" s="155">
        <v>19949</v>
      </c>
    </row>
    <row r="94" spans="1:7">
      <c r="A94" s="153">
        <v>45656</v>
      </c>
      <c r="B94" s="154" t="s">
        <v>397</v>
      </c>
      <c r="C94" s="155">
        <v>601</v>
      </c>
      <c r="D94" s="155">
        <v>64</v>
      </c>
      <c r="E94" s="155">
        <v>123272</v>
      </c>
      <c r="F94" s="155">
        <v>4.07</v>
      </c>
      <c r="G94" s="155">
        <v>14273</v>
      </c>
    </row>
    <row r="95" spans="1:7">
      <c r="A95" s="153">
        <v>45663</v>
      </c>
      <c r="B95" s="154" t="s">
        <v>14</v>
      </c>
      <c r="C95" s="155">
        <v>613</v>
      </c>
      <c r="D95" s="155">
        <v>170</v>
      </c>
      <c r="E95" s="155">
        <v>139266</v>
      </c>
      <c r="F95" s="155">
        <v>6.06</v>
      </c>
      <c r="G95" s="155">
        <v>9247</v>
      </c>
    </row>
    <row r="96" spans="1:7">
      <c r="A96" s="153">
        <v>45663</v>
      </c>
      <c r="B96" s="154" t="s">
        <v>24</v>
      </c>
      <c r="C96" s="155">
        <v>1340</v>
      </c>
      <c r="D96" s="155">
        <v>57</v>
      </c>
      <c r="E96" s="155">
        <v>155927</v>
      </c>
      <c r="F96" s="155">
        <v>7.79</v>
      </c>
      <c r="G96" s="155">
        <v>11972</v>
      </c>
    </row>
    <row r="97" spans="1:7">
      <c r="A97" s="153">
        <v>45663</v>
      </c>
      <c r="B97" s="154" t="s">
        <v>397</v>
      </c>
      <c r="C97" s="155">
        <v>953</v>
      </c>
      <c r="D97" s="155">
        <v>228</v>
      </c>
      <c r="E97" s="155">
        <v>258398</v>
      </c>
      <c r="F97" s="155">
        <v>9.0500000000000007</v>
      </c>
      <c r="G97" s="155">
        <v>13314</v>
      </c>
    </row>
    <row r="98" spans="1:7">
      <c r="A98" s="153">
        <v>45670</v>
      </c>
      <c r="B98" s="154" t="s">
        <v>14</v>
      </c>
      <c r="C98" s="155">
        <v>532</v>
      </c>
      <c r="D98" s="155">
        <v>65</v>
      </c>
      <c r="E98" s="155">
        <v>338561</v>
      </c>
      <c r="F98" s="155">
        <v>3.5</v>
      </c>
      <c r="G98" s="155">
        <v>14749</v>
      </c>
    </row>
    <row r="99" spans="1:7">
      <c r="A99" s="153">
        <v>45670</v>
      </c>
      <c r="B99" s="154" t="s">
        <v>24</v>
      </c>
      <c r="C99" s="155">
        <v>1414</v>
      </c>
      <c r="D99" s="155">
        <v>60</v>
      </c>
      <c r="E99" s="155">
        <v>341856</v>
      </c>
      <c r="F99" s="155">
        <v>8.76</v>
      </c>
      <c r="G99" s="155">
        <v>6868</v>
      </c>
    </row>
    <row r="100" spans="1:7">
      <c r="A100" s="153">
        <v>45670</v>
      </c>
      <c r="B100" s="154" t="s">
        <v>397</v>
      </c>
      <c r="C100" s="155">
        <v>685</v>
      </c>
      <c r="D100" s="155">
        <v>165</v>
      </c>
      <c r="E100" s="155">
        <v>175860</v>
      </c>
      <c r="F100" s="155">
        <v>6.26</v>
      </c>
      <c r="G100" s="155">
        <v>6027</v>
      </c>
    </row>
    <row r="101" spans="1:7">
      <c r="A101" s="153">
        <v>45677</v>
      </c>
      <c r="B101" s="154" t="s">
        <v>14</v>
      </c>
      <c r="C101" s="155">
        <v>601</v>
      </c>
      <c r="D101" s="155">
        <v>159</v>
      </c>
      <c r="E101" s="155">
        <v>327722</v>
      </c>
      <c r="F101" s="155">
        <v>3.33</v>
      </c>
      <c r="G101" s="155">
        <v>25267</v>
      </c>
    </row>
    <row r="102" spans="1:7">
      <c r="A102" s="153">
        <v>45677</v>
      </c>
      <c r="B102" s="154" t="s">
        <v>24</v>
      </c>
      <c r="C102" s="155">
        <v>841</v>
      </c>
      <c r="D102" s="155">
        <v>295</v>
      </c>
      <c r="E102" s="155">
        <v>271638</v>
      </c>
      <c r="F102" s="155">
        <v>9.15</v>
      </c>
      <c r="G102" s="155">
        <v>5900</v>
      </c>
    </row>
    <row r="103" spans="1:7">
      <c r="A103" s="153">
        <v>45677</v>
      </c>
      <c r="B103" s="154" t="s">
        <v>397</v>
      </c>
      <c r="C103" s="155">
        <v>1105</v>
      </c>
      <c r="D103" s="155">
        <v>261</v>
      </c>
      <c r="E103" s="155">
        <v>333851</v>
      </c>
      <c r="F103" s="155">
        <v>6.03</v>
      </c>
      <c r="G103" s="155">
        <v>11181</v>
      </c>
    </row>
    <row r="104" spans="1:7">
      <c r="A104" s="153">
        <v>45684</v>
      </c>
      <c r="B104" s="154" t="s">
        <v>14</v>
      </c>
      <c r="C104" s="155">
        <v>566</v>
      </c>
      <c r="D104" s="155">
        <v>225</v>
      </c>
      <c r="E104" s="155">
        <v>368984</v>
      </c>
      <c r="F104" s="155">
        <v>9.82</v>
      </c>
      <c r="G104" s="155">
        <v>9592</v>
      </c>
    </row>
    <row r="105" spans="1:7">
      <c r="A105" s="153">
        <v>45684</v>
      </c>
      <c r="B105" s="154" t="s">
        <v>24</v>
      </c>
      <c r="C105" s="155">
        <v>1149</v>
      </c>
      <c r="D105" s="155">
        <v>280</v>
      </c>
      <c r="E105" s="155">
        <v>167310</v>
      </c>
      <c r="F105" s="155">
        <v>3.7</v>
      </c>
      <c r="G105" s="155">
        <v>5291</v>
      </c>
    </row>
    <row r="106" spans="1:7">
      <c r="A106" s="153">
        <v>45684</v>
      </c>
      <c r="B106" s="154" t="s">
        <v>397</v>
      </c>
      <c r="C106" s="155">
        <v>819</v>
      </c>
      <c r="D106" s="155">
        <v>101</v>
      </c>
      <c r="E106" s="155">
        <v>194811</v>
      </c>
      <c r="F106" s="155">
        <v>3.35</v>
      </c>
      <c r="G106" s="155">
        <v>22244</v>
      </c>
    </row>
    <row r="107" spans="1:7">
      <c r="A107" s="153">
        <v>45691</v>
      </c>
      <c r="B107" s="154" t="s">
        <v>14</v>
      </c>
      <c r="C107" s="155">
        <v>795</v>
      </c>
      <c r="D107" s="155">
        <v>60</v>
      </c>
      <c r="E107" s="155">
        <v>314982</v>
      </c>
      <c r="F107" s="155">
        <v>7.31</v>
      </c>
      <c r="G107" s="155">
        <v>6824</v>
      </c>
    </row>
    <row r="108" spans="1:7">
      <c r="A108" s="153">
        <v>45691</v>
      </c>
      <c r="B108" s="154" t="s">
        <v>24</v>
      </c>
      <c r="C108" s="155">
        <v>681</v>
      </c>
      <c r="D108" s="155">
        <v>158</v>
      </c>
      <c r="E108" s="155">
        <v>75960</v>
      </c>
      <c r="F108" s="155">
        <v>3.13</v>
      </c>
      <c r="G108" s="155">
        <v>24112</v>
      </c>
    </row>
    <row r="109" spans="1:7">
      <c r="A109" s="153">
        <v>45691</v>
      </c>
      <c r="B109" s="154" t="s">
        <v>397</v>
      </c>
      <c r="C109" s="155">
        <v>534</v>
      </c>
      <c r="D109" s="155">
        <v>112</v>
      </c>
      <c r="E109" s="155">
        <v>360759</v>
      </c>
      <c r="F109" s="155">
        <v>4.8899999999999997</v>
      </c>
      <c r="G109" s="155">
        <v>25478</v>
      </c>
    </row>
    <row r="110" spans="1:7">
      <c r="A110" s="153">
        <v>45698</v>
      </c>
      <c r="B110" s="154" t="s">
        <v>14</v>
      </c>
      <c r="C110" s="155">
        <v>1066</v>
      </c>
      <c r="D110" s="155">
        <v>151</v>
      </c>
      <c r="E110" s="155">
        <v>297090</v>
      </c>
      <c r="F110" s="155">
        <v>8.6300000000000008</v>
      </c>
      <c r="G110" s="155">
        <v>11235</v>
      </c>
    </row>
    <row r="111" spans="1:7">
      <c r="A111" s="153">
        <v>45698</v>
      </c>
      <c r="B111" s="154" t="s">
        <v>24</v>
      </c>
      <c r="C111" s="155">
        <v>1270</v>
      </c>
      <c r="D111" s="155">
        <v>162</v>
      </c>
      <c r="E111" s="155">
        <v>92040</v>
      </c>
      <c r="F111" s="155">
        <v>8.0299999999999994</v>
      </c>
      <c r="G111" s="155">
        <v>6120</v>
      </c>
    </row>
    <row r="112" spans="1:7">
      <c r="A112" s="153">
        <v>45698</v>
      </c>
      <c r="B112" s="154" t="s">
        <v>397</v>
      </c>
      <c r="C112" s="155">
        <v>536</v>
      </c>
      <c r="D112" s="155">
        <v>198</v>
      </c>
      <c r="E112" s="155">
        <v>174610</v>
      </c>
      <c r="F112" s="155">
        <v>7.85</v>
      </c>
      <c r="G112" s="155">
        <v>20572</v>
      </c>
    </row>
    <row r="113" spans="1:7">
      <c r="A113" s="153">
        <v>45705</v>
      </c>
      <c r="B113" s="154" t="s">
        <v>14</v>
      </c>
      <c r="C113" s="155">
        <v>819</v>
      </c>
      <c r="D113" s="155">
        <v>95</v>
      </c>
      <c r="E113" s="155">
        <v>177376</v>
      </c>
      <c r="F113" s="155">
        <v>6.12</v>
      </c>
      <c r="G113" s="155">
        <v>14975</v>
      </c>
    </row>
    <row r="114" spans="1:7">
      <c r="A114" s="153">
        <v>45705</v>
      </c>
      <c r="B114" s="154" t="s">
        <v>24</v>
      </c>
      <c r="C114" s="155">
        <v>681</v>
      </c>
      <c r="D114" s="155">
        <v>218</v>
      </c>
      <c r="E114" s="155">
        <v>198882</v>
      </c>
      <c r="F114" s="155">
        <v>7.16</v>
      </c>
      <c r="G114" s="155">
        <v>22234</v>
      </c>
    </row>
    <row r="115" spans="1:7">
      <c r="A115" s="153">
        <v>45705</v>
      </c>
      <c r="B115" s="154" t="s">
        <v>397</v>
      </c>
      <c r="C115" s="155">
        <v>646</v>
      </c>
      <c r="D115" s="155">
        <v>290</v>
      </c>
      <c r="E115" s="155">
        <v>336383</v>
      </c>
      <c r="F115" s="155">
        <v>7.04</v>
      </c>
      <c r="G115" s="155">
        <v>6532</v>
      </c>
    </row>
    <row r="116" spans="1:7">
      <c r="A116" s="153">
        <v>45712</v>
      </c>
      <c r="B116" s="154" t="s">
        <v>14</v>
      </c>
      <c r="C116" s="155">
        <v>645</v>
      </c>
      <c r="D116" s="155">
        <v>267</v>
      </c>
      <c r="E116" s="155">
        <v>346890</v>
      </c>
      <c r="F116" s="155">
        <v>3.71</v>
      </c>
      <c r="G116" s="155">
        <v>24858</v>
      </c>
    </row>
    <row r="117" spans="1:7">
      <c r="A117" s="153">
        <v>45712</v>
      </c>
      <c r="B117" s="154" t="s">
        <v>24</v>
      </c>
      <c r="C117" s="155">
        <v>886</v>
      </c>
      <c r="D117" s="155">
        <v>250</v>
      </c>
      <c r="E117" s="155">
        <v>168170</v>
      </c>
      <c r="F117" s="155">
        <v>4.12</v>
      </c>
      <c r="G117" s="155">
        <v>13883</v>
      </c>
    </row>
    <row r="118" spans="1:7">
      <c r="A118" s="153">
        <v>45712</v>
      </c>
      <c r="B118" s="154" t="s">
        <v>397</v>
      </c>
      <c r="C118" s="155">
        <v>978</v>
      </c>
      <c r="D118" s="155">
        <v>279</v>
      </c>
      <c r="E118" s="155">
        <v>368872</v>
      </c>
      <c r="F118" s="155">
        <v>6.82</v>
      </c>
      <c r="G118" s="155">
        <v>18654</v>
      </c>
    </row>
    <row r="119" spans="1:7">
      <c r="A119" s="153">
        <v>45719</v>
      </c>
      <c r="B119" s="154" t="s">
        <v>14</v>
      </c>
      <c r="C119" s="155">
        <v>1444</v>
      </c>
      <c r="D119" s="155">
        <v>165</v>
      </c>
      <c r="E119" s="155">
        <v>116436</v>
      </c>
      <c r="F119" s="155">
        <v>8.2200000000000006</v>
      </c>
      <c r="G119" s="155">
        <v>25234</v>
      </c>
    </row>
    <row r="120" spans="1:7">
      <c r="A120" s="153">
        <v>45719</v>
      </c>
      <c r="B120" s="154" t="s">
        <v>24</v>
      </c>
      <c r="C120" s="155">
        <v>1234</v>
      </c>
      <c r="D120" s="155">
        <v>228</v>
      </c>
      <c r="E120" s="155">
        <v>127502</v>
      </c>
      <c r="F120" s="155">
        <v>7.71</v>
      </c>
      <c r="G120" s="155">
        <v>6772</v>
      </c>
    </row>
    <row r="121" spans="1:7">
      <c r="A121" s="153">
        <v>45719</v>
      </c>
      <c r="B121" s="154" t="s">
        <v>397</v>
      </c>
      <c r="C121" s="155">
        <v>665</v>
      </c>
      <c r="D121" s="155">
        <v>187</v>
      </c>
      <c r="E121" s="155">
        <v>274567</v>
      </c>
      <c r="F121" s="155">
        <v>7.39</v>
      </c>
      <c r="G121" s="155">
        <v>22428</v>
      </c>
    </row>
    <row r="122" spans="1:7">
      <c r="A122" s="153">
        <v>45726</v>
      </c>
      <c r="B122" s="154" t="s">
        <v>14</v>
      </c>
      <c r="C122" s="155">
        <v>631</v>
      </c>
      <c r="D122" s="155">
        <v>86</v>
      </c>
      <c r="E122" s="155">
        <v>295090</v>
      </c>
      <c r="F122" s="155">
        <v>7.89</v>
      </c>
      <c r="G122" s="155">
        <v>11911</v>
      </c>
    </row>
    <row r="123" spans="1:7">
      <c r="A123" s="153">
        <v>45726</v>
      </c>
      <c r="B123" s="154" t="s">
        <v>24</v>
      </c>
      <c r="C123" s="155">
        <v>1159</v>
      </c>
      <c r="D123" s="155">
        <v>154</v>
      </c>
      <c r="E123" s="155">
        <v>194994</v>
      </c>
      <c r="F123" s="155">
        <v>6.39</v>
      </c>
      <c r="G123" s="155">
        <v>21900</v>
      </c>
    </row>
    <row r="124" spans="1:7">
      <c r="A124" s="153">
        <v>45726</v>
      </c>
      <c r="B124" s="154" t="s">
        <v>397</v>
      </c>
      <c r="C124" s="155">
        <v>950</v>
      </c>
      <c r="D124" s="155">
        <v>185</v>
      </c>
      <c r="E124" s="155">
        <v>340750</v>
      </c>
      <c r="F124" s="155">
        <v>6.77</v>
      </c>
      <c r="G124" s="155">
        <v>25542</v>
      </c>
    </row>
    <row r="125" spans="1:7">
      <c r="A125" s="153">
        <v>45733</v>
      </c>
      <c r="B125" s="154" t="s">
        <v>14</v>
      </c>
      <c r="C125" s="155">
        <v>693</v>
      </c>
      <c r="D125" s="155">
        <v>129</v>
      </c>
      <c r="E125" s="155">
        <v>296031</v>
      </c>
      <c r="F125" s="155">
        <v>3.41</v>
      </c>
      <c r="G125" s="155">
        <v>7140</v>
      </c>
    </row>
    <row r="126" spans="1:7">
      <c r="A126" s="153">
        <v>45733</v>
      </c>
      <c r="B126" s="154" t="s">
        <v>24</v>
      </c>
      <c r="C126" s="155">
        <v>576</v>
      </c>
      <c r="D126" s="155">
        <v>80</v>
      </c>
      <c r="E126" s="155">
        <v>345688</v>
      </c>
      <c r="F126" s="155">
        <v>4.1100000000000003</v>
      </c>
      <c r="G126" s="155">
        <v>20474</v>
      </c>
    </row>
    <row r="127" spans="1:7">
      <c r="A127" s="153">
        <v>45733</v>
      </c>
      <c r="B127" s="154" t="s">
        <v>397</v>
      </c>
      <c r="C127" s="155">
        <v>1274</v>
      </c>
      <c r="D127" s="155">
        <v>146</v>
      </c>
      <c r="E127" s="155">
        <v>263488</v>
      </c>
      <c r="F127" s="155">
        <v>9.58</v>
      </c>
      <c r="G127" s="155">
        <v>8698</v>
      </c>
    </row>
    <row r="128" spans="1:7">
      <c r="A128" s="153">
        <v>45740</v>
      </c>
      <c r="B128" s="154" t="s">
        <v>14</v>
      </c>
      <c r="C128" s="155">
        <v>818</v>
      </c>
      <c r="D128" s="155">
        <v>253</v>
      </c>
      <c r="E128" s="155">
        <v>184911</v>
      </c>
      <c r="F128" s="155">
        <v>3.39</v>
      </c>
      <c r="G128" s="155">
        <v>10402</v>
      </c>
    </row>
    <row r="129" spans="1:7">
      <c r="A129" s="153">
        <v>45740</v>
      </c>
      <c r="B129" s="154" t="s">
        <v>24</v>
      </c>
      <c r="C129" s="155">
        <v>975</v>
      </c>
      <c r="D129" s="155">
        <v>162</v>
      </c>
      <c r="E129" s="155">
        <v>124497</v>
      </c>
      <c r="F129" s="155">
        <v>9.58</v>
      </c>
      <c r="G129" s="155">
        <v>26618</v>
      </c>
    </row>
    <row r="130" spans="1:7">
      <c r="A130" s="153">
        <v>45740</v>
      </c>
      <c r="B130" s="154" t="s">
        <v>397</v>
      </c>
      <c r="C130" s="155">
        <v>1398</v>
      </c>
      <c r="D130" s="155">
        <v>97</v>
      </c>
      <c r="E130" s="155">
        <v>397607</v>
      </c>
      <c r="F130" s="155">
        <v>5.09</v>
      </c>
      <c r="G130" s="155">
        <v>7975</v>
      </c>
    </row>
    <row r="131" spans="1:7">
      <c r="A131" s="153">
        <v>45747</v>
      </c>
      <c r="B131" s="154" t="s">
        <v>14</v>
      </c>
      <c r="C131" s="155">
        <v>591</v>
      </c>
      <c r="D131" s="155">
        <v>155</v>
      </c>
      <c r="E131" s="155">
        <v>138521</v>
      </c>
      <c r="F131" s="155">
        <v>7.85</v>
      </c>
      <c r="G131" s="155">
        <v>19054</v>
      </c>
    </row>
    <row r="132" spans="1:7">
      <c r="A132" s="153">
        <v>45747</v>
      </c>
      <c r="B132" s="154" t="s">
        <v>24</v>
      </c>
      <c r="C132" s="155">
        <v>1232</v>
      </c>
      <c r="D132" s="155">
        <v>254</v>
      </c>
      <c r="E132" s="155">
        <v>107718</v>
      </c>
      <c r="F132" s="155">
        <v>9.7100000000000009</v>
      </c>
      <c r="G132" s="155">
        <v>13740</v>
      </c>
    </row>
    <row r="133" spans="1:7">
      <c r="A133" s="153">
        <v>45747</v>
      </c>
      <c r="B133" s="154" t="s">
        <v>397</v>
      </c>
      <c r="C133" s="155">
        <v>1425</v>
      </c>
      <c r="D133" s="155">
        <v>58</v>
      </c>
      <c r="E133" s="155">
        <v>202234</v>
      </c>
      <c r="F133" s="155">
        <v>6.67</v>
      </c>
      <c r="G133" s="155">
        <v>18442</v>
      </c>
    </row>
    <row r="134" spans="1:7">
      <c r="A134" s="153">
        <v>45754</v>
      </c>
      <c r="B134" s="154" t="s">
        <v>14</v>
      </c>
      <c r="C134" s="155">
        <v>1417</v>
      </c>
      <c r="D134" s="155">
        <v>80</v>
      </c>
      <c r="E134" s="155">
        <v>340987</v>
      </c>
      <c r="F134" s="155">
        <v>6.13</v>
      </c>
      <c r="G134" s="155">
        <v>10104</v>
      </c>
    </row>
    <row r="135" spans="1:7">
      <c r="A135" s="153">
        <v>45754</v>
      </c>
      <c r="B135" s="154" t="s">
        <v>24</v>
      </c>
      <c r="C135" s="155">
        <v>1222</v>
      </c>
      <c r="D135" s="155">
        <v>208</v>
      </c>
      <c r="E135" s="155">
        <v>340098</v>
      </c>
      <c r="F135" s="155">
        <v>7.34</v>
      </c>
      <c r="G135" s="155">
        <v>21771</v>
      </c>
    </row>
    <row r="136" spans="1:7">
      <c r="A136" s="153">
        <v>45754</v>
      </c>
      <c r="B136" s="154" t="s">
        <v>397</v>
      </c>
      <c r="C136" s="155">
        <v>1071</v>
      </c>
      <c r="D136" s="155">
        <v>131</v>
      </c>
      <c r="E136" s="155">
        <v>254727</v>
      </c>
      <c r="F136" s="155">
        <v>6.87</v>
      </c>
      <c r="G136" s="155">
        <v>22191</v>
      </c>
    </row>
    <row r="137" spans="1:7">
      <c r="A137" s="153">
        <v>45761</v>
      </c>
      <c r="B137" s="154" t="s">
        <v>14</v>
      </c>
      <c r="C137" s="155">
        <v>772</v>
      </c>
      <c r="D137" s="155">
        <v>82</v>
      </c>
      <c r="E137" s="155">
        <v>345659</v>
      </c>
      <c r="F137" s="155">
        <v>3.52</v>
      </c>
      <c r="G137" s="155">
        <v>27753</v>
      </c>
    </row>
    <row r="138" spans="1:7">
      <c r="A138" s="153">
        <v>45761</v>
      </c>
      <c r="B138" s="154" t="s">
        <v>24</v>
      </c>
      <c r="C138" s="155">
        <v>1472</v>
      </c>
      <c r="D138" s="155">
        <v>137</v>
      </c>
      <c r="E138" s="155">
        <v>213950</v>
      </c>
      <c r="F138" s="155">
        <v>6.96</v>
      </c>
      <c r="G138" s="155">
        <v>23736</v>
      </c>
    </row>
    <row r="139" spans="1:7">
      <c r="A139" s="153">
        <v>45761</v>
      </c>
      <c r="B139" s="154" t="s">
        <v>397</v>
      </c>
      <c r="C139" s="155">
        <v>1472</v>
      </c>
      <c r="D139" s="155">
        <v>281</v>
      </c>
      <c r="E139" s="155">
        <v>258115</v>
      </c>
      <c r="F139" s="155">
        <v>7.23</v>
      </c>
      <c r="G139" s="155">
        <v>27393</v>
      </c>
    </row>
    <row r="140" spans="1:7">
      <c r="A140" s="153">
        <v>45768</v>
      </c>
      <c r="B140" s="154" t="s">
        <v>14</v>
      </c>
      <c r="C140" s="155">
        <v>585</v>
      </c>
      <c r="D140" s="155">
        <v>232</v>
      </c>
      <c r="E140" s="155">
        <v>321258</v>
      </c>
      <c r="F140" s="155">
        <v>7.42</v>
      </c>
      <c r="G140" s="155">
        <v>10343</v>
      </c>
    </row>
    <row r="141" spans="1:7">
      <c r="A141" s="153">
        <v>45768</v>
      </c>
      <c r="B141" s="154" t="s">
        <v>24</v>
      </c>
      <c r="C141" s="155">
        <v>747</v>
      </c>
      <c r="D141" s="155">
        <v>261</v>
      </c>
      <c r="E141" s="155">
        <v>338650</v>
      </c>
      <c r="F141" s="155">
        <v>7.73</v>
      </c>
      <c r="G141" s="155">
        <v>25259</v>
      </c>
    </row>
    <row r="142" spans="1:7">
      <c r="A142" s="153">
        <v>45768</v>
      </c>
      <c r="B142" s="154" t="s">
        <v>397</v>
      </c>
      <c r="C142" s="155">
        <v>1113</v>
      </c>
      <c r="D142" s="155">
        <v>224</v>
      </c>
      <c r="E142" s="155">
        <v>272989</v>
      </c>
      <c r="F142" s="155">
        <v>5.13</v>
      </c>
      <c r="G142" s="155">
        <v>24827</v>
      </c>
    </row>
    <row r="143" spans="1:7">
      <c r="A143" s="153">
        <v>45775</v>
      </c>
      <c r="B143" s="154" t="s">
        <v>14</v>
      </c>
      <c r="C143" s="155">
        <v>1100</v>
      </c>
      <c r="D143" s="155">
        <v>117</v>
      </c>
      <c r="E143" s="155">
        <v>260204</v>
      </c>
      <c r="F143" s="155">
        <v>4.4000000000000004</v>
      </c>
      <c r="G143" s="155">
        <v>11908</v>
      </c>
    </row>
    <row r="144" spans="1:7">
      <c r="A144" s="153">
        <v>45775</v>
      </c>
      <c r="B144" s="154" t="s">
        <v>24</v>
      </c>
      <c r="C144" s="155">
        <v>751</v>
      </c>
      <c r="D144" s="155">
        <v>170</v>
      </c>
      <c r="E144" s="155">
        <v>283278</v>
      </c>
      <c r="F144" s="155">
        <v>3.49</v>
      </c>
      <c r="G144" s="155">
        <v>11005</v>
      </c>
    </row>
    <row r="145" spans="1:7">
      <c r="A145" s="153">
        <v>45775</v>
      </c>
      <c r="B145" s="154" t="s">
        <v>397</v>
      </c>
      <c r="C145" s="155">
        <v>864</v>
      </c>
      <c r="D145" s="155">
        <v>50</v>
      </c>
      <c r="E145" s="155">
        <v>277445</v>
      </c>
      <c r="F145" s="155">
        <v>3.57</v>
      </c>
      <c r="G145" s="155">
        <v>26333</v>
      </c>
    </row>
    <row r="146" spans="1:7">
      <c r="A146" s="153">
        <v>45782</v>
      </c>
      <c r="B146" s="154" t="s">
        <v>14</v>
      </c>
      <c r="C146" s="155">
        <v>1146</v>
      </c>
      <c r="D146" s="155">
        <v>227</v>
      </c>
      <c r="E146" s="155">
        <v>353781</v>
      </c>
      <c r="F146" s="155">
        <v>6.41</v>
      </c>
      <c r="G146" s="155">
        <v>5495</v>
      </c>
    </row>
    <row r="147" spans="1:7">
      <c r="A147" s="153">
        <v>45782</v>
      </c>
      <c r="B147" s="154" t="s">
        <v>24</v>
      </c>
      <c r="C147" s="155">
        <v>883</v>
      </c>
      <c r="D147" s="155">
        <v>207</v>
      </c>
      <c r="E147" s="155">
        <v>265019</v>
      </c>
      <c r="F147" s="155">
        <v>6.04</v>
      </c>
      <c r="G147" s="155">
        <v>15655</v>
      </c>
    </row>
    <row r="148" spans="1:7">
      <c r="A148" s="153">
        <v>45782</v>
      </c>
      <c r="B148" s="154" t="s">
        <v>397</v>
      </c>
      <c r="C148" s="155">
        <v>622</v>
      </c>
      <c r="D148" s="155">
        <v>163</v>
      </c>
      <c r="E148" s="155">
        <v>231925</v>
      </c>
      <c r="F148" s="155">
        <v>9.18</v>
      </c>
      <c r="G148" s="155">
        <v>13763</v>
      </c>
    </row>
    <row r="149" spans="1:7">
      <c r="A149" s="153">
        <v>45789</v>
      </c>
      <c r="B149" s="154" t="s">
        <v>14</v>
      </c>
      <c r="C149" s="155">
        <v>837</v>
      </c>
      <c r="D149" s="155">
        <v>261</v>
      </c>
      <c r="E149" s="155">
        <v>366149</v>
      </c>
      <c r="F149" s="155">
        <v>6.54</v>
      </c>
      <c r="G149" s="155">
        <v>26073</v>
      </c>
    </row>
    <row r="150" spans="1:7">
      <c r="A150" s="153">
        <v>45789</v>
      </c>
      <c r="B150" s="154" t="s">
        <v>24</v>
      </c>
      <c r="C150" s="155">
        <v>544</v>
      </c>
      <c r="D150" s="155">
        <v>97</v>
      </c>
      <c r="E150" s="155">
        <v>168375</v>
      </c>
      <c r="F150" s="155">
        <v>8.66</v>
      </c>
      <c r="G150" s="155">
        <v>12774</v>
      </c>
    </row>
    <row r="151" spans="1:7">
      <c r="A151" s="153">
        <v>45789</v>
      </c>
      <c r="B151" s="154" t="s">
        <v>397</v>
      </c>
      <c r="C151" s="155">
        <v>624</v>
      </c>
      <c r="D151" s="155">
        <v>247</v>
      </c>
      <c r="E151" s="155">
        <v>252763</v>
      </c>
      <c r="F151" s="155">
        <v>3.89</v>
      </c>
      <c r="G151" s="155">
        <v>19000</v>
      </c>
    </row>
    <row r="152" spans="1:7">
      <c r="A152" s="153">
        <v>45796</v>
      </c>
      <c r="B152" s="154" t="s">
        <v>14</v>
      </c>
      <c r="C152" s="155">
        <v>1073</v>
      </c>
      <c r="D152" s="155">
        <v>141</v>
      </c>
      <c r="E152" s="155">
        <v>118393</v>
      </c>
      <c r="F152" s="155">
        <v>7.95</v>
      </c>
      <c r="G152" s="155">
        <v>14051</v>
      </c>
    </row>
    <row r="153" spans="1:7">
      <c r="A153" s="153">
        <v>45796</v>
      </c>
      <c r="B153" s="154" t="s">
        <v>24</v>
      </c>
      <c r="C153" s="155">
        <v>1430</v>
      </c>
      <c r="D153" s="155">
        <v>74</v>
      </c>
      <c r="E153" s="155">
        <v>327012</v>
      </c>
      <c r="F153" s="155">
        <v>6.66</v>
      </c>
      <c r="G153" s="155">
        <v>27782</v>
      </c>
    </row>
    <row r="154" spans="1:7">
      <c r="A154" s="153">
        <v>45796</v>
      </c>
      <c r="B154" s="154" t="s">
        <v>397</v>
      </c>
      <c r="C154" s="155">
        <v>1358</v>
      </c>
      <c r="D154" s="155">
        <v>77</v>
      </c>
      <c r="E154" s="155">
        <v>169688</v>
      </c>
      <c r="F154" s="155">
        <v>5.25</v>
      </c>
      <c r="G154" s="155">
        <v>7859</v>
      </c>
    </row>
    <row r="155" spans="1:7">
      <c r="A155" s="153">
        <v>45803</v>
      </c>
      <c r="B155" s="154" t="s">
        <v>14</v>
      </c>
      <c r="C155" s="155">
        <v>1242</v>
      </c>
      <c r="D155" s="155">
        <v>201</v>
      </c>
      <c r="E155" s="155">
        <v>271935</v>
      </c>
      <c r="F155" s="155">
        <v>5.07</v>
      </c>
      <c r="G155" s="155">
        <v>15773</v>
      </c>
    </row>
    <row r="156" spans="1:7">
      <c r="A156" s="153">
        <v>45803</v>
      </c>
      <c r="B156" s="154" t="s">
        <v>24</v>
      </c>
      <c r="C156" s="155">
        <v>1389</v>
      </c>
      <c r="D156" s="155">
        <v>205</v>
      </c>
      <c r="E156" s="155">
        <v>315981</v>
      </c>
      <c r="F156" s="155">
        <v>7.62</v>
      </c>
      <c r="G156" s="155">
        <v>20595</v>
      </c>
    </row>
    <row r="157" spans="1:7">
      <c r="A157" s="153">
        <v>45803</v>
      </c>
      <c r="B157" s="154" t="s">
        <v>397</v>
      </c>
      <c r="C157" s="155">
        <v>826</v>
      </c>
      <c r="D157" s="155">
        <v>142</v>
      </c>
      <c r="E157" s="155">
        <v>341016</v>
      </c>
      <c r="F157" s="155">
        <v>7.44</v>
      </c>
      <c r="G157" s="155">
        <v>12031</v>
      </c>
    </row>
    <row r="158" spans="1:7">
      <c r="A158" s="153">
        <v>45810</v>
      </c>
      <c r="B158" s="154" t="s">
        <v>14</v>
      </c>
      <c r="C158" s="155">
        <v>618</v>
      </c>
      <c r="D158" s="155">
        <v>264</v>
      </c>
      <c r="E158" s="155">
        <v>285164</v>
      </c>
      <c r="F158" s="155">
        <v>4.8600000000000003</v>
      </c>
      <c r="G158" s="155">
        <v>15128</v>
      </c>
    </row>
    <row r="159" spans="1:7">
      <c r="A159" s="153">
        <v>45810</v>
      </c>
      <c r="B159" s="154" t="s">
        <v>24</v>
      </c>
      <c r="C159" s="155">
        <v>1419</v>
      </c>
      <c r="D159" s="155">
        <v>293</v>
      </c>
      <c r="E159" s="155">
        <v>116632</v>
      </c>
      <c r="F159" s="155">
        <v>6.93</v>
      </c>
      <c r="G159" s="155">
        <v>11826</v>
      </c>
    </row>
    <row r="160" spans="1:7">
      <c r="A160" s="153">
        <v>45810</v>
      </c>
      <c r="B160" s="154" t="s">
        <v>397</v>
      </c>
      <c r="C160" s="155">
        <v>637</v>
      </c>
      <c r="D160" s="155">
        <v>68</v>
      </c>
      <c r="E160" s="155">
        <v>115694</v>
      </c>
      <c r="F160" s="155">
        <v>9.99</v>
      </c>
      <c r="G160" s="155">
        <v>12562</v>
      </c>
    </row>
    <row r="161" spans="1:7">
      <c r="A161" s="153">
        <v>45817</v>
      </c>
      <c r="B161" s="154" t="s">
        <v>14</v>
      </c>
      <c r="C161" s="155">
        <v>917</v>
      </c>
      <c r="D161" s="155">
        <v>187</v>
      </c>
      <c r="E161" s="155">
        <v>64444</v>
      </c>
      <c r="F161" s="155">
        <v>5.22</v>
      </c>
      <c r="G161" s="155">
        <v>13013</v>
      </c>
    </row>
    <row r="162" spans="1:7">
      <c r="A162" s="153">
        <v>45817</v>
      </c>
      <c r="B162" s="154" t="s">
        <v>24</v>
      </c>
      <c r="C162" s="155">
        <v>810</v>
      </c>
      <c r="D162" s="155">
        <v>232</v>
      </c>
      <c r="E162" s="155">
        <v>362559</v>
      </c>
      <c r="F162" s="155">
        <v>5.17</v>
      </c>
      <c r="G162" s="155">
        <v>12937</v>
      </c>
    </row>
    <row r="163" spans="1:7">
      <c r="A163" s="153">
        <v>45817</v>
      </c>
      <c r="B163" s="154" t="s">
        <v>397</v>
      </c>
      <c r="C163" s="155">
        <v>1183</v>
      </c>
      <c r="D163" s="155">
        <v>248</v>
      </c>
      <c r="E163" s="155">
        <v>226881</v>
      </c>
      <c r="F163" s="155">
        <v>5.17</v>
      </c>
      <c r="G163" s="155">
        <v>14534</v>
      </c>
    </row>
    <row r="164" spans="1:7">
      <c r="A164" s="153">
        <v>45824</v>
      </c>
      <c r="B164" s="154" t="s">
        <v>14</v>
      </c>
      <c r="C164" s="155">
        <v>765</v>
      </c>
      <c r="D164" s="155">
        <v>67</v>
      </c>
      <c r="E164" s="155">
        <v>283537</v>
      </c>
      <c r="F164" s="155">
        <v>6.18</v>
      </c>
      <c r="G164" s="155">
        <v>8182</v>
      </c>
    </row>
    <row r="165" spans="1:7">
      <c r="A165" s="153">
        <v>45824</v>
      </c>
      <c r="B165" s="154" t="s">
        <v>24</v>
      </c>
      <c r="C165" s="155">
        <v>540</v>
      </c>
      <c r="D165" s="155">
        <v>215</v>
      </c>
      <c r="E165" s="155">
        <v>62837</v>
      </c>
      <c r="F165" s="155">
        <v>5.3</v>
      </c>
      <c r="G165" s="155">
        <v>10615</v>
      </c>
    </row>
    <row r="166" spans="1:7">
      <c r="A166" s="153">
        <v>45824</v>
      </c>
      <c r="B166" s="154" t="s">
        <v>397</v>
      </c>
      <c r="C166" s="155">
        <v>1145</v>
      </c>
      <c r="D166" s="155">
        <v>151</v>
      </c>
      <c r="E166" s="155">
        <v>182759</v>
      </c>
      <c r="F166" s="155">
        <v>5.99</v>
      </c>
      <c r="G166" s="155">
        <v>20109</v>
      </c>
    </row>
    <row r="167" spans="1:7">
      <c r="A167" s="153">
        <v>45831</v>
      </c>
      <c r="B167" s="154" t="s">
        <v>14</v>
      </c>
      <c r="C167" s="155">
        <v>564</v>
      </c>
      <c r="D167" s="155">
        <v>244</v>
      </c>
      <c r="E167" s="155">
        <v>279405</v>
      </c>
      <c r="F167" s="155">
        <v>8.43</v>
      </c>
      <c r="G167" s="155">
        <v>26024</v>
      </c>
    </row>
    <row r="168" spans="1:7">
      <c r="A168" s="153">
        <v>45831</v>
      </c>
      <c r="B168" s="154" t="s">
        <v>24</v>
      </c>
      <c r="C168" s="155">
        <v>668</v>
      </c>
      <c r="D168" s="155">
        <v>124</v>
      </c>
      <c r="E168" s="155">
        <v>257485</v>
      </c>
      <c r="F168" s="155">
        <v>7.55</v>
      </c>
      <c r="G168" s="155">
        <v>26730</v>
      </c>
    </row>
    <row r="169" spans="1:7">
      <c r="A169" s="153">
        <v>45831</v>
      </c>
      <c r="B169" s="154" t="s">
        <v>397</v>
      </c>
      <c r="C169" s="155">
        <v>761</v>
      </c>
      <c r="D169" s="155">
        <v>241</v>
      </c>
      <c r="E169" s="155">
        <v>154977</v>
      </c>
      <c r="F169" s="155">
        <v>5.63</v>
      </c>
      <c r="G169" s="155">
        <v>10563</v>
      </c>
    </row>
    <row r="170" spans="1:7">
      <c r="A170" s="153">
        <v>45838</v>
      </c>
      <c r="B170" s="154" t="s">
        <v>14</v>
      </c>
      <c r="C170" s="155">
        <v>593</v>
      </c>
      <c r="D170" s="155">
        <v>108</v>
      </c>
      <c r="E170" s="155">
        <v>216500</v>
      </c>
      <c r="F170" s="155">
        <v>4.71</v>
      </c>
      <c r="G170" s="155">
        <v>27575</v>
      </c>
    </row>
    <row r="171" spans="1:7">
      <c r="A171" s="153">
        <v>45838</v>
      </c>
      <c r="B171" s="154" t="s">
        <v>24</v>
      </c>
      <c r="C171" s="155">
        <v>1349</v>
      </c>
      <c r="D171" s="155">
        <v>115</v>
      </c>
      <c r="E171" s="155">
        <v>102102</v>
      </c>
      <c r="F171" s="155">
        <v>5.28</v>
      </c>
      <c r="G171" s="155">
        <v>14479</v>
      </c>
    </row>
    <row r="172" spans="1:7">
      <c r="A172" s="153">
        <v>45838</v>
      </c>
      <c r="B172" s="154" t="s">
        <v>397</v>
      </c>
      <c r="C172" s="155">
        <v>693</v>
      </c>
      <c r="D172" s="155">
        <v>97</v>
      </c>
      <c r="E172" s="155">
        <v>92025</v>
      </c>
      <c r="F172" s="155">
        <v>5.95</v>
      </c>
      <c r="G172" s="155">
        <v>15915</v>
      </c>
    </row>
    <row r="173" spans="1:7">
      <c r="A173" s="153">
        <v>45845</v>
      </c>
      <c r="B173" s="154" t="s">
        <v>14</v>
      </c>
      <c r="C173" s="155">
        <v>974</v>
      </c>
      <c r="D173" s="155">
        <v>143</v>
      </c>
      <c r="E173" s="155">
        <v>247965</v>
      </c>
      <c r="F173" s="155">
        <v>9.98</v>
      </c>
      <c r="G173" s="155">
        <v>12767</v>
      </c>
    </row>
    <row r="174" spans="1:7">
      <c r="A174" s="153">
        <v>45845</v>
      </c>
      <c r="B174" s="154" t="s">
        <v>24</v>
      </c>
      <c r="C174" s="155">
        <v>1155</v>
      </c>
      <c r="D174" s="155">
        <v>122</v>
      </c>
      <c r="E174" s="155">
        <v>387352</v>
      </c>
      <c r="F174" s="155">
        <v>9.93</v>
      </c>
      <c r="G174" s="155">
        <v>12170</v>
      </c>
    </row>
    <row r="175" spans="1:7">
      <c r="A175" s="153">
        <v>45845</v>
      </c>
      <c r="B175" s="154" t="s">
        <v>397</v>
      </c>
      <c r="C175" s="155">
        <v>1051</v>
      </c>
      <c r="D175" s="155">
        <v>246</v>
      </c>
      <c r="E175" s="155">
        <v>253985</v>
      </c>
      <c r="F175" s="155">
        <v>9.08</v>
      </c>
      <c r="G175" s="155">
        <v>7245</v>
      </c>
    </row>
    <row r="176" spans="1:7">
      <c r="A176" s="153">
        <v>45852</v>
      </c>
      <c r="B176" s="154" t="s">
        <v>14</v>
      </c>
      <c r="C176" s="155">
        <v>1457</v>
      </c>
      <c r="D176" s="155">
        <v>183</v>
      </c>
      <c r="E176" s="155">
        <v>129640</v>
      </c>
      <c r="F176" s="155">
        <v>7.98</v>
      </c>
      <c r="G176" s="155">
        <v>12985</v>
      </c>
    </row>
    <row r="177" spans="1:7">
      <c r="A177" s="153">
        <v>45852</v>
      </c>
      <c r="B177" s="154" t="s">
        <v>24</v>
      </c>
      <c r="C177" s="155">
        <v>670</v>
      </c>
      <c r="D177" s="155">
        <v>242</v>
      </c>
      <c r="E177" s="155">
        <v>281913</v>
      </c>
      <c r="F177" s="155">
        <v>9.6199999999999992</v>
      </c>
      <c r="G177" s="155">
        <v>16377</v>
      </c>
    </row>
    <row r="178" spans="1:7">
      <c r="A178" s="153">
        <v>45852</v>
      </c>
      <c r="B178" s="154" t="s">
        <v>397</v>
      </c>
      <c r="C178" s="155">
        <v>1111</v>
      </c>
      <c r="D178" s="155">
        <v>159</v>
      </c>
      <c r="E178" s="155">
        <v>360770</v>
      </c>
      <c r="F178" s="155">
        <v>8.7100000000000009</v>
      </c>
      <c r="G178" s="155">
        <v>11453</v>
      </c>
    </row>
    <row r="179" spans="1:7">
      <c r="A179" s="153">
        <v>45859</v>
      </c>
      <c r="B179" s="154" t="s">
        <v>14</v>
      </c>
      <c r="C179" s="155">
        <v>1197</v>
      </c>
      <c r="D179" s="155">
        <v>246</v>
      </c>
      <c r="E179" s="155">
        <v>127273</v>
      </c>
      <c r="F179" s="155">
        <v>6.69</v>
      </c>
      <c r="G179" s="155">
        <v>12323</v>
      </c>
    </row>
    <row r="180" spans="1:7">
      <c r="A180" s="153">
        <v>45859</v>
      </c>
      <c r="B180" s="154" t="s">
        <v>24</v>
      </c>
      <c r="C180" s="155">
        <v>754</v>
      </c>
      <c r="D180" s="155">
        <v>150</v>
      </c>
      <c r="E180" s="155">
        <v>189622</v>
      </c>
      <c r="F180" s="155">
        <v>4.25</v>
      </c>
      <c r="G180" s="155">
        <v>11911</v>
      </c>
    </row>
    <row r="181" spans="1:7">
      <c r="A181" s="153">
        <v>45859</v>
      </c>
      <c r="B181" s="154" t="s">
        <v>397</v>
      </c>
      <c r="C181" s="155">
        <v>1246</v>
      </c>
      <c r="D181" s="155">
        <v>107</v>
      </c>
      <c r="E181" s="155">
        <v>350949</v>
      </c>
      <c r="F181" s="155">
        <v>4.9800000000000004</v>
      </c>
      <c r="G181" s="155">
        <v>27809</v>
      </c>
    </row>
    <row r="182" spans="1:7">
      <c r="A182" s="153">
        <v>45866</v>
      </c>
      <c r="B182" s="154" t="s">
        <v>14</v>
      </c>
      <c r="C182" s="155">
        <v>780</v>
      </c>
      <c r="D182" s="155">
        <v>213</v>
      </c>
      <c r="E182" s="155">
        <v>121431</v>
      </c>
      <c r="F182" s="155">
        <v>4.97</v>
      </c>
      <c r="G182" s="155">
        <v>21464</v>
      </c>
    </row>
    <row r="183" spans="1:7">
      <c r="A183" s="153">
        <v>45866</v>
      </c>
      <c r="B183" s="154" t="s">
        <v>24</v>
      </c>
      <c r="C183" s="155">
        <v>1425</v>
      </c>
      <c r="D183" s="155">
        <v>143</v>
      </c>
      <c r="E183" s="155">
        <v>116742</v>
      </c>
      <c r="F183" s="155">
        <v>3.71</v>
      </c>
      <c r="G183" s="155">
        <v>27126</v>
      </c>
    </row>
    <row r="184" spans="1:7">
      <c r="A184" s="153">
        <v>45866</v>
      </c>
      <c r="B184" s="154" t="s">
        <v>397</v>
      </c>
      <c r="C184" s="155">
        <v>1490</v>
      </c>
      <c r="D184" s="155">
        <v>103</v>
      </c>
      <c r="E184" s="155">
        <v>81184</v>
      </c>
      <c r="F184" s="155">
        <v>7.79</v>
      </c>
      <c r="G184" s="155">
        <v>10681</v>
      </c>
    </row>
    <row r="185" spans="1:7">
      <c r="A185" s="153">
        <v>45873</v>
      </c>
      <c r="B185" s="154" t="s">
        <v>14</v>
      </c>
      <c r="C185" s="155">
        <v>949</v>
      </c>
      <c r="D185" s="155">
        <v>282</v>
      </c>
      <c r="E185" s="155">
        <v>87126</v>
      </c>
      <c r="F185" s="155">
        <v>4.96</v>
      </c>
      <c r="G185" s="155">
        <v>5413</v>
      </c>
    </row>
    <row r="186" spans="1:7">
      <c r="A186" s="153">
        <v>45873</v>
      </c>
      <c r="B186" s="154" t="s">
        <v>24</v>
      </c>
      <c r="C186" s="155">
        <v>640</v>
      </c>
      <c r="D186" s="155">
        <v>141</v>
      </c>
      <c r="E186" s="155">
        <v>267546</v>
      </c>
      <c r="F186" s="155">
        <v>8.58</v>
      </c>
      <c r="G186" s="155">
        <v>25058</v>
      </c>
    </row>
    <row r="187" spans="1:7">
      <c r="A187" s="153">
        <v>45873</v>
      </c>
      <c r="B187" s="154" t="s">
        <v>397</v>
      </c>
      <c r="C187" s="155">
        <v>616</v>
      </c>
      <c r="D187" s="155">
        <v>93</v>
      </c>
      <c r="E187" s="155">
        <v>133082</v>
      </c>
      <c r="F187" s="155">
        <v>8.51</v>
      </c>
      <c r="G187" s="155">
        <v>18303</v>
      </c>
    </row>
    <row r="188" spans="1:7">
      <c r="A188" s="153">
        <v>45880</v>
      </c>
      <c r="B188" s="154" t="s">
        <v>14</v>
      </c>
      <c r="C188" s="155">
        <v>1080</v>
      </c>
      <c r="D188" s="155">
        <v>184</v>
      </c>
      <c r="E188" s="155">
        <v>340557</v>
      </c>
      <c r="F188" s="155">
        <v>5.41</v>
      </c>
      <c r="G188" s="155">
        <v>5526</v>
      </c>
    </row>
    <row r="189" spans="1:7">
      <c r="A189" s="153">
        <v>45880</v>
      </c>
      <c r="B189" s="154" t="s">
        <v>24</v>
      </c>
      <c r="C189" s="155">
        <v>938</v>
      </c>
      <c r="D189" s="155">
        <v>236</v>
      </c>
      <c r="E189" s="155">
        <v>116472</v>
      </c>
      <c r="F189" s="155">
        <v>8.7200000000000006</v>
      </c>
      <c r="G189" s="155">
        <v>17460</v>
      </c>
    </row>
    <row r="190" spans="1:7">
      <c r="A190" s="153">
        <v>45880</v>
      </c>
      <c r="B190" s="154" t="s">
        <v>397</v>
      </c>
      <c r="C190" s="155">
        <v>1007</v>
      </c>
      <c r="D190" s="155">
        <v>258</v>
      </c>
      <c r="E190" s="155">
        <v>113412</v>
      </c>
      <c r="F190" s="155">
        <v>7.71</v>
      </c>
      <c r="G190" s="155">
        <v>14475</v>
      </c>
    </row>
    <row r="191" spans="1:7">
      <c r="A191" s="153">
        <v>45887</v>
      </c>
      <c r="B191" s="154" t="s">
        <v>14</v>
      </c>
      <c r="C191" s="155">
        <v>541</v>
      </c>
      <c r="D191" s="155">
        <v>208</v>
      </c>
      <c r="E191" s="155">
        <v>157547</v>
      </c>
      <c r="F191" s="155">
        <v>8.35</v>
      </c>
      <c r="G191" s="155">
        <v>20162</v>
      </c>
    </row>
    <row r="192" spans="1:7">
      <c r="A192" s="153">
        <v>45887</v>
      </c>
      <c r="B192" s="154" t="s">
        <v>24</v>
      </c>
      <c r="C192" s="155">
        <v>745</v>
      </c>
      <c r="D192" s="155">
        <v>98</v>
      </c>
      <c r="E192" s="155">
        <v>354816</v>
      </c>
      <c r="F192" s="155">
        <v>4.03</v>
      </c>
      <c r="G192" s="155">
        <v>17103</v>
      </c>
    </row>
    <row r="193" spans="1:7">
      <c r="A193" s="153">
        <v>45887</v>
      </c>
      <c r="B193" s="154" t="s">
        <v>397</v>
      </c>
      <c r="C193" s="155">
        <v>936</v>
      </c>
      <c r="D193" s="155">
        <v>97</v>
      </c>
      <c r="E193" s="155">
        <v>151799</v>
      </c>
      <c r="F193" s="155">
        <v>9.3699999999999992</v>
      </c>
      <c r="G193" s="155">
        <v>15461</v>
      </c>
    </row>
    <row r="194" spans="1:7">
      <c r="A194" s="153">
        <v>45894</v>
      </c>
      <c r="B194" s="154" t="s">
        <v>14</v>
      </c>
      <c r="C194" s="155">
        <v>1183</v>
      </c>
      <c r="D194" s="155">
        <v>223</v>
      </c>
      <c r="E194" s="155">
        <v>143811</v>
      </c>
      <c r="F194" s="155">
        <v>6.07</v>
      </c>
      <c r="G194" s="155">
        <v>22103</v>
      </c>
    </row>
    <row r="195" spans="1:7">
      <c r="A195" s="153">
        <v>45894</v>
      </c>
      <c r="B195" s="154" t="s">
        <v>24</v>
      </c>
      <c r="C195" s="155">
        <v>1413</v>
      </c>
      <c r="D195" s="155">
        <v>245</v>
      </c>
      <c r="E195" s="155">
        <v>296450</v>
      </c>
      <c r="F195" s="155">
        <v>6.52</v>
      </c>
      <c r="G195" s="155">
        <v>11625</v>
      </c>
    </row>
    <row r="196" spans="1:7">
      <c r="A196" s="153">
        <v>45894</v>
      </c>
      <c r="B196" s="154" t="s">
        <v>397</v>
      </c>
      <c r="C196" s="155">
        <v>791</v>
      </c>
      <c r="D196" s="155">
        <v>273</v>
      </c>
      <c r="E196" s="155">
        <v>144049</v>
      </c>
      <c r="F196" s="155">
        <v>3.08</v>
      </c>
      <c r="G196" s="155">
        <v>5281</v>
      </c>
    </row>
    <row r="197" spans="1:7">
      <c r="A197" s="153">
        <v>45901</v>
      </c>
      <c r="B197" s="154" t="s">
        <v>14</v>
      </c>
      <c r="C197" s="155">
        <v>1052</v>
      </c>
      <c r="D197" s="155">
        <v>180</v>
      </c>
      <c r="E197" s="155">
        <v>272534</v>
      </c>
      <c r="F197" s="155">
        <v>5.34</v>
      </c>
      <c r="G197" s="155">
        <v>13424</v>
      </c>
    </row>
    <row r="198" spans="1:7">
      <c r="A198" s="153">
        <v>45901</v>
      </c>
      <c r="B198" s="154" t="s">
        <v>24</v>
      </c>
      <c r="C198" s="155">
        <v>572</v>
      </c>
      <c r="D198" s="155">
        <v>270</v>
      </c>
      <c r="E198" s="155">
        <v>82265</v>
      </c>
      <c r="F198" s="155">
        <v>3.65</v>
      </c>
      <c r="G198" s="155">
        <v>13140</v>
      </c>
    </row>
    <row r="199" spans="1:7">
      <c r="A199" s="153">
        <v>45901</v>
      </c>
      <c r="B199" s="154" t="s">
        <v>397</v>
      </c>
      <c r="C199" s="155">
        <v>503</v>
      </c>
      <c r="D199" s="155">
        <v>253</v>
      </c>
      <c r="E199" s="155">
        <v>313562</v>
      </c>
      <c r="F199" s="155">
        <v>4.18</v>
      </c>
      <c r="G199" s="155">
        <v>19538</v>
      </c>
    </row>
    <row r="200" spans="1:7">
      <c r="A200" s="153">
        <v>45908</v>
      </c>
      <c r="B200" s="154" t="s">
        <v>14</v>
      </c>
      <c r="C200" s="155">
        <v>1017</v>
      </c>
      <c r="D200" s="155">
        <v>197</v>
      </c>
      <c r="E200" s="155">
        <v>89918</v>
      </c>
      <c r="F200" s="155">
        <v>3.91</v>
      </c>
      <c r="G200" s="155">
        <v>7881</v>
      </c>
    </row>
    <row r="201" spans="1:7">
      <c r="A201" s="153">
        <v>45908</v>
      </c>
      <c r="B201" s="154" t="s">
        <v>24</v>
      </c>
      <c r="C201" s="155">
        <v>860</v>
      </c>
      <c r="D201" s="155">
        <v>244</v>
      </c>
      <c r="E201" s="155">
        <v>348686</v>
      </c>
      <c r="F201" s="155">
        <v>5.12</v>
      </c>
      <c r="G201" s="155">
        <v>11418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AE3C-5485-4E64-B7C9-B396804B1EE4}">
  <dimension ref="A1:D9"/>
  <sheetViews>
    <sheetView workbookViewId="0">
      <selection activeCell="D10" sqref="D10"/>
    </sheetView>
  </sheetViews>
  <sheetFormatPr defaultRowHeight="14.4"/>
  <cols>
    <col min="1" max="1" width="21" bestFit="1" customWidth="1"/>
    <col min="2" max="2" width="25.77734375" bestFit="1" customWidth="1"/>
    <col min="3" max="3" width="28.21875" bestFit="1" customWidth="1"/>
    <col min="4" max="4" width="98.88671875" bestFit="1" customWidth="1"/>
  </cols>
  <sheetData>
    <row r="1" spans="1:4" ht="18">
      <c r="A1" s="185" t="s">
        <v>373</v>
      </c>
      <c r="B1" s="185"/>
      <c r="C1" s="185"/>
      <c r="D1" s="185"/>
    </row>
    <row r="2" spans="1:4">
      <c r="A2" s="5"/>
      <c r="B2" s="5"/>
      <c r="C2" s="5"/>
    </row>
    <row r="3" spans="1:4">
      <c r="A3" s="24" t="s">
        <v>374</v>
      </c>
      <c r="B3" s="24" t="s">
        <v>375</v>
      </c>
      <c r="C3" s="24" t="s">
        <v>376</v>
      </c>
      <c r="D3" s="25" t="s">
        <v>391</v>
      </c>
    </row>
    <row r="4" spans="1:4">
      <c r="A4" s="26" t="s">
        <v>377</v>
      </c>
      <c r="B4" s="26" t="s">
        <v>378</v>
      </c>
      <c r="C4" s="26" t="s">
        <v>379</v>
      </c>
      <c r="D4" s="27" t="s">
        <v>392</v>
      </c>
    </row>
    <row r="5" spans="1:4">
      <c r="A5" s="26" t="s">
        <v>380</v>
      </c>
      <c r="B5" s="26" t="s">
        <v>381</v>
      </c>
      <c r="C5" s="26" t="s">
        <v>382</v>
      </c>
      <c r="D5" s="27" t="s">
        <v>393</v>
      </c>
    </row>
    <row r="6" spans="1:4">
      <c r="A6" s="26" t="s">
        <v>383</v>
      </c>
      <c r="B6" s="28" t="s">
        <v>395</v>
      </c>
      <c r="C6" s="26" t="s">
        <v>384</v>
      </c>
      <c r="D6" s="29" t="s">
        <v>394</v>
      </c>
    </row>
    <row r="7" spans="1:4">
      <c r="A7" s="26" t="s">
        <v>385</v>
      </c>
      <c r="B7" s="26" t="s">
        <v>386</v>
      </c>
      <c r="C7" s="26" t="s">
        <v>387</v>
      </c>
      <c r="D7" s="29" t="s">
        <v>396</v>
      </c>
    </row>
    <row r="8" spans="1:4">
      <c r="A8" s="26" t="s">
        <v>388</v>
      </c>
      <c r="B8" s="26" t="s">
        <v>389</v>
      </c>
      <c r="C8" s="26" t="s">
        <v>390</v>
      </c>
      <c r="D8" s="27" t="s">
        <v>400</v>
      </c>
    </row>
    <row r="9" spans="1:4">
      <c r="A9" s="27"/>
      <c r="B9" s="27"/>
      <c r="C9" s="27"/>
      <c r="D9" s="210" t="s">
        <v>521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78DFA-309F-4E47-8A36-D23ED72E7D13}">
  <dimension ref="A1:N484"/>
  <sheetViews>
    <sheetView tabSelected="1" workbookViewId="0">
      <selection activeCell="N1" sqref="N1:N1048576"/>
    </sheetView>
  </sheetViews>
  <sheetFormatPr defaultRowHeight="14.4"/>
  <cols>
    <col min="1" max="1" width="7.44140625" bestFit="1" customWidth="1"/>
    <col min="2" max="2" width="9.6640625" bestFit="1" customWidth="1"/>
    <col min="3" max="3" width="11.21875" bestFit="1" customWidth="1"/>
    <col min="4" max="4" width="13.21875" bestFit="1" customWidth="1"/>
    <col min="5" max="5" width="42.33203125" bestFit="1" customWidth="1"/>
    <col min="6" max="6" width="5.6640625" style="8" bestFit="1" customWidth="1"/>
    <col min="7" max="7" width="7.33203125" style="8" bestFit="1" customWidth="1"/>
    <col min="8" max="8" width="10.44140625" style="8" bestFit="1" customWidth="1"/>
    <col min="9" max="9" width="11.5546875" style="8" bestFit="1" customWidth="1"/>
    <col min="10" max="10" width="6.77734375" style="8" bestFit="1" customWidth="1"/>
    <col min="11" max="11" width="6.33203125" style="8" bestFit="1" customWidth="1"/>
    <col min="12" max="12" width="35.44140625" style="31" bestFit="1" customWidth="1"/>
    <col min="13" max="13" width="16.44140625" bestFit="1" customWidth="1"/>
    <col min="14" max="14" width="0" hidden="1" customWidth="1"/>
  </cols>
  <sheetData>
    <row r="1" spans="1:14">
      <c r="A1" s="53" t="s">
        <v>0</v>
      </c>
      <c r="B1" s="53" t="s">
        <v>1</v>
      </c>
      <c r="C1" s="54" t="s">
        <v>2</v>
      </c>
      <c r="D1" s="53" t="s">
        <v>3</v>
      </c>
      <c r="E1" s="53" t="s">
        <v>4</v>
      </c>
      <c r="F1" s="55" t="s">
        <v>5</v>
      </c>
      <c r="G1" s="55" t="s">
        <v>6</v>
      </c>
      <c r="H1" s="55" t="s">
        <v>7</v>
      </c>
      <c r="I1" s="55" t="s">
        <v>8</v>
      </c>
      <c r="J1" s="55" t="s">
        <v>9</v>
      </c>
      <c r="K1" s="55" t="s">
        <v>10</v>
      </c>
      <c r="L1" s="53" t="s">
        <v>11</v>
      </c>
      <c r="M1" s="53" t="s">
        <v>12</v>
      </c>
      <c r="N1" s="108" t="s">
        <v>463</v>
      </c>
    </row>
    <row r="2" spans="1:14">
      <c r="A2" s="56" t="s">
        <v>13</v>
      </c>
      <c r="B2" s="56" t="s">
        <v>14</v>
      </c>
      <c r="C2" s="57">
        <v>45781</v>
      </c>
      <c r="D2" s="56" t="s">
        <v>15</v>
      </c>
      <c r="E2" s="56" t="s">
        <v>16</v>
      </c>
      <c r="F2" s="58">
        <v>2414</v>
      </c>
      <c r="G2" s="58">
        <v>245</v>
      </c>
      <c r="H2" s="58">
        <v>137</v>
      </c>
      <c r="I2" s="58">
        <v>21181</v>
      </c>
      <c r="J2" s="58">
        <v>45292</v>
      </c>
      <c r="K2" s="58">
        <v>133</v>
      </c>
      <c r="L2" s="56" t="s">
        <v>17</v>
      </c>
      <c r="M2" s="56" t="s">
        <v>18</v>
      </c>
      <c r="N2" s="8">
        <f t="shared" ref="N2:N65" si="0">F2+G2+H2</f>
        <v>2796</v>
      </c>
    </row>
    <row r="3" spans="1:14">
      <c r="A3" s="56" t="s">
        <v>19</v>
      </c>
      <c r="B3" s="56" t="s">
        <v>14</v>
      </c>
      <c r="C3" s="57">
        <v>45689</v>
      </c>
      <c r="D3" s="56" t="s">
        <v>15</v>
      </c>
      <c r="E3" s="56" t="s">
        <v>20</v>
      </c>
      <c r="F3" s="58">
        <v>1934</v>
      </c>
      <c r="G3" s="58">
        <v>210</v>
      </c>
      <c r="H3" s="58">
        <v>393</v>
      </c>
      <c r="I3" s="58">
        <v>29129</v>
      </c>
      <c r="J3" s="58">
        <v>73287</v>
      </c>
      <c r="K3" s="58">
        <v>273</v>
      </c>
      <c r="L3" s="56" t="s">
        <v>21</v>
      </c>
      <c r="M3" s="56" t="s">
        <v>22</v>
      </c>
      <c r="N3" s="8">
        <f t="shared" si="0"/>
        <v>2537</v>
      </c>
    </row>
    <row r="4" spans="1:14">
      <c r="A4" s="56" t="s">
        <v>23</v>
      </c>
      <c r="B4" s="56" t="s">
        <v>24</v>
      </c>
      <c r="C4" s="57">
        <v>45629</v>
      </c>
      <c r="D4" s="56" t="s">
        <v>25</v>
      </c>
      <c r="E4" s="56" t="s">
        <v>26</v>
      </c>
      <c r="F4" s="58">
        <v>3092</v>
      </c>
      <c r="G4" s="58">
        <v>177</v>
      </c>
      <c r="H4" s="58">
        <v>81</v>
      </c>
      <c r="I4" s="58">
        <v>47533</v>
      </c>
      <c r="J4" s="58">
        <v>29220</v>
      </c>
      <c r="K4" s="58">
        <v>121</v>
      </c>
      <c r="L4" s="56" t="s">
        <v>27</v>
      </c>
      <c r="M4" s="56" t="s">
        <v>18</v>
      </c>
      <c r="N4" s="8">
        <f t="shared" si="0"/>
        <v>3350</v>
      </c>
    </row>
    <row r="5" spans="1:14">
      <c r="A5" s="56" t="s">
        <v>28</v>
      </c>
      <c r="B5" s="56" t="s">
        <v>14</v>
      </c>
      <c r="C5" s="57">
        <v>45629</v>
      </c>
      <c r="D5" s="56" t="s">
        <v>15</v>
      </c>
      <c r="E5" s="56" t="s">
        <v>29</v>
      </c>
      <c r="F5" s="58">
        <v>3173</v>
      </c>
      <c r="G5" s="58">
        <v>229</v>
      </c>
      <c r="H5" s="58">
        <v>197</v>
      </c>
      <c r="I5" s="58">
        <v>29604</v>
      </c>
      <c r="J5" s="58">
        <v>21809</v>
      </c>
      <c r="K5" s="58">
        <v>272</v>
      </c>
      <c r="L5" s="56" t="s">
        <v>17</v>
      </c>
      <c r="M5" s="56" t="s">
        <v>18</v>
      </c>
      <c r="N5" s="8">
        <f t="shared" si="0"/>
        <v>3599</v>
      </c>
    </row>
    <row r="6" spans="1:14">
      <c r="A6" s="56" t="s">
        <v>30</v>
      </c>
      <c r="B6" s="56" t="s">
        <v>397</v>
      </c>
      <c r="C6" s="57">
        <v>45388</v>
      </c>
      <c r="D6" s="56" t="s">
        <v>15</v>
      </c>
      <c r="E6" s="56" t="s">
        <v>32</v>
      </c>
      <c r="F6" s="58">
        <v>2748</v>
      </c>
      <c r="G6" s="58">
        <v>145</v>
      </c>
      <c r="H6" s="58">
        <v>315</v>
      </c>
      <c r="I6" s="58">
        <v>24401</v>
      </c>
      <c r="J6" s="58">
        <v>61182</v>
      </c>
      <c r="K6" s="58">
        <v>200</v>
      </c>
      <c r="L6" s="56" t="s">
        <v>33</v>
      </c>
      <c r="M6" s="56" t="s">
        <v>22</v>
      </c>
      <c r="N6" s="8">
        <f t="shared" si="0"/>
        <v>3208</v>
      </c>
    </row>
    <row r="7" spans="1:14">
      <c r="A7" s="56" t="s">
        <v>34</v>
      </c>
      <c r="B7" s="56" t="s">
        <v>397</v>
      </c>
      <c r="C7" s="57">
        <v>45456</v>
      </c>
      <c r="D7" s="56" t="s">
        <v>15</v>
      </c>
      <c r="E7" s="56" t="s">
        <v>35</v>
      </c>
      <c r="F7" s="58">
        <v>3882</v>
      </c>
      <c r="G7" s="58">
        <v>239</v>
      </c>
      <c r="H7" s="58">
        <v>275</v>
      </c>
      <c r="I7" s="58">
        <v>58748</v>
      </c>
      <c r="J7" s="58">
        <v>44646</v>
      </c>
      <c r="K7" s="58">
        <v>149</v>
      </c>
      <c r="L7" s="56" t="s">
        <v>33</v>
      </c>
      <c r="M7" s="56" t="s">
        <v>22</v>
      </c>
      <c r="N7" s="8">
        <f t="shared" si="0"/>
        <v>4396</v>
      </c>
    </row>
    <row r="8" spans="1:14">
      <c r="A8" s="56" t="s">
        <v>36</v>
      </c>
      <c r="B8" s="56" t="s">
        <v>24</v>
      </c>
      <c r="C8" s="57">
        <v>45645</v>
      </c>
      <c r="D8" s="56" t="s">
        <v>25</v>
      </c>
      <c r="E8" s="56" t="s">
        <v>37</v>
      </c>
      <c r="F8" s="58">
        <v>4674</v>
      </c>
      <c r="G8" s="58">
        <v>409</v>
      </c>
      <c r="H8" s="58">
        <v>327</v>
      </c>
      <c r="I8" s="58">
        <v>20756</v>
      </c>
      <c r="J8" s="58">
        <v>63599</v>
      </c>
      <c r="K8" s="58">
        <v>212</v>
      </c>
      <c r="L8" s="56" t="s">
        <v>17</v>
      </c>
      <c r="M8" s="56" t="s">
        <v>18</v>
      </c>
      <c r="N8" s="8">
        <f t="shared" si="0"/>
        <v>5410</v>
      </c>
    </row>
    <row r="9" spans="1:14">
      <c r="A9" s="56" t="s">
        <v>38</v>
      </c>
      <c r="B9" s="56" t="s">
        <v>24</v>
      </c>
      <c r="C9" s="57">
        <v>45421</v>
      </c>
      <c r="D9" s="56" t="s">
        <v>25</v>
      </c>
      <c r="E9" s="56" t="s">
        <v>29</v>
      </c>
      <c r="F9" s="58">
        <v>1428</v>
      </c>
      <c r="G9" s="58">
        <v>347</v>
      </c>
      <c r="H9" s="58">
        <v>67</v>
      </c>
      <c r="I9" s="58">
        <v>21148</v>
      </c>
      <c r="J9" s="58">
        <v>19712</v>
      </c>
      <c r="K9" s="58">
        <v>120</v>
      </c>
      <c r="L9" s="56" t="s">
        <v>39</v>
      </c>
      <c r="M9" s="56" t="s">
        <v>18</v>
      </c>
      <c r="N9" s="8">
        <f t="shared" si="0"/>
        <v>1842</v>
      </c>
    </row>
    <row r="10" spans="1:14">
      <c r="A10" s="56" t="s">
        <v>40</v>
      </c>
      <c r="B10" s="56" t="s">
        <v>24</v>
      </c>
      <c r="C10" s="57">
        <v>45823</v>
      </c>
      <c r="D10" s="56" t="s">
        <v>15</v>
      </c>
      <c r="E10" s="56" t="s">
        <v>41</v>
      </c>
      <c r="F10" s="58">
        <v>4432</v>
      </c>
      <c r="G10" s="58">
        <v>223</v>
      </c>
      <c r="H10" s="58">
        <v>299</v>
      </c>
      <c r="I10" s="58">
        <v>59016</v>
      </c>
      <c r="J10" s="58">
        <v>21742</v>
      </c>
      <c r="K10" s="58">
        <v>171</v>
      </c>
      <c r="L10" s="56" t="s">
        <v>42</v>
      </c>
      <c r="M10" s="56" t="s">
        <v>18</v>
      </c>
      <c r="N10" s="8">
        <f t="shared" si="0"/>
        <v>4954</v>
      </c>
    </row>
    <row r="11" spans="1:14">
      <c r="A11" s="56" t="s">
        <v>43</v>
      </c>
      <c r="B11" s="56" t="s">
        <v>24</v>
      </c>
      <c r="C11" s="57">
        <v>45630</v>
      </c>
      <c r="D11" s="56" t="s">
        <v>15</v>
      </c>
      <c r="E11" s="56" t="s">
        <v>29</v>
      </c>
      <c r="F11" s="58">
        <v>2357</v>
      </c>
      <c r="G11" s="58">
        <v>274</v>
      </c>
      <c r="H11" s="58">
        <v>172</v>
      </c>
      <c r="I11" s="58">
        <v>21566</v>
      </c>
      <c r="J11" s="58">
        <v>66829</v>
      </c>
      <c r="K11" s="58">
        <v>284</v>
      </c>
      <c r="L11" s="56" t="s">
        <v>42</v>
      </c>
      <c r="M11" s="56" t="s">
        <v>18</v>
      </c>
      <c r="N11" s="8">
        <f t="shared" si="0"/>
        <v>2803</v>
      </c>
    </row>
    <row r="12" spans="1:14">
      <c r="A12" s="56" t="s">
        <v>44</v>
      </c>
      <c r="B12" s="56" t="s">
        <v>24</v>
      </c>
      <c r="C12" s="57">
        <v>45357</v>
      </c>
      <c r="D12" s="56" t="s">
        <v>15</v>
      </c>
      <c r="E12" s="56" t="s">
        <v>16</v>
      </c>
      <c r="F12" s="58">
        <v>1971</v>
      </c>
      <c r="G12" s="58">
        <v>370</v>
      </c>
      <c r="H12" s="58">
        <v>306</v>
      </c>
      <c r="I12" s="58">
        <v>31316</v>
      </c>
      <c r="J12" s="58">
        <v>27897</v>
      </c>
      <c r="K12" s="58">
        <v>88</v>
      </c>
      <c r="L12" s="56" t="s">
        <v>45</v>
      </c>
      <c r="M12" s="56" t="s">
        <v>22</v>
      </c>
      <c r="N12" s="8">
        <f t="shared" si="0"/>
        <v>2647</v>
      </c>
    </row>
    <row r="13" spans="1:14">
      <c r="A13" s="56" t="s">
        <v>46</v>
      </c>
      <c r="B13" s="56" t="s">
        <v>14</v>
      </c>
      <c r="C13" s="57">
        <v>45426</v>
      </c>
      <c r="D13" s="56" t="s">
        <v>15</v>
      </c>
      <c r="E13" s="56" t="s">
        <v>16</v>
      </c>
      <c r="F13" s="58">
        <v>1485</v>
      </c>
      <c r="G13" s="58">
        <v>353</v>
      </c>
      <c r="H13" s="58">
        <v>244</v>
      </c>
      <c r="I13" s="58">
        <v>38419</v>
      </c>
      <c r="J13" s="58">
        <v>38556</v>
      </c>
      <c r="K13" s="58">
        <v>86</v>
      </c>
      <c r="L13" s="56" t="s">
        <v>17</v>
      </c>
      <c r="M13" s="56" t="s">
        <v>18</v>
      </c>
      <c r="N13" s="8">
        <f t="shared" si="0"/>
        <v>2082</v>
      </c>
    </row>
    <row r="14" spans="1:14">
      <c r="A14" s="56" t="s">
        <v>47</v>
      </c>
      <c r="B14" s="56" t="s">
        <v>24</v>
      </c>
      <c r="C14" s="57">
        <v>45826</v>
      </c>
      <c r="D14" s="56" t="s">
        <v>25</v>
      </c>
      <c r="E14" s="56" t="s">
        <v>16</v>
      </c>
      <c r="F14" s="58">
        <v>3956</v>
      </c>
      <c r="G14" s="58">
        <v>319</v>
      </c>
      <c r="H14" s="58">
        <v>61</v>
      </c>
      <c r="I14" s="58">
        <v>58162</v>
      </c>
      <c r="J14" s="58">
        <v>28720</v>
      </c>
      <c r="K14" s="58">
        <v>213</v>
      </c>
      <c r="L14" s="56" t="s">
        <v>27</v>
      </c>
      <c r="M14" s="56" t="s">
        <v>18</v>
      </c>
      <c r="N14" s="8">
        <f t="shared" si="0"/>
        <v>4336</v>
      </c>
    </row>
    <row r="15" spans="1:14">
      <c r="A15" s="56" t="s">
        <v>48</v>
      </c>
      <c r="B15" s="56" t="s">
        <v>24</v>
      </c>
      <c r="C15" s="57">
        <v>45573</v>
      </c>
      <c r="D15" s="56" t="s">
        <v>15</v>
      </c>
      <c r="E15" s="56" t="s">
        <v>49</v>
      </c>
      <c r="F15" s="58">
        <v>2460</v>
      </c>
      <c r="G15" s="58">
        <v>409</v>
      </c>
      <c r="H15" s="58">
        <v>253</v>
      </c>
      <c r="I15" s="58">
        <v>36702</v>
      </c>
      <c r="J15" s="58">
        <v>46122</v>
      </c>
      <c r="K15" s="58">
        <v>264</v>
      </c>
      <c r="L15" s="56" t="s">
        <v>42</v>
      </c>
      <c r="M15" s="56" t="s">
        <v>18</v>
      </c>
      <c r="N15" s="8">
        <f t="shared" si="0"/>
        <v>3122</v>
      </c>
    </row>
    <row r="16" spans="1:14">
      <c r="A16" s="56" t="s">
        <v>50</v>
      </c>
      <c r="B16" s="56" t="s">
        <v>24</v>
      </c>
      <c r="C16" s="57">
        <v>45418</v>
      </c>
      <c r="D16" s="56" t="s">
        <v>15</v>
      </c>
      <c r="E16" s="56" t="s">
        <v>51</v>
      </c>
      <c r="F16" s="58">
        <v>3476</v>
      </c>
      <c r="G16" s="58">
        <v>355</v>
      </c>
      <c r="H16" s="58">
        <v>396</v>
      </c>
      <c r="I16" s="58">
        <v>37492</v>
      </c>
      <c r="J16" s="58">
        <v>27285</v>
      </c>
      <c r="K16" s="58">
        <v>179</v>
      </c>
      <c r="L16" s="56" t="s">
        <v>42</v>
      </c>
      <c r="M16" s="56" t="s">
        <v>18</v>
      </c>
      <c r="N16" s="8">
        <f t="shared" si="0"/>
        <v>4227</v>
      </c>
    </row>
    <row r="17" spans="1:14">
      <c r="A17" s="56" t="s">
        <v>52</v>
      </c>
      <c r="B17" s="56" t="s">
        <v>24</v>
      </c>
      <c r="C17" s="57">
        <v>45655</v>
      </c>
      <c r="D17" s="56" t="s">
        <v>25</v>
      </c>
      <c r="E17" s="56" t="s">
        <v>26</v>
      </c>
      <c r="F17" s="58">
        <v>4049</v>
      </c>
      <c r="G17" s="58">
        <v>377</v>
      </c>
      <c r="H17" s="58">
        <v>94</v>
      </c>
      <c r="I17" s="58">
        <v>48182</v>
      </c>
      <c r="J17" s="58">
        <v>42875</v>
      </c>
      <c r="K17" s="58">
        <v>172</v>
      </c>
      <c r="L17" s="56" t="s">
        <v>27</v>
      </c>
      <c r="M17" s="56" t="s">
        <v>18</v>
      </c>
      <c r="N17" s="8">
        <f t="shared" si="0"/>
        <v>4520</v>
      </c>
    </row>
    <row r="18" spans="1:14">
      <c r="A18" s="56" t="s">
        <v>53</v>
      </c>
      <c r="B18" s="56" t="s">
        <v>24</v>
      </c>
      <c r="C18" s="57">
        <v>45453</v>
      </c>
      <c r="D18" s="56" t="s">
        <v>15</v>
      </c>
      <c r="E18" s="56" t="s">
        <v>35</v>
      </c>
      <c r="F18" s="58">
        <v>1514</v>
      </c>
      <c r="G18" s="58">
        <v>164</v>
      </c>
      <c r="H18" s="58">
        <v>275</v>
      </c>
      <c r="I18" s="58">
        <v>41364</v>
      </c>
      <c r="J18" s="58">
        <v>44389</v>
      </c>
      <c r="K18" s="58">
        <v>83</v>
      </c>
      <c r="L18" s="56" t="s">
        <v>42</v>
      </c>
      <c r="M18" s="56" t="s">
        <v>18</v>
      </c>
      <c r="N18" s="8">
        <f t="shared" si="0"/>
        <v>1953</v>
      </c>
    </row>
    <row r="19" spans="1:14">
      <c r="A19" s="56" t="s">
        <v>54</v>
      </c>
      <c r="B19" s="56" t="s">
        <v>14</v>
      </c>
      <c r="C19" s="57">
        <v>45325</v>
      </c>
      <c r="D19" s="56" t="s">
        <v>25</v>
      </c>
      <c r="E19" s="56" t="s">
        <v>32</v>
      </c>
      <c r="F19" s="58">
        <v>4281</v>
      </c>
      <c r="G19" s="58">
        <v>101</v>
      </c>
      <c r="H19" s="58">
        <v>163</v>
      </c>
      <c r="I19" s="58">
        <v>32278</v>
      </c>
      <c r="J19" s="58">
        <v>53382</v>
      </c>
      <c r="K19" s="58">
        <v>235</v>
      </c>
      <c r="L19" s="56" t="s">
        <v>42</v>
      </c>
      <c r="M19" s="56" t="s">
        <v>55</v>
      </c>
      <c r="N19" s="8">
        <f t="shared" si="0"/>
        <v>4545</v>
      </c>
    </row>
    <row r="20" spans="1:14">
      <c r="A20" s="56" t="s">
        <v>56</v>
      </c>
      <c r="B20" s="56" t="s">
        <v>397</v>
      </c>
      <c r="C20" s="57">
        <v>45458</v>
      </c>
      <c r="D20" s="56" t="s">
        <v>57</v>
      </c>
      <c r="E20" s="56" t="s">
        <v>37</v>
      </c>
      <c r="F20" s="58">
        <v>1751</v>
      </c>
      <c r="G20" s="58">
        <v>143</v>
      </c>
      <c r="H20" s="58">
        <v>151</v>
      </c>
      <c r="I20" s="58">
        <v>31826</v>
      </c>
      <c r="J20" s="58">
        <v>47729</v>
      </c>
      <c r="K20" s="58">
        <v>95</v>
      </c>
      <c r="L20" s="56" t="s">
        <v>58</v>
      </c>
      <c r="M20" s="56" t="s">
        <v>59</v>
      </c>
      <c r="N20" s="8">
        <f t="shared" si="0"/>
        <v>2045</v>
      </c>
    </row>
    <row r="21" spans="1:14">
      <c r="A21" s="56" t="s">
        <v>60</v>
      </c>
      <c r="B21" s="56" t="s">
        <v>14</v>
      </c>
      <c r="C21" s="57">
        <v>45478</v>
      </c>
      <c r="D21" s="56" t="s">
        <v>15</v>
      </c>
      <c r="E21" s="56" t="s">
        <v>51</v>
      </c>
      <c r="F21" s="58">
        <v>3753</v>
      </c>
      <c r="G21" s="58">
        <v>411</v>
      </c>
      <c r="H21" s="58">
        <v>308</v>
      </c>
      <c r="I21" s="58">
        <v>29138</v>
      </c>
      <c r="J21" s="58">
        <v>27678</v>
      </c>
      <c r="K21" s="58">
        <v>90</v>
      </c>
      <c r="L21" s="56" t="s">
        <v>21</v>
      </c>
      <c r="M21" s="56" t="s">
        <v>22</v>
      </c>
      <c r="N21" s="8">
        <f t="shared" si="0"/>
        <v>4472</v>
      </c>
    </row>
    <row r="22" spans="1:14">
      <c r="A22" s="56" t="s">
        <v>61</v>
      </c>
      <c r="B22" s="56" t="s">
        <v>14</v>
      </c>
      <c r="C22" s="57">
        <v>45603</v>
      </c>
      <c r="D22" s="56" t="s">
        <v>25</v>
      </c>
      <c r="E22" s="56" t="s">
        <v>29</v>
      </c>
      <c r="F22" s="58">
        <v>1678</v>
      </c>
      <c r="G22" s="58">
        <v>423</v>
      </c>
      <c r="H22" s="58">
        <v>323</v>
      </c>
      <c r="I22" s="58">
        <v>55668</v>
      </c>
      <c r="J22" s="58">
        <v>37945</v>
      </c>
      <c r="K22" s="58">
        <v>230</v>
      </c>
      <c r="L22" s="56" t="s">
        <v>42</v>
      </c>
      <c r="M22" s="56" t="s">
        <v>55</v>
      </c>
      <c r="N22" s="8">
        <f t="shared" si="0"/>
        <v>2424</v>
      </c>
    </row>
    <row r="23" spans="1:14">
      <c r="A23" s="56" t="s">
        <v>62</v>
      </c>
      <c r="B23" s="56" t="s">
        <v>14</v>
      </c>
      <c r="C23" s="57">
        <v>45823</v>
      </c>
      <c r="D23" s="56" t="s">
        <v>15</v>
      </c>
      <c r="E23" s="56" t="s">
        <v>35</v>
      </c>
      <c r="F23" s="58">
        <v>4896</v>
      </c>
      <c r="G23" s="58">
        <v>466</v>
      </c>
      <c r="H23" s="58">
        <v>233</v>
      </c>
      <c r="I23" s="58">
        <v>28621</v>
      </c>
      <c r="J23" s="58">
        <v>34270</v>
      </c>
      <c r="K23" s="58">
        <v>84</v>
      </c>
      <c r="L23" s="56" t="s">
        <v>17</v>
      </c>
      <c r="M23" s="56" t="s">
        <v>18</v>
      </c>
      <c r="N23" s="8">
        <f t="shared" si="0"/>
        <v>5595</v>
      </c>
    </row>
    <row r="24" spans="1:14">
      <c r="A24" s="56" t="s">
        <v>63</v>
      </c>
      <c r="B24" s="56" t="s">
        <v>397</v>
      </c>
      <c r="C24" s="57">
        <v>45452</v>
      </c>
      <c r="D24" s="56" t="s">
        <v>57</v>
      </c>
      <c r="E24" s="56" t="s">
        <v>49</v>
      </c>
      <c r="F24" s="58">
        <v>2786</v>
      </c>
      <c r="G24" s="58">
        <v>368</v>
      </c>
      <c r="H24" s="58">
        <v>208</v>
      </c>
      <c r="I24" s="58">
        <v>42000</v>
      </c>
      <c r="J24" s="58">
        <v>39967</v>
      </c>
      <c r="K24" s="58">
        <v>103</v>
      </c>
      <c r="L24" s="56" t="s">
        <v>58</v>
      </c>
      <c r="M24" s="56" t="s">
        <v>59</v>
      </c>
      <c r="N24" s="8">
        <f t="shared" si="0"/>
        <v>3362</v>
      </c>
    </row>
    <row r="25" spans="1:14">
      <c r="A25" s="56" t="s">
        <v>64</v>
      </c>
      <c r="B25" s="56" t="s">
        <v>24</v>
      </c>
      <c r="C25" s="57">
        <v>45583</v>
      </c>
      <c r="D25" s="56" t="s">
        <v>15</v>
      </c>
      <c r="E25" s="56" t="s">
        <v>26</v>
      </c>
      <c r="F25" s="58">
        <v>2607</v>
      </c>
      <c r="G25" s="58">
        <v>379</v>
      </c>
      <c r="H25" s="58">
        <v>180</v>
      </c>
      <c r="I25" s="58">
        <v>28712</v>
      </c>
      <c r="J25" s="58">
        <v>61620</v>
      </c>
      <c r="K25" s="58">
        <v>174</v>
      </c>
      <c r="L25" s="56" t="s">
        <v>45</v>
      </c>
      <c r="M25" s="56" t="s">
        <v>22</v>
      </c>
      <c r="N25" s="8">
        <f t="shared" si="0"/>
        <v>3166</v>
      </c>
    </row>
    <row r="26" spans="1:14">
      <c r="A26" s="56" t="s">
        <v>65</v>
      </c>
      <c r="B26" s="56" t="s">
        <v>397</v>
      </c>
      <c r="C26" s="57">
        <v>45575</v>
      </c>
      <c r="D26" s="56" t="s">
        <v>57</v>
      </c>
      <c r="E26" s="56" t="s">
        <v>49</v>
      </c>
      <c r="F26" s="58">
        <v>4013</v>
      </c>
      <c r="G26" s="58">
        <v>320</v>
      </c>
      <c r="H26" s="58">
        <v>92</v>
      </c>
      <c r="I26" s="58">
        <v>54605</v>
      </c>
      <c r="J26" s="58">
        <v>60169</v>
      </c>
      <c r="K26" s="58">
        <v>232</v>
      </c>
      <c r="L26" s="56" t="s">
        <v>58</v>
      </c>
      <c r="M26" s="56" t="s">
        <v>59</v>
      </c>
      <c r="N26" s="8">
        <f t="shared" si="0"/>
        <v>4425</v>
      </c>
    </row>
    <row r="27" spans="1:14">
      <c r="A27" s="56" t="s">
        <v>66</v>
      </c>
      <c r="B27" s="56" t="s">
        <v>24</v>
      </c>
      <c r="C27" s="57">
        <v>45791</v>
      </c>
      <c r="D27" s="56" t="s">
        <v>25</v>
      </c>
      <c r="E27" s="56" t="s">
        <v>49</v>
      </c>
      <c r="F27" s="58">
        <v>2707</v>
      </c>
      <c r="G27" s="58">
        <v>103</v>
      </c>
      <c r="H27" s="58">
        <v>51</v>
      </c>
      <c r="I27" s="58">
        <v>55302</v>
      </c>
      <c r="J27" s="58">
        <v>18801</v>
      </c>
      <c r="K27" s="58">
        <v>147</v>
      </c>
      <c r="L27" s="56" t="s">
        <v>39</v>
      </c>
      <c r="M27" s="56" t="s">
        <v>18</v>
      </c>
      <c r="N27" s="8">
        <f t="shared" si="0"/>
        <v>2861</v>
      </c>
    </row>
    <row r="28" spans="1:14">
      <c r="A28" s="56" t="s">
        <v>67</v>
      </c>
      <c r="B28" s="56" t="s">
        <v>14</v>
      </c>
      <c r="C28" s="57">
        <v>45625</v>
      </c>
      <c r="D28" s="56" t="s">
        <v>15</v>
      </c>
      <c r="E28" s="56" t="s">
        <v>35</v>
      </c>
      <c r="F28" s="58">
        <v>2824</v>
      </c>
      <c r="G28" s="58">
        <v>425</v>
      </c>
      <c r="H28" s="58">
        <v>274</v>
      </c>
      <c r="I28" s="58">
        <v>31004</v>
      </c>
      <c r="J28" s="58">
        <v>53488</v>
      </c>
      <c r="K28" s="58">
        <v>268</v>
      </c>
      <c r="L28" s="56" t="s">
        <v>17</v>
      </c>
      <c r="M28" s="56" t="s">
        <v>18</v>
      </c>
      <c r="N28" s="8">
        <f t="shared" si="0"/>
        <v>3523</v>
      </c>
    </row>
    <row r="29" spans="1:14">
      <c r="A29" s="56" t="s">
        <v>68</v>
      </c>
      <c r="B29" s="56" t="s">
        <v>397</v>
      </c>
      <c r="C29" s="57">
        <v>45356</v>
      </c>
      <c r="D29" s="56" t="s">
        <v>57</v>
      </c>
      <c r="E29" s="56" t="s">
        <v>20</v>
      </c>
      <c r="F29" s="58">
        <v>3558</v>
      </c>
      <c r="G29" s="58">
        <v>314</v>
      </c>
      <c r="H29" s="58">
        <v>199</v>
      </c>
      <c r="I29" s="58">
        <v>49612</v>
      </c>
      <c r="J29" s="58">
        <v>53929</v>
      </c>
      <c r="K29" s="58">
        <v>206</v>
      </c>
      <c r="L29" s="56" t="s">
        <v>58</v>
      </c>
      <c r="M29" s="56" t="s">
        <v>59</v>
      </c>
      <c r="N29" s="8">
        <f t="shared" si="0"/>
        <v>4071</v>
      </c>
    </row>
    <row r="30" spans="1:14">
      <c r="A30" s="56" t="s">
        <v>69</v>
      </c>
      <c r="B30" s="56" t="s">
        <v>24</v>
      </c>
      <c r="C30" s="57">
        <v>45734</v>
      </c>
      <c r="D30" s="56" t="s">
        <v>25</v>
      </c>
      <c r="E30" s="56" t="s">
        <v>20</v>
      </c>
      <c r="F30" s="58">
        <v>3418</v>
      </c>
      <c r="G30" s="58">
        <v>188</v>
      </c>
      <c r="H30" s="58">
        <v>387</v>
      </c>
      <c r="I30" s="58">
        <v>57431</v>
      </c>
      <c r="J30" s="58">
        <v>36933</v>
      </c>
      <c r="K30" s="58">
        <v>202</v>
      </c>
      <c r="L30" s="56" t="s">
        <v>27</v>
      </c>
      <c r="M30" s="56" t="s">
        <v>18</v>
      </c>
      <c r="N30" s="8">
        <f t="shared" si="0"/>
        <v>3993</v>
      </c>
    </row>
    <row r="31" spans="1:14">
      <c r="A31" s="56" t="s">
        <v>70</v>
      </c>
      <c r="B31" s="56" t="s">
        <v>24</v>
      </c>
      <c r="C31" s="57">
        <v>45773</v>
      </c>
      <c r="D31" s="56" t="s">
        <v>15</v>
      </c>
      <c r="E31" s="56" t="s">
        <v>16</v>
      </c>
      <c r="F31" s="58">
        <v>2411</v>
      </c>
      <c r="G31" s="58">
        <v>194</v>
      </c>
      <c r="H31" s="58">
        <v>168</v>
      </c>
      <c r="I31" s="58">
        <v>26665</v>
      </c>
      <c r="J31" s="58">
        <v>71699</v>
      </c>
      <c r="K31" s="58">
        <v>197</v>
      </c>
      <c r="L31" s="56" t="s">
        <v>42</v>
      </c>
      <c r="M31" s="56" t="s">
        <v>18</v>
      </c>
      <c r="N31" s="8">
        <f t="shared" si="0"/>
        <v>2773</v>
      </c>
    </row>
    <row r="32" spans="1:14">
      <c r="A32" s="56" t="s">
        <v>71</v>
      </c>
      <c r="B32" s="56" t="s">
        <v>14</v>
      </c>
      <c r="C32" s="57">
        <v>45658</v>
      </c>
      <c r="D32" s="56" t="s">
        <v>15</v>
      </c>
      <c r="E32" s="56" t="s">
        <v>26</v>
      </c>
      <c r="F32" s="58">
        <v>4036</v>
      </c>
      <c r="G32" s="58">
        <v>112</v>
      </c>
      <c r="H32" s="58">
        <v>382</v>
      </c>
      <c r="I32" s="58">
        <v>56284</v>
      </c>
      <c r="J32" s="58">
        <v>29440</v>
      </c>
      <c r="K32" s="58">
        <v>279</v>
      </c>
      <c r="L32" s="56" t="s">
        <v>17</v>
      </c>
      <c r="M32" s="56" t="s">
        <v>18</v>
      </c>
      <c r="N32" s="8">
        <f t="shared" si="0"/>
        <v>4530</v>
      </c>
    </row>
    <row r="33" spans="1:14">
      <c r="A33" s="56" t="s">
        <v>72</v>
      </c>
      <c r="B33" s="56" t="s">
        <v>24</v>
      </c>
      <c r="C33" s="57">
        <v>45419</v>
      </c>
      <c r="D33" s="56" t="s">
        <v>25</v>
      </c>
      <c r="E33" s="56" t="s">
        <v>20</v>
      </c>
      <c r="F33" s="58">
        <v>2776</v>
      </c>
      <c r="G33" s="58">
        <v>307</v>
      </c>
      <c r="H33" s="58">
        <v>178</v>
      </c>
      <c r="I33" s="58">
        <v>43365</v>
      </c>
      <c r="J33" s="58">
        <v>48408</v>
      </c>
      <c r="K33" s="58">
        <v>138</v>
      </c>
      <c r="L33" s="56" t="s">
        <v>17</v>
      </c>
      <c r="M33" s="56" t="s">
        <v>18</v>
      </c>
      <c r="N33" s="8">
        <f t="shared" si="0"/>
        <v>3261</v>
      </c>
    </row>
    <row r="34" spans="1:14">
      <c r="A34" s="56" t="s">
        <v>73</v>
      </c>
      <c r="B34" s="56" t="s">
        <v>24</v>
      </c>
      <c r="C34" s="57">
        <v>45574</v>
      </c>
      <c r="D34" s="56" t="s">
        <v>25</v>
      </c>
      <c r="E34" s="56" t="s">
        <v>16</v>
      </c>
      <c r="F34" s="58">
        <v>4929</v>
      </c>
      <c r="G34" s="58">
        <v>182</v>
      </c>
      <c r="H34" s="58">
        <v>95</v>
      </c>
      <c r="I34" s="58">
        <v>32181</v>
      </c>
      <c r="J34" s="58">
        <v>31084</v>
      </c>
      <c r="K34" s="58">
        <v>289</v>
      </c>
      <c r="L34" s="56" t="s">
        <v>39</v>
      </c>
      <c r="M34" s="56" t="s">
        <v>18</v>
      </c>
      <c r="N34" s="8">
        <f t="shared" si="0"/>
        <v>5206</v>
      </c>
    </row>
    <row r="35" spans="1:14">
      <c r="A35" s="56" t="s">
        <v>74</v>
      </c>
      <c r="B35" s="56" t="s">
        <v>14</v>
      </c>
      <c r="C35" s="57">
        <v>45666</v>
      </c>
      <c r="D35" s="56" t="s">
        <v>15</v>
      </c>
      <c r="E35" s="56" t="s">
        <v>26</v>
      </c>
      <c r="F35" s="58">
        <v>1015</v>
      </c>
      <c r="G35" s="58">
        <v>366</v>
      </c>
      <c r="H35" s="58">
        <v>308</v>
      </c>
      <c r="I35" s="58">
        <v>38127</v>
      </c>
      <c r="J35" s="58">
        <v>63790</v>
      </c>
      <c r="K35" s="58">
        <v>287</v>
      </c>
      <c r="L35" s="56" t="s">
        <v>17</v>
      </c>
      <c r="M35" s="56" t="s">
        <v>18</v>
      </c>
      <c r="N35" s="8">
        <f t="shared" si="0"/>
        <v>1689</v>
      </c>
    </row>
    <row r="36" spans="1:14">
      <c r="A36" s="56" t="s">
        <v>75</v>
      </c>
      <c r="B36" s="56" t="s">
        <v>24</v>
      </c>
      <c r="C36" s="57">
        <v>45785</v>
      </c>
      <c r="D36" s="56" t="s">
        <v>25</v>
      </c>
      <c r="E36" s="56" t="s">
        <v>51</v>
      </c>
      <c r="F36" s="58">
        <v>3316</v>
      </c>
      <c r="G36" s="58">
        <v>332</v>
      </c>
      <c r="H36" s="58">
        <v>268</v>
      </c>
      <c r="I36" s="58">
        <v>40095</v>
      </c>
      <c r="J36" s="58">
        <v>36913</v>
      </c>
      <c r="K36" s="58">
        <v>265</v>
      </c>
      <c r="L36" s="56" t="s">
        <v>27</v>
      </c>
      <c r="M36" s="56" t="s">
        <v>18</v>
      </c>
      <c r="N36" s="8">
        <f t="shared" si="0"/>
        <v>3916</v>
      </c>
    </row>
    <row r="37" spans="1:14">
      <c r="A37" s="56" t="s">
        <v>76</v>
      </c>
      <c r="B37" s="56" t="s">
        <v>14</v>
      </c>
      <c r="C37" s="57">
        <v>45416</v>
      </c>
      <c r="D37" s="56" t="s">
        <v>15</v>
      </c>
      <c r="E37" s="56" t="s">
        <v>29</v>
      </c>
      <c r="F37" s="58">
        <v>2274</v>
      </c>
      <c r="G37" s="58">
        <v>243</v>
      </c>
      <c r="H37" s="58">
        <v>222</v>
      </c>
      <c r="I37" s="58">
        <v>43066</v>
      </c>
      <c r="J37" s="58">
        <v>59174</v>
      </c>
      <c r="K37" s="58">
        <v>80</v>
      </c>
      <c r="L37" s="56" t="s">
        <v>21</v>
      </c>
      <c r="M37" s="56" t="s">
        <v>22</v>
      </c>
      <c r="N37" s="8">
        <f t="shared" si="0"/>
        <v>2739</v>
      </c>
    </row>
    <row r="38" spans="1:14">
      <c r="A38" s="56" t="s">
        <v>77</v>
      </c>
      <c r="B38" s="56" t="s">
        <v>24</v>
      </c>
      <c r="C38" s="57">
        <v>45804</v>
      </c>
      <c r="D38" s="56" t="s">
        <v>25</v>
      </c>
      <c r="E38" s="56" t="s">
        <v>20</v>
      </c>
      <c r="F38" s="58">
        <v>4095</v>
      </c>
      <c r="G38" s="58">
        <v>385</v>
      </c>
      <c r="H38" s="58">
        <v>400</v>
      </c>
      <c r="I38" s="58">
        <v>45300</v>
      </c>
      <c r="J38" s="58">
        <v>31795</v>
      </c>
      <c r="K38" s="58">
        <v>80</v>
      </c>
      <c r="L38" s="56" t="s">
        <v>27</v>
      </c>
      <c r="M38" s="56" t="s">
        <v>18</v>
      </c>
      <c r="N38" s="8">
        <f t="shared" si="0"/>
        <v>4880</v>
      </c>
    </row>
    <row r="39" spans="1:14">
      <c r="A39" s="56" t="s">
        <v>78</v>
      </c>
      <c r="B39" s="56" t="s">
        <v>14</v>
      </c>
      <c r="C39" s="57">
        <v>45545</v>
      </c>
      <c r="D39" s="56" t="s">
        <v>25</v>
      </c>
      <c r="E39" s="56" t="s">
        <v>26</v>
      </c>
      <c r="F39" s="58">
        <v>1230</v>
      </c>
      <c r="G39" s="58">
        <v>309</v>
      </c>
      <c r="H39" s="58">
        <v>207</v>
      </c>
      <c r="I39" s="58">
        <v>44629</v>
      </c>
      <c r="J39" s="58">
        <v>40699</v>
      </c>
      <c r="K39" s="58">
        <v>195</v>
      </c>
      <c r="L39" s="56" t="s">
        <v>42</v>
      </c>
      <c r="M39" s="56" t="s">
        <v>55</v>
      </c>
      <c r="N39" s="8">
        <f t="shared" si="0"/>
        <v>1746</v>
      </c>
    </row>
    <row r="40" spans="1:14">
      <c r="A40" s="56" t="s">
        <v>79</v>
      </c>
      <c r="B40" s="56" t="s">
        <v>14</v>
      </c>
      <c r="C40" s="57">
        <v>45621</v>
      </c>
      <c r="D40" s="56" t="s">
        <v>15</v>
      </c>
      <c r="E40" s="56" t="s">
        <v>49</v>
      </c>
      <c r="F40" s="58">
        <v>1341</v>
      </c>
      <c r="G40" s="58">
        <v>472</v>
      </c>
      <c r="H40" s="58">
        <v>238</v>
      </c>
      <c r="I40" s="58">
        <v>51386</v>
      </c>
      <c r="J40" s="58">
        <v>51706</v>
      </c>
      <c r="K40" s="58">
        <v>133</v>
      </c>
      <c r="L40" s="56" t="s">
        <v>21</v>
      </c>
      <c r="M40" s="56" t="s">
        <v>22</v>
      </c>
      <c r="N40" s="8">
        <f t="shared" si="0"/>
        <v>2051</v>
      </c>
    </row>
    <row r="41" spans="1:14">
      <c r="A41" s="56" t="s">
        <v>80</v>
      </c>
      <c r="B41" s="56" t="s">
        <v>24</v>
      </c>
      <c r="C41" s="57">
        <v>45818</v>
      </c>
      <c r="D41" s="56" t="s">
        <v>15</v>
      </c>
      <c r="E41" s="56" t="s">
        <v>20</v>
      </c>
      <c r="F41" s="58">
        <v>3615</v>
      </c>
      <c r="G41" s="58">
        <v>192</v>
      </c>
      <c r="H41" s="58">
        <v>162</v>
      </c>
      <c r="I41" s="58">
        <v>27492</v>
      </c>
      <c r="J41" s="58">
        <v>35341</v>
      </c>
      <c r="K41" s="58">
        <v>125</v>
      </c>
      <c r="L41" s="56" t="s">
        <v>42</v>
      </c>
      <c r="M41" s="56" t="s">
        <v>18</v>
      </c>
      <c r="N41" s="8">
        <f t="shared" si="0"/>
        <v>3969</v>
      </c>
    </row>
    <row r="42" spans="1:14">
      <c r="A42" s="56" t="s">
        <v>81</v>
      </c>
      <c r="B42" s="56" t="s">
        <v>14</v>
      </c>
      <c r="C42" s="57">
        <v>45401</v>
      </c>
      <c r="D42" s="56" t="s">
        <v>15</v>
      </c>
      <c r="E42" s="56" t="s">
        <v>26</v>
      </c>
      <c r="F42" s="58">
        <v>4001</v>
      </c>
      <c r="G42" s="58">
        <v>353</v>
      </c>
      <c r="H42" s="58">
        <v>129</v>
      </c>
      <c r="I42" s="58">
        <v>41265</v>
      </c>
      <c r="J42" s="58">
        <v>37279</v>
      </c>
      <c r="K42" s="58">
        <v>275</v>
      </c>
      <c r="L42" s="56" t="s">
        <v>17</v>
      </c>
      <c r="M42" s="56" t="s">
        <v>18</v>
      </c>
      <c r="N42" s="8">
        <f t="shared" si="0"/>
        <v>4483</v>
      </c>
    </row>
    <row r="43" spans="1:14">
      <c r="A43" s="56" t="s">
        <v>82</v>
      </c>
      <c r="B43" s="56" t="s">
        <v>14</v>
      </c>
      <c r="C43" s="57">
        <v>45683</v>
      </c>
      <c r="D43" s="56" t="s">
        <v>25</v>
      </c>
      <c r="E43" s="56" t="s">
        <v>35</v>
      </c>
      <c r="F43" s="58">
        <v>3451</v>
      </c>
      <c r="G43" s="58">
        <v>363</v>
      </c>
      <c r="H43" s="58">
        <v>393</v>
      </c>
      <c r="I43" s="58">
        <v>44853</v>
      </c>
      <c r="J43" s="58">
        <v>69032</v>
      </c>
      <c r="K43" s="58">
        <v>211</v>
      </c>
      <c r="L43" s="56" t="s">
        <v>42</v>
      </c>
      <c r="M43" s="56" t="s">
        <v>55</v>
      </c>
      <c r="N43" s="8">
        <f t="shared" si="0"/>
        <v>4207</v>
      </c>
    </row>
    <row r="44" spans="1:14">
      <c r="A44" s="56" t="s">
        <v>83</v>
      </c>
      <c r="B44" s="56" t="s">
        <v>14</v>
      </c>
      <c r="C44" s="57">
        <v>45702</v>
      </c>
      <c r="D44" s="56" t="s">
        <v>15</v>
      </c>
      <c r="E44" s="56" t="s">
        <v>41</v>
      </c>
      <c r="F44" s="58">
        <v>4891</v>
      </c>
      <c r="G44" s="58">
        <v>450</v>
      </c>
      <c r="H44" s="58">
        <v>387</v>
      </c>
      <c r="I44" s="58">
        <v>48746</v>
      </c>
      <c r="J44" s="58">
        <v>37312</v>
      </c>
      <c r="K44" s="58">
        <v>154</v>
      </c>
      <c r="L44" s="56" t="s">
        <v>17</v>
      </c>
      <c r="M44" s="56" t="s">
        <v>18</v>
      </c>
      <c r="N44" s="8">
        <f t="shared" si="0"/>
        <v>5728</v>
      </c>
    </row>
    <row r="45" spans="1:14">
      <c r="A45" s="56" t="s">
        <v>84</v>
      </c>
      <c r="B45" s="56" t="s">
        <v>14</v>
      </c>
      <c r="C45" s="57">
        <v>45541</v>
      </c>
      <c r="D45" s="56" t="s">
        <v>15</v>
      </c>
      <c r="E45" s="56" t="s">
        <v>26</v>
      </c>
      <c r="F45" s="58">
        <v>1452</v>
      </c>
      <c r="G45" s="58">
        <v>281</v>
      </c>
      <c r="H45" s="58">
        <v>326</v>
      </c>
      <c r="I45" s="58">
        <v>51556</v>
      </c>
      <c r="J45" s="58">
        <v>62599</v>
      </c>
      <c r="K45" s="58">
        <v>290</v>
      </c>
      <c r="L45" s="56" t="s">
        <v>21</v>
      </c>
      <c r="M45" s="56" t="s">
        <v>22</v>
      </c>
      <c r="N45" s="8">
        <f t="shared" si="0"/>
        <v>2059</v>
      </c>
    </row>
    <row r="46" spans="1:14">
      <c r="A46" s="56" t="s">
        <v>85</v>
      </c>
      <c r="B46" s="56" t="s">
        <v>397</v>
      </c>
      <c r="C46" s="57">
        <v>45487</v>
      </c>
      <c r="D46" s="56" t="s">
        <v>15</v>
      </c>
      <c r="E46" s="56" t="s">
        <v>51</v>
      </c>
      <c r="F46" s="58">
        <v>3806</v>
      </c>
      <c r="G46" s="58">
        <v>114</v>
      </c>
      <c r="H46" s="58">
        <v>278</v>
      </c>
      <c r="I46" s="58">
        <v>36148</v>
      </c>
      <c r="J46" s="58">
        <v>24209</v>
      </c>
      <c r="K46" s="58">
        <v>201</v>
      </c>
      <c r="L46" s="56" t="s">
        <v>33</v>
      </c>
      <c r="M46" s="56" t="s">
        <v>22</v>
      </c>
      <c r="N46" s="8">
        <f t="shared" si="0"/>
        <v>4198</v>
      </c>
    </row>
    <row r="47" spans="1:14">
      <c r="A47" s="56" t="s">
        <v>86</v>
      </c>
      <c r="B47" s="56" t="s">
        <v>14</v>
      </c>
      <c r="C47" s="57">
        <v>45334</v>
      </c>
      <c r="D47" s="56" t="s">
        <v>15</v>
      </c>
      <c r="E47" s="56" t="s">
        <v>20</v>
      </c>
      <c r="F47" s="58">
        <v>2923</v>
      </c>
      <c r="G47" s="58">
        <v>330</v>
      </c>
      <c r="H47" s="58">
        <v>250</v>
      </c>
      <c r="I47" s="58">
        <v>23993</v>
      </c>
      <c r="J47" s="58">
        <v>74590</v>
      </c>
      <c r="K47" s="58">
        <v>92</v>
      </c>
      <c r="L47" s="56" t="s">
        <v>21</v>
      </c>
      <c r="M47" s="56" t="s">
        <v>22</v>
      </c>
      <c r="N47" s="8">
        <f t="shared" si="0"/>
        <v>3503</v>
      </c>
    </row>
    <row r="48" spans="1:14">
      <c r="A48" s="56" t="s">
        <v>87</v>
      </c>
      <c r="B48" s="56" t="s">
        <v>397</v>
      </c>
      <c r="C48" s="57">
        <v>45365</v>
      </c>
      <c r="D48" s="56" t="s">
        <v>57</v>
      </c>
      <c r="E48" s="56" t="s">
        <v>49</v>
      </c>
      <c r="F48" s="58">
        <v>3361</v>
      </c>
      <c r="G48" s="58">
        <v>188</v>
      </c>
      <c r="H48" s="58">
        <v>358</v>
      </c>
      <c r="I48" s="58">
        <v>39838</v>
      </c>
      <c r="J48" s="58">
        <v>24536</v>
      </c>
      <c r="K48" s="58">
        <v>120</v>
      </c>
      <c r="L48" s="56" t="s">
        <v>58</v>
      </c>
      <c r="M48" s="56" t="s">
        <v>59</v>
      </c>
      <c r="N48" s="8">
        <f t="shared" si="0"/>
        <v>3907</v>
      </c>
    </row>
    <row r="49" spans="1:14">
      <c r="A49" s="56" t="s">
        <v>88</v>
      </c>
      <c r="B49" s="56" t="s">
        <v>14</v>
      </c>
      <c r="C49" s="57">
        <v>45693</v>
      </c>
      <c r="D49" s="56" t="s">
        <v>25</v>
      </c>
      <c r="E49" s="56" t="s">
        <v>32</v>
      </c>
      <c r="F49" s="58">
        <v>3074</v>
      </c>
      <c r="G49" s="58">
        <v>371</v>
      </c>
      <c r="H49" s="58">
        <v>348</v>
      </c>
      <c r="I49" s="58">
        <v>24104</v>
      </c>
      <c r="J49" s="58">
        <v>57803</v>
      </c>
      <c r="K49" s="58">
        <v>213</v>
      </c>
      <c r="L49" s="56" t="s">
        <v>42</v>
      </c>
      <c r="M49" s="56" t="s">
        <v>55</v>
      </c>
      <c r="N49" s="8">
        <f t="shared" si="0"/>
        <v>3793</v>
      </c>
    </row>
    <row r="50" spans="1:14">
      <c r="A50" s="56" t="s">
        <v>89</v>
      </c>
      <c r="B50" s="56" t="s">
        <v>24</v>
      </c>
      <c r="C50" s="57">
        <v>45533</v>
      </c>
      <c r="D50" s="56" t="s">
        <v>25</v>
      </c>
      <c r="E50" s="56" t="s">
        <v>37</v>
      </c>
      <c r="F50" s="58">
        <v>4276</v>
      </c>
      <c r="G50" s="58">
        <v>227</v>
      </c>
      <c r="H50" s="58">
        <v>223</v>
      </c>
      <c r="I50" s="58">
        <v>43443</v>
      </c>
      <c r="J50" s="58">
        <v>41005</v>
      </c>
      <c r="K50" s="58">
        <v>191</v>
      </c>
      <c r="L50" s="56" t="s">
        <v>39</v>
      </c>
      <c r="M50" s="56" t="s">
        <v>18</v>
      </c>
      <c r="N50" s="8">
        <f t="shared" si="0"/>
        <v>4726</v>
      </c>
    </row>
    <row r="51" spans="1:14">
      <c r="A51" s="56" t="s">
        <v>90</v>
      </c>
      <c r="B51" s="56" t="s">
        <v>24</v>
      </c>
      <c r="C51" s="57">
        <v>45769</v>
      </c>
      <c r="D51" s="56" t="s">
        <v>15</v>
      </c>
      <c r="E51" s="56" t="s">
        <v>16</v>
      </c>
      <c r="F51" s="58">
        <v>4401</v>
      </c>
      <c r="G51" s="58">
        <v>421</v>
      </c>
      <c r="H51" s="58">
        <v>216</v>
      </c>
      <c r="I51" s="58">
        <v>24890</v>
      </c>
      <c r="J51" s="58">
        <v>54361</v>
      </c>
      <c r="K51" s="58">
        <v>148</v>
      </c>
      <c r="L51" s="56" t="s">
        <v>42</v>
      </c>
      <c r="M51" s="56" t="s">
        <v>18</v>
      </c>
      <c r="N51" s="8">
        <f t="shared" si="0"/>
        <v>5038</v>
      </c>
    </row>
    <row r="52" spans="1:14">
      <c r="A52" s="56" t="s">
        <v>91</v>
      </c>
      <c r="B52" s="56" t="s">
        <v>397</v>
      </c>
      <c r="C52" s="57">
        <v>45425</v>
      </c>
      <c r="D52" s="56" t="s">
        <v>57</v>
      </c>
      <c r="E52" s="56" t="s">
        <v>20</v>
      </c>
      <c r="F52" s="58">
        <v>4161</v>
      </c>
      <c r="G52" s="58">
        <v>481</v>
      </c>
      <c r="H52" s="58">
        <v>61</v>
      </c>
      <c r="I52" s="58">
        <v>45884</v>
      </c>
      <c r="J52" s="58">
        <v>48955</v>
      </c>
      <c r="K52" s="58">
        <v>215</v>
      </c>
      <c r="L52" s="56" t="s">
        <v>58</v>
      </c>
      <c r="M52" s="56" t="s">
        <v>59</v>
      </c>
      <c r="N52" s="8">
        <f t="shared" si="0"/>
        <v>4703</v>
      </c>
    </row>
    <row r="53" spans="1:14">
      <c r="A53" s="56" t="s">
        <v>92</v>
      </c>
      <c r="B53" s="56" t="s">
        <v>24</v>
      </c>
      <c r="C53" s="57">
        <v>45539</v>
      </c>
      <c r="D53" s="56" t="s">
        <v>25</v>
      </c>
      <c r="E53" s="56" t="s">
        <v>26</v>
      </c>
      <c r="F53" s="58">
        <v>2613</v>
      </c>
      <c r="G53" s="58">
        <v>455</v>
      </c>
      <c r="H53" s="58">
        <v>228</v>
      </c>
      <c r="I53" s="58">
        <v>21645</v>
      </c>
      <c r="J53" s="58">
        <v>61334</v>
      </c>
      <c r="K53" s="58">
        <v>261</v>
      </c>
      <c r="L53" s="56" t="s">
        <v>39</v>
      </c>
      <c r="M53" s="56" t="s">
        <v>18</v>
      </c>
      <c r="N53" s="8">
        <f t="shared" si="0"/>
        <v>3296</v>
      </c>
    </row>
    <row r="54" spans="1:14">
      <c r="A54" s="56" t="s">
        <v>93</v>
      </c>
      <c r="B54" s="56" t="s">
        <v>24</v>
      </c>
      <c r="C54" s="57">
        <v>45516</v>
      </c>
      <c r="D54" s="56" t="s">
        <v>25</v>
      </c>
      <c r="E54" s="56" t="s">
        <v>35</v>
      </c>
      <c r="F54" s="58">
        <v>2842</v>
      </c>
      <c r="G54" s="58">
        <v>213</v>
      </c>
      <c r="H54" s="58">
        <v>331</v>
      </c>
      <c r="I54" s="58">
        <v>57660</v>
      </c>
      <c r="J54" s="58">
        <v>68606</v>
      </c>
      <c r="K54" s="58">
        <v>87</v>
      </c>
      <c r="L54" s="56" t="s">
        <v>27</v>
      </c>
      <c r="M54" s="56" t="s">
        <v>18</v>
      </c>
      <c r="N54" s="8">
        <f t="shared" si="0"/>
        <v>3386</v>
      </c>
    </row>
    <row r="55" spans="1:14">
      <c r="A55" s="56" t="s">
        <v>94</v>
      </c>
      <c r="B55" s="56" t="s">
        <v>14</v>
      </c>
      <c r="C55" s="57">
        <v>45722</v>
      </c>
      <c r="D55" s="56" t="s">
        <v>15</v>
      </c>
      <c r="E55" s="56" t="s">
        <v>37</v>
      </c>
      <c r="F55" s="58">
        <v>4851</v>
      </c>
      <c r="G55" s="58">
        <v>460</v>
      </c>
      <c r="H55" s="58">
        <v>212</v>
      </c>
      <c r="I55" s="58">
        <v>58075</v>
      </c>
      <c r="J55" s="58">
        <v>59574</v>
      </c>
      <c r="K55" s="58">
        <v>239</v>
      </c>
      <c r="L55" s="56" t="s">
        <v>21</v>
      </c>
      <c r="M55" s="56" t="s">
        <v>22</v>
      </c>
      <c r="N55" s="8">
        <f t="shared" si="0"/>
        <v>5523</v>
      </c>
    </row>
    <row r="56" spans="1:14">
      <c r="A56" s="56" t="s">
        <v>95</v>
      </c>
      <c r="B56" s="56" t="s">
        <v>24</v>
      </c>
      <c r="C56" s="57">
        <v>45420</v>
      </c>
      <c r="D56" s="56" t="s">
        <v>15</v>
      </c>
      <c r="E56" s="56" t="s">
        <v>20</v>
      </c>
      <c r="F56" s="58">
        <v>1828</v>
      </c>
      <c r="G56" s="58">
        <v>450</v>
      </c>
      <c r="H56" s="58">
        <v>214</v>
      </c>
      <c r="I56" s="58">
        <v>52115</v>
      </c>
      <c r="J56" s="58">
        <v>19166</v>
      </c>
      <c r="K56" s="58">
        <v>190</v>
      </c>
      <c r="L56" s="56" t="s">
        <v>42</v>
      </c>
      <c r="M56" s="56" t="s">
        <v>18</v>
      </c>
      <c r="N56" s="8">
        <f t="shared" si="0"/>
        <v>2492</v>
      </c>
    </row>
    <row r="57" spans="1:14">
      <c r="A57" s="56" t="s">
        <v>96</v>
      </c>
      <c r="B57" s="56" t="s">
        <v>14</v>
      </c>
      <c r="C57" s="57">
        <v>45707</v>
      </c>
      <c r="D57" s="56" t="s">
        <v>25</v>
      </c>
      <c r="E57" s="56" t="s">
        <v>49</v>
      </c>
      <c r="F57" s="58">
        <v>2422</v>
      </c>
      <c r="G57" s="58">
        <v>455</v>
      </c>
      <c r="H57" s="58">
        <v>376</v>
      </c>
      <c r="I57" s="58">
        <v>23428</v>
      </c>
      <c r="J57" s="58">
        <v>46775</v>
      </c>
      <c r="K57" s="58">
        <v>259</v>
      </c>
      <c r="L57" s="56" t="s">
        <v>42</v>
      </c>
      <c r="M57" s="56" t="s">
        <v>55</v>
      </c>
      <c r="N57" s="8">
        <f t="shared" si="0"/>
        <v>3253</v>
      </c>
    </row>
    <row r="58" spans="1:14">
      <c r="A58" s="56" t="s">
        <v>97</v>
      </c>
      <c r="B58" s="56" t="s">
        <v>14</v>
      </c>
      <c r="C58" s="57">
        <v>45299</v>
      </c>
      <c r="D58" s="56" t="s">
        <v>15</v>
      </c>
      <c r="E58" s="56" t="s">
        <v>41</v>
      </c>
      <c r="F58" s="58">
        <v>2683</v>
      </c>
      <c r="G58" s="58">
        <v>405</v>
      </c>
      <c r="H58" s="58">
        <v>223</v>
      </c>
      <c r="I58" s="58">
        <v>31233</v>
      </c>
      <c r="J58" s="58">
        <v>58106</v>
      </c>
      <c r="K58" s="58">
        <v>291</v>
      </c>
      <c r="L58" s="56" t="s">
        <v>21</v>
      </c>
      <c r="M58" s="56" t="s">
        <v>22</v>
      </c>
      <c r="N58" s="8">
        <f t="shared" si="0"/>
        <v>3311</v>
      </c>
    </row>
    <row r="59" spans="1:14">
      <c r="A59" s="56" t="s">
        <v>98</v>
      </c>
      <c r="B59" s="56" t="s">
        <v>397</v>
      </c>
      <c r="C59" s="57">
        <v>45490</v>
      </c>
      <c r="D59" s="56" t="s">
        <v>15</v>
      </c>
      <c r="E59" s="56" t="s">
        <v>41</v>
      </c>
      <c r="F59" s="58">
        <v>3135</v>
      </c>
      <c r="G59" s="58">
        <v>110</v>
      </c>
      <c r="H59" s="58">
        <v>215</v>
      </c>
      <c r="I59" s="58">
        <v>39192</v>
      </c>
      <c r="J59" s="58">
        <v>24744</v>
      </c>
      <c r="K59" s="58">
        <v>177</v>
      </c>
      <c r="L59" s="56" t="s">
        <v>33</v>
      </c>
      <c r="M59" s="56" t="s">
        <v>22</v>
      </c>
      <c r="N59" s="8">
        <f t="shared" si="0"/>
        <v>3460</v>
      </c>
    </row>
    <row r="60" spans="1:14">
      <c r="A60" s="56" t="s">
        <v>99</v>
      </c>
      <c r="B60" s="56" t="s">
        <v>397</v>
      </c>
      <c r="C60" s="57">
        <v>45514</v>
      </c>
      <c r="D60" s="56" t="s">
        <v>15</v>
      </c>
      <c r="E60" s="56" t="s">
        <v>49</v>
      </c>
      <c r="F60" s="58">
        <v>1105</v>
      </c>
      <c r="G60" s="58">
        <v>181</v>
      </c>
      <c r="H60" s="58">
        <v>55</v>
      </c>
      <c r="I60" s="58">
        <v>53581</v>
      </c>
      <c r="J60" s="58">
        <v>74048</v>
      </c>
      <c r="K60" s="58">
        <v>220</v>
      </c>
      <c r="L60" s="56" t="s">
        <v>33</v>
      </c>
      <c r="M60" s="56" t="s">
        <v>22</v>
      </c>
      <c r="N60" s="8">
        <f t="shared" si="0"/>
        <v>1341</v>
      </c>
    </row>
    <row r="61" spans="1:14">
      <c r="A61" s="56" t="s">
        <v>100</v>
      </c>
      <c r="B61" s="56" t="s">
        <v>397</v>
      </c>
      <c r="C61" s="57">
        <v>45398</v>
      </c>
      <c r="D61" s="56" t="s">
        <v>15</v>
      </c>
      <c r="E61" s="56" t="s">
        <v>16</v>
      </c>
      <c r="F61" s="58">
        <v>4674</v>
      </c>
      <c r="G61" s="58">
        <v>326</v>
      </c>
      <c r="H61" s="58">
        <v>62</v>
      </c>
      <c r="I61" s="58">
        <v>45503</v>
      </c>
      <c r="J61" s="58">
        <v>46814</v>
      </c>
      <c r="K61" s="58">
        <v>116</v>
      </c>
      <c r="L61" s="56" t="s">
        <v>33</v>
      </c>
      <c r="M61" s="56" t="s">
        <v>22</v>
      </c>
      <c r="N61" s="8">
        <f t="shared" si="0"/>
        <v>5062</v>
      </c>
    </row>
    <row r="62" spans="1:14">
      <c r="A62" s="56" t="s">
        <v>101</v>
      </c>
      <c r="B62" s="56" t="s">
        <v>397</v>
      </c>
      <c r="C62" s="57">
        <v>45292</v>
      </c>
      <c r="D62" s="56" t="s">
        <v>57</v>
      </c>
      <c r="E62" s="56" t="s">
        <v>20</v>
      </c>
      <c r="F62" s="58">
        <v>3437</v>
      </c>
      <c r="G62" s="58">
        <v>129</v>
      </c>
      <c r="H62" s="58">
        <v>359</v>
      </c>
      <c r="I62" s="58">
        <v>44558</v>
      </c>
      <c r="J62" s="58">
        <v>30854</v>
      </c>
      <c r="K62" s="58">
        <v>171</v>
      </c>
      <c r="L62" s="56" t="s">
        <v>58</v>
      </c>
      <c r="M62" s="56" t="s">
        <v>59</v>
      </c>
      <c r="N62" s="8">
        <f t="shared" si="0"/>
        <v>3925</v>
      </c>
    </row>
    <row r="63" spans="1:14">
      <c r="A63" s="56" t="s">
        <v>102</v>
      </c>
      <c r="B63" s="56" t="s">
        <v>24</v>
      </c>
      <c r="C63" s="57">
        <v>45599</v>
      </c>
      <c r="D63" s="56" t="s">
        <v>25</v>
      </c>
      <c r="E63" s="56" t="s">
        <v>29</v>
      </c>
      <c r="F63" s="58">
        <v>1959</v>
      </c>
      <c r="G63" s="58">
        <v>316</v>
      </c>
      <c r="H63" s="58">
        <v>82</v>
      </c>
      <c r="I63" s="58">
        <v>54036</v>
      </c>
      <c r="J63" s="58">
        <v>69015</v>
      </c>
      <c r="K63" s="58">
        <v>182</v>
      </c>
      <c r="L63" s="56" t="s">
        <v>27</v>
      </c>
      <c r="M63" s="56" t="s">
        <v>18</v>
      </c>
      <c r="N63" s="8">
        <f t="shared" si="0"/>
        <v>2357</v>
      </c>
    </row>
    <row r="64" spans="1:14">
      <c r="A64" s="56" t="s">
        <v>103</v>
      </c>
      <c r="B64" s="56" t="s">
        <v>24</v>
      </c>
      <c r="C64" s="57">
        <v>45480</v>
      </c>
      <c r="D64" s="56" t="s">
        <v>15</v>
      </c>
      <c r="E64" s="56" t="s">
        <v>26</v>
      </c>
      <c r="F64" s="58">
        <v>1035</v>
      </c>
      <c r="G64" s="58">
        <v>137</v>
      </c>
      <c r="H64" s="58">
        <v>184</v>
      </c>
      <c r="I64" s="58">
        <v>37302</v>
      </c>
      <c r="J64" s="58">
        <v>68953</v>
      </c>
      <c r="K64" s="58">
        <v>237</v>
      </c>
      <c r="L64" s="56" t="s">
        <v>45</v>
      </c>
      <c r="M64" s="56" t="s">
        <v>22</v>
      </c>
      <c r="N64" s="8">
        <f t="shared" si="0"/>
        <v>1356</v>
      </c>
    </row>
    <row r="65" spans="1:14">
      <c r="A65" s="56" t="s">
        <v>104</v>
      </c>
      <c r="B65" s="56" t="s">
        <v>24</v>
      </c>
      <c r="C65" s="57">
        <v>45679</v>
      </c>
      <c r="D65" s="56" t="s">
        <v>25</v>
      </c>
      <c r="E65" s="56" t="s">
        <v>26</v>
      </c>
      <c r="F65" s="58">
        <v>4478</v>
      </c>
      <c r="G65" s="58">
        <v>101</v>
      </c>
      <c r="H65" s="58">
        <v>121</v>
      </c>
      <c r="I65" s="58">
        <v>51035</v>
      </c>
      <c r="J65" s="58">
        <v>58207</v>
      </c>
      <c r="K65" s="58">
        <v>205</v>
      </c>
      <c r="L65" s="56" t="s">
        <v>27</v>
      </c>
      <c r="M65" s="56" t="s">
        <v>18</v>
      </c>
      <c r="N65" s="8">
        <f t="shared" si="0"/>
        <v>4700</v>
      </c>
    </row>
    <row r="66" spans="1:14">
      <c r="A66" s="56" t="s">
        <v>105</v>
      </c>
      <c r="B66" s="56" t="s">
        <v>397</v>
      </c>
      <c r="C66" s="57">
        <v>45438</v>
      </c>
      <c r="D66" s="56" t="s">
        <v>15</v>
      </c>
      <c r="E66" s="56" t="s">
        <v>49</v>
      </c>
      <c r="F66" s="58">
        <v>1488</v>
      </c>
      <c r="G66" s="58">
        <v>327</v>
      </c>
      <c r="H66" s="58">
        <v>110</v>
      </c>
      <c r="I66" s="58">
        <v>53805</v>
      </c>
      <c r="J66" s="58">
        <v>30239</v>
      </c>
      <c r="K66" s="58">
        <v>109</v>
      </c>
      <c r="L66" s="56" t="s">
        <v>33</v>
      </c>
      <c r="M66" s="56" t="s">
        <v>22</v>
      </c>
      <c r="N66" s="8">
        <f t="shared" ref="N66:N129" si="1">F66+G66+H66</f>
        <v>1925</v>
      </c>
    </row>
    <row r="67" spans="1:14">
      <c r="A67" s="56" t="s">
        <v>106</v>
      </c>
      <c r="B67" s="56" t="s">
        <v>14</v>
      </c>
      <c r="C67" s="57">
        <v>45763</v>
      </c>
      <c r="D67" s="56" t="s">
        <v>15</v>
      </c>
      <c r="E67" s="56" t="s">
        <v>29</v>
      </c>
      <c r="F67" s="58">
        <v>4836</v>
      </c>
      <c r="G67" s="58">
        <v>331</v>
      </c>
      <c r="H67" s="58">
        <v>140</v>
      </c>
      <c r="I67" s="58">
        <v>58792</v>
      </c>
      <c r="J67" s="58">
        <v>47711</v>
      </c>
      <c r="K67" s="58">
        <v>227</v>
      </c>
      <c r="L67" s="56" t="s">
        <v>17</v>
      </c>
      <c r="M67" s="56" t="s">
        <v>18</v>
      </c>
      <c r="N67" s="8">
        <f t="shared" si="1"/>
        <v>5307</v>
      </c>
    </row>
    <row r="68" spans="1:14">
      <c r="A68" s="56" t="s">
        <v>107</v>
      </c>
      <c r="B68" s="56" t="s">
        <v>397</v>
      </c>
      <c r="C68" s="57">
        <v>45384</v>
      </c>
      <c r="D68" s="56" t="s">
        <v>57</v>
      </c>
      <c r="E68" s="56" t="s">
        <v>51</v>
      </c>
      <c r="F68" s="58">
        <v>4563</v>
      </c>
      <c r="G68" s="58">
        <v>488</v>
      </c>
      <c r="H68" s="58">
        <v>356</v>
      </c>
      <c r="I68" s="58">
        <v>30619</v>
      </c>
      <c r="J68" s="58">
        <v>23328</v>
      </c>
      <c r="K68" s="58">
        <v>267</v>
      </c>
      <c r="L68" s="56" t="s">
        <v>58</v>
      </c>
      <c r="M68" s="56" t="s">
        <v>59</v>
      </c>
      <c r="N68" s="8">
        <f t="shared" si="1"/>
        <v>5407</v>
      </c>
    </row>
    <row r="69" spans="1:14">
      <c r="A69" s="56" t="s">
        <v>108</v>
      </c>
      <c r="B69" s="56" t="s">
        <v>24</v>
      </c>
      <c r="C69" s="57">
        <v>45379</v>
      </c>
      <c r="D69" s="56" t="s">
        <v>15</v>
      </c>
      <c r="E69" s="56" t="s">
        <v>32</v>
      </c>
      <c r="F69" s="58">
        <v>3276</v>
      </c>
      <c r="G69" s="58">
        <v>421</v>
      </c>
      <c r="H69" s="58">
        <v>114</v>
      </c>
      <c r="I69" s="58">
        <v>20580</v>
      </c>
      <c r="J69" s="58">
        <v>30324</v>
      </c>
      <c r="K69" s="58">
        <v>221</v>
      </c>
      <c r="L69" s="56" t="s">
        <v>45</v>
      </c>
      <c r="M69" s="56" t="s">
        <v>22</v>
      </c>
      <c r="N69" s="8">
        <f t="shared" si="1"/>
        <v>3811</v>
      </c>
    </row>
    <row r="70" spans="1:14">
      <c r="A70" s="56" t="s">
        <v>109</v>
      </c>
      <c r="B70" s="56" t="s">
        <v>24</v>
      </c>
      <c r="C70" s="57">
        <v>45643</v>
      </c>
      <c r="D70" s="56" t="s">
        <v>25</v>
      </c>
      <c r="E70" s="56" t="s">
        <v>32</v>
      </c>
      <c r="F70" s="58">
        <v>1316</v>
      </c>
      <c r="G70" s="58">
        <v>472</v>
      </c>
      <c r="H70" s="58">
        <v>286</v>
      </c>
      <c r="I70" s="58">
        <v>44692</v>
      </c>
      <c r="J70" s="58">
        <v>53343</v>
      </c>
      <c r="K70" s="58">
        <v>227</v>
      </c>
      <c r="L70" s="56" t="s">
        <v>39</v>
      </c>
      <c r="M70" s="56" t="s">
        <v>18</v>
      </c>
      <c r="N70" s="8">
        <f t="shared" si="1"/>
        <v>2074</v>
      </c>
    </row>
    <row r="71" spans="1:14">
      <c r="A71" s="56" t="s">
        <v>110</v>
      </c>
      <c r="B71" s="56" t="s">
        <v>24</v>
      </c>
      <c r="C71" s="57">
        <v>45662</v>
      </c>
      <c r="D71" s="56" t="s">
        <v>15</v>
      </c>
      <c r="E71" s="56" t="s">
        <v>29</v>
      </c>
      <c r="F71" s="58">
        <v>4811</v>
      </c>
      <c r="G71" s="58">
        <v>473</v>
      </c>
      <c r="H71" s="58">
        <v>254</v>
      </c>
      <c r="I71" s="58">
        <v>51964</v>
      </c>
      <c r="J71" s="58">
        <v>68795</v>
      </c>
      <c r="K71" s="58">
        <v>107</v>
      </c>
      <c r="L71" s="56" t="s">
        <v>42</v>
      </c>
      <c r="M71" s="56" t="s">
        <v>18</v>
      </c>
      <c r="N71" s="8">
        <f t="shared" si="1"/>
        <v>5538</v>
      </c>
    </row>
    <row r="72" spans="1:14">
      <c r="A72" s="56" t="s">
        <v>111</v>
      </c>
      <c r="B72" s="56" t="s">
        <v>24</v>
      </c>
      <c r="C72" s="57">
        <v>45302</v>
      </c>
      <c r="D72" s="56" t="s">
        <v>15</v>
      </c>
      <c r="E72" s="56" t="s">
        <v>35</v>
      </c>
      <c r="F72" s="58">
        <v>4218</v>
      </c>
      <c r="G72" s="58">
        <v>247</v>
      </c>
      <c r="H72" s="58">
        <v>183</v>
      </c>
      <c r="I72" s="58">
        <v>28914</v>
      </c>
      <c r="J72" s="58">
        <v>18310</v>
      </c>
      <c r="K72" s="58">
        <v>135</v>
      </c>
      <c r="L72" s="56" t="s">
        <v>45</v>
      </c>
      <c r="M72" s="56" t="s">
        <v>22</v>
      </c>
      <c r="N72" s="8">
        <f t="shared" si="1"/>
        <v>4648</v>
      </c>
    </row>
    <row r="73" spans="1:14">
      <c r="A73" s="56" t="s">
        <v>112</v>
      </c>
      <c r="B73" s="56" t="s">
        <v>14</v>
      </c>
      <c r="C73" s="57">
        <v>45576</v>
      </c>
      <c r="D73" s="56" t="s">
        <v>15</v>
      </c>
      <c r="E73" s="56" t="s">
        <v>49</v>
      </c>
      <c r="F73" s="58">
        <v>1360</v>
      </c>
      <c r="G73" s="58">
        <v>249</v>
      </c>
      <c r="H73" s="58">
        <v>52</v>
      </c>
      <c r="I73" s="58">
        <v>20368</v>
      </c>
      <c r="J73" s="58">
        <v>42152</v>
      </c>
      <c r="K73" s="58">
        <v>193</v>
      </c>
      <c r="L73" s="56" t="s">
        <v>21</v>
      </c>
      <c r="M73" s="56" t="s">
        <v>22</v>
      </c>
      <c r="N73" s="8">
        <f t="shared" si="1"/>
        <v>1661</v>
      </c>
    </row>
    <row r="74" spans="1:14">
      <c r="A74" s="56" t="s">
        <v>113</v>
      </c>
      <c r="B74" s="56" t="s">
        <v>397</v>
      </c>
      <c r="C74" s="57">
        <v>45783</v>
      </c>
      <c r="D74" s="56" t="s">
        <v>57</v>
      </c>
      <c r="E74" s="56" t="s">
        <v>16</v>
      </c>
      <c r="F74" s="58">
        <v>1085</v>
      </c>
      <c r="G74" s="58">
        <v>496</v>
      </c>
      <c r="H74" s="58">
        <v>320</v>
      </c>
      <c r="I74" s="58">
        <v>36528</v>
      </c>
      <c r="J74" s="58">
        <v>38599</v>
      </c>
      <c r="K74" s="58">
        <v>270</v>
      </c>
      <c r="L74" s="56" t="s">
        <v>58</v>
      </c>
      <c r="M74" s="56" t="s">
        <v>59</v>
      </c>
      <c r="N74" s="8">
        <f t="shared" si="1"/>
        <v>1901</v>
      </c>
    </row>
    <row r="75" spans="1:14">
      <c r="A75" s="56" t="s">
        <v>114</v>
      </c>
      <c r="B75" s="56" t="s">
        <v>24</v>
      </c>
      <c r="C75" s="57">
        <v>45431</v>
      </c>
      <c r="D75" s="56" t="s">
        <v>25</v>
      </c>
      <c r="E75" s="56" t="s">
        <v>37</v>
      </c>
      <c r="F75" s="58">
        <v>1763</v>
      </c>
      <c r="G75" s="58">
        <v>206</v>
      </c>
      <c r="H75" s="58">
        <v>187</v>
      </c>
      <c r="I75" s="58">
        <v>53342</v>
      </c>
      <c r="J75" s="58">
        <v>25095</v>
      </c>
      <c r="K75" s="58">
        <v>88</v>
      </c>
      <c r="L75" s="56" t="s">
        <v>39</v>
      </c>
      <c r="M75" s="56" t="s">
        <v>18</v>
      </c>
      <c r="N75" s="8">
        <f t="shared" si="1"/>
        <v>2156</v>
      </c>
    </row>
    <row r="76" spans="1:14">
      <c r="A76" s="56" t="s">
        <v>115</v>
      </c>
      <c r="B76" s="56" t="s">
        <v>24</v>
      </c>
      <c r="C76" s="57">
        <v>45313</v>
      </c>
      <c r="D76" s="56" t="s">
        <v>25</v>
      </c>
      <c r="E76" s="56" t="s">
        <v>49</v>
      </c>
      <c r="F76" s="58">
        <v>1554</v>
      </c>
      <c r="G76" s="58">
        <v>455</v>
      </c>
      <c r="H76" s="58">
        <v>158</v>
      </c>
      <c r="I76" s="58">
        <v>41947</v>
      </c>
      <c r="J76" s="58">
        <v>48578</v>
      </c>
      <c r="K76" s="58">
        <v>101</v>
      </c>
      <c r="L76" s="56" t="s">
        <v>17</v>
      </c>
      <c r="M76" s="56" t="s">
        <v>18</v>
      </c>
      <c r="N76" s="8">
        <f t="shared" si="1"/>
        <v>2167</v>
      </c>
    </row>
    <row r="77" spans="1:14">
      <c r="A77" s="56" t="s">
        <v>116</v>
      </c>
      <c r="B77" s="56" t="s">
        <v>14</v>
      </c>
      <c r="C77" s="57">
        <v>45487</v>
      </c>
      <c r="D77" s="56" t="s">
        <v>15</v>
      </c>
      <c r="E77" s="56" t="s">
        <v>29</v>
      </c>
      <c r="F77" s="58">
        <v>2464</v>
      </c>
      <c r="G77" s="58">
        <v>401</v>
      </c>
      <c r="H77" s="58">
        <v>78</v>
      </c>
      <c r="I77" s="58">
        <v>38665</v>
      </c>
      <c r="J77" s="58">
        <v>73593</v>
      </c>
      <c r="K77" s="58">
        <v>207</v>
      </c>
      <c r="L77" s="56" t="s">
        <v>21</v>
      </c>
      <c r="M77" s="56" t="s">
        <v>22</v>
      </c>
      <c r="N77" s="8">
        <f t="shared" si="1"/>
        <v>2943</v>
      </c>
    </row>
    <row r="78" spans="1:14">
      <c r="A78" s="56" t="s">
        <v>117</v>
      </c>
      <c r="B78" s="56" t="s">
        <v>24</v>
      </c>
      <c r="C78" s="57">
        <v>45805</v>
      </c>
      <c r="D78" s="56" t="s">
        <v>15</v>
      </c>
      <c r="E78" s="56" t="s">
        <v>49</v>
      </c>
      <c r="F78" s="58">
        <v>2418</v>
      </c>
      <c r="G78" s="58">
        <v>161</v>
      </c>
      <c r="H78" s="58">
        <v>360</v>
      </c>
      <c r="I78" s="58">
        <v>30589</v>
      </c>
      <c r="J78" s="58">
        <v>41383</v>
      </c>
      <c r="K78" s="58">
        <v>88</v>
      </c>
      <c r="L78" s="56" t="s">
        <v>42</v>
      </c>
      <c r="M78" s="56" t="s">
        <v>18</v>
      </c>
      <c r="N78" s="8">
        <f t="shared" si="1"/>
        <v>2939</v>
      </c>
    </row>
    <row r="79" spans="1:14">
      <c r="A79" s="56" t="s">
        <v>118</v>
      </c>
      <c r="B79" s="56" t="s">
        <v>24</v>
      </c>
      <c r="C79" s="57">
        <v>45678</v>
      </c>
      <c r="D79" s="56" t="s">
        <v>25</v>
      </c>
      <c r="E79" s="56" t="s">
        <v>16</v>
      </c>
      <c r="F79" s="58">
        <v>2494</v>
      </c>
      <c r="G79" s="58">
        <v>494</v>
      </c>
      <c r="H79" s="58">
        <v>55</v>
      </c>
      <c r="I79" s="58">
        <v>22580</v>
      </c>
      <c r="J79" s="58">
        <v>22214</v>
      </c>
      <c r="K79" s="58">
        <v>109</v>
      </c>
      <c r="L79" s="56" t="s">
        <v>27</v>
      </c>
      <c r="M79" s="56" t="s">
        <v>18</v>
      </c>
      <c r="N79" s="8">
        <f t="shared" si="1"/>
        <v>3043</v>
      </c>
    </row>
    <row r="80" spans="1:14">
      <c r="A80" s="56" t="s">
        <v>119</v>
      </c>
      <c r="B80" s="56" t="s">
        <v>397</v>
      </c>
      <c r="C80" s="57">
        <v>45304</v>
      </c>
      <c r="D80" s="56" t="s">
        <v>57</v>
      </c>
      <c r="E80" s="56" t="s">
        <v>26</v>
      </c>
      <c r="F80" s="58">
        <v>4781</v>
      </c>
      <c r="G80" s="58">
        <v>191</v>
      </c>
      <c r="H80" s="58">
        <v>122</v>
      </c>
      <c r="I80" s="58">
        <v>35535</v>
      </c>
      <c r="J80" s="58">
        <v>50777</v>
      </c>
      <c r="K80" s="58">
        <v>128</v>
      </c>
      <c r="L80" s="56" t="s">
        <v>58</v>
      </c>
      <c r="M80" s="56" t="s">
        <v>59</v>
      </c>
      <c r="N80" s="8">
        <f t="shared" si="1"/>
        <v>5094</v>
      </c>
    </row>
    <row r="81" spans="1:14">
      <c r="A81" s="56" t="s">
        <v>120</v>
      </c>
      <c r="B81" s="56" t="s">
        <v>14</v>
      </c>
      <c r="C81" s="57">
        <v>45825</v>
      </c>
      <c r="D81" s="56" t="s">
        <v>15</v>
      </c>
      <c r="E81" s="56" t="s">
        <v>32</v>
      </c>
      <c r="F81" s="58">
        <v>2284</v>
      </c>
      <c r="G81" s="58">
        <v>187</v>
      </c>
      <c r="H81" s="58">
        <v>260</v>
      </c>
      <c r="I81" s="58">
        <v>37400</v>
      </c>
      <c r="J81" s="58">
        <v>65014</v>
      </c>
      <c r="K81" s="58">
        <v>157</v>
      </c>
      <c r="L81" s="56" t="s">
        <v>17</v>
      </c>
      <c r="M81" s="56" t="s">
        <v>18</v>
      </c>
      <c r="N81" s="8">
        <f t="shared" si="1"/>
        <v>2731</v>
      </c>
    </row>
    <row r="82" spans="1:14">
      <c r="A82" s="56" t="s">
        <v>121</v>
      </c>
      <c r="B82" s="56" t="s">
        <v>24</v>
      </c>
      <c r="C82" s="57">
        <v>45723</v>
      </c>
      <c r="D82" s="56" t="s">
        <v>15</v>
      </c>
      <c r="E82" s="56" t="s">
        <v>37</v>
      </c>
      <c r="F82" s="58">
        <v>4234</v>
      </c>
      <c r="G82" s="58">
        <v>486</v>
      </c>
      <c r="H82" s="58">
        <v>276</v>
      </c>
      <c r="I82" s="58">
        <v>56623</v>
      </c>
      <c r="J82" s="58">
        <v>41343</v>
      </c>
      <c r="K82" s="58">
        <v>184</v>
      </c>
      <c r="L82" s="56" t="s">
        <v>45</v>
      </c>
      <c r="M82" s="56" t="s">
        <v>22</v>
      </c>
      <c r="N82" s="8">
        <f t="shared" si="1"/>
        <v>4996</v>
      </c>
    </row>
    <row r="83" spans="1:14">
      <c r="A83" s="56" t="s">
        <v>122</v>
      </c>
      <c r="B83" s="56" t="s">
        <v>14</v>
      </c>
      <c r="C83" s="57">
        <v>45530</v>
      </c>
      <c r="D83" s="56" t="s">
        <v>15</v>
      </c>
      <c r="E83" s="56" t="s">
        <v>51</v>
      </c>
      <c r="F83" s="58">
        <v>2102</v>
      </c>
      <c r="G83" s="58">
        <v>181</v>
      </c>
      <c r="H83" s="58">
        <v>306</v>
      </c>
      <c r="I83" s="58">
        <v>43650</v>
      </c>
      <c r="J83" s="58">
        <v>50079</v>
      </c>
      <c r="K83" s="58">
        <v>182</v>
      </c>
      <c r="L83" s="56" t="s">
        <v>21</v>
      </c>
      <c r="M83" s="56" t="s">
        <v>22</v>
      </c>
      <c r="N83" s="8">
        <f t="shared" si="1"/>
        <v>2589</v>
      </c>
    </row>
    <row r="84" spans="1:14">
      <c r="A84" s="56" t="s">
        <v>123</v>
      </c>
      <c r="B84" s="56" t="s">
        <v>24</v>
      </c>
      <c r="C84" s="57">
        <v>45660</v>
      </c>
      <c r="D84" s="56" t="s">
        <v>25</v>
      </c>
      <c r="E84" s="56" t="s">
        <v>37</v>
      </c>
      <c r="F84" s="58">
        <v>4845</v>
      </c>
      <c r="G84" s="58">
        <v>158</v>
      </c>
      <c r="H84" s="58">
        <v>84</v>
      </c>
      <c r="I84" s="58">
        <v>34578</v>
      </c>
      <c r="J84" s="58">
        <v>51480</v>
      </c>
      <c r="K84" s="58">
        <v>180</v>
      </c>
      <c r="L84" s="56" t="s">
        <v>17</v>
      </c>
      <c r="M84" s="56" t="s">
        <v>18</v>
      </c>
      <c r="N84" s="8">
        <f t="shared" si="1"/>
        <v>5087</v>
      </c>
    </row>
    <row r="85" spans="1:14">
      <c r="A85" s="56" t="s">
        <v>124</v>
      </c>
      <c r="B85" s="56" t="s">
        <v>24</v>
      </c>
      <c r="C85" s="57">
        <v>45507</v>
      </c>
      <c r="D85" s="56" t="s">
        <v>15</v>
      </c>
      <c r="E85" s="56" t="s">
        <v>51</v>
      </c>
      <c r="F85" s="58">
        <v>4247</v>
      </c>
      <c r="G85" s="58">
        <v>390</v>
      </c>
      <c r="H85" s="58">
        <v>213</v>
      </c>
      <c r="I85" s="58">
        <v>29785</v>
      </c>
      <c r="J85" s="58">
        <v>57768</v>
      </c>
      <c r="K85" s="58">
        <v>122</v>
      </c>
      <c r="L85" s="56" t="s">
        <v>42</v>
      </c>
      <c r="M85" s="56" t="s">
        <v>18</v>
      </c>
      <c r="N85" s="8">
        <f t="shared" si="1"/>
        <v>4850</v>
      </c>
    </row>
    <row r="86" spans="1:14">
      <c r="A86" s="56" t="s">
        <v>125</v>
      </c>
      <c r="B86" s="56" t="s">
        <v>14</v>
      </c>
      <c r="C86" s="57">
        <v>45522</v>
      </c>
      <c r="D86" s="56" t="s">
        <v>15</v>
      </c>
      <c r="E86" s="56" t="s">
        <v>20</v>
      </c>
      <c r="F86" s="58">
        <v>2965</v>
      </c>
      <c r="G86" s="58">
        <v>328</v>
      </c>
      <c r="H86" s="58">
        <v>171</v>
      </c>
      <c r="I86" s="58">
        <v>57685</v>
      </c>
      <c r="J86" s="58">
        <v>67536</v>
      </c>
      <c r="K86" s="58">
        <v>264</v>
      </c>
      <c r="L86" s="56" t="s">
        <v>17</v>
      </c>
      <c r="M86" s="56" t="s">
        <v>18</v>
      </c>
      <c r="N86" s="8">
        <f t="shared" si="1"/>
        <v>3464</v>
      </c>
    </row>
    <row r="87" spans="1:14">
      <c r="A87" s="56" t="s">
        <v>126</v>
      </c>
      <c r="B87" s="56" t="s">
        <v>24</v>
      </c>
      <c r="C87" s="57">
        <v>45791</v>
      </c>
      <c r="D87" s="56" t="s">
        <v>25</v>
      </c>
      <c r="E87" s="56" t="s">
        <v>29</v>
      </c>
      <c r="F87" s="58">
        <v>1371</v>
      </c>
      <c r="G87" s="58">
        <v>139</v>
      </c>
      <c r="H87" s="58">
        <v>96</v>
      </c>
      <c r="I87" s="58">
        <v>36140</v>
      </c>
      <c r="J87" s="58">
        <v>39395</v>
      </c>
      <c r="K87" s="58">
        <v>169</v>
      </c>
      <c r="L87" s="56" t="s">
        <v>17</v>
      </c>
      <c r="M87" s="56" t="s">
        <v>18</v>
      </c>
      <c r="N87" s="8">
        <f t="shared" si="1"/>
        <v>1606</v>
      </c>
    </row>
    <row r="88" spans="1:14">
      <c r="A88" s="56" t="s">
        <v>127</v>
      </c>
      <c r="B88" s="56" t="s">
        <v>24</v>
      </c>
      <c r="C88" s="57">
        <v>45405</v>
      </c>
      <c r="D88" s="56" t="s">
        <v>25</v>
      </c>
      <c r="E88" s="56" t="s">
        <v>16</v>
      </c>
      <c r="F88" s="58">
        <v>2683</v>
      </c>
      <c r="G88" s="58">
        <v>496</v>
      </c>
      <c r="H88" s="58">
        <v>89</v>
      </c>
      <c r="I88" s="58">
        <v>53435</v>
      </c>
      <c r="J88" s="58">
        <v>30334</v>
      </c>
      <c r="K88" s="58">
        <v>160</v>
      </c>
      <c r="L88" s="56" t="s">
        <v>17</v>
      </c>
      <c r="M88" s="56" t="s">
        <v>18</v>
      </c>
      <c r="N88" s="8">
        <f t="shared" si="1"/>
        <v>3268</v>
      </c>
    </row>
    <row r="89" spans="1:14">
      <c r="A89" s="56" t="s">
        <v>128</v>
      </c>
      <c r="B89" s="56" t="s">
        <v>24</v>
      </c>
      <c r="C89" s="57">
        <v>45705</v>
      </c>
      <c r="D89" s="56" t="s">
        <v>25</v>
      </c>
      <c r="E89" s="56" t="s">
        <v>35</v>
      </c>
      <c r="F89" s="58">
        <v>4796</v>
      </c>
      <c r="G89" s="58">
        <v>427</v>
      </c>
      <c r="H89" s="58">
        <v>339</v>
      </c>
      <c r="I89" s="58">
        <v>30752</v>
      </c>
      <c r="J89" s="58">
        <v>33870</v>
      </c>
      <c r="K89" s="58">
        <v>298</v>
      </c>
      <c r="L89" s="56" t="s">
        <v>17</v>
      </c>
      <c r="M89" s="56" t="s">
        <v>18</v>
      </c>
      <c r="N89" s="8">
        <f t="shared" si="1"/>
        <v>5562</v>
      </c>
    </row>
    <row r="90" spans="1:14">
      <c r="A90" s="56" t="s">
        <v>129</v>
      </c>
      <c r="B90" s="56" t="s">
        <v>14</v>
      </c>
      <c r="C90" s="57">
        <v>45630</v>
      </c>
      <c r="D90" s="56" t="s">
        <v>15</v>
      </c>
      <c r="E90" s="56" t="s">
        <v>29</v>
      </c>
      <c r="F90" s="58">
        <v>2601</v>
      </c>
      <c r="G90" s="58">
        <v>336</v>
      </c>
      <c r="H90" s="58">
        <v>260</v>
      </c>
      <c r="I90" s="58">
        <v>32368</v>
      </c>
      <c r="J90" s="58">
        <v>49028</v>
      </c>
      <c r="K90" s="58">
        <v>120</v>
      </c>
      <c r="L90" s="56" t="s">
        <v>17</v>
      </c>
      <c r="M90" s="56" t="s">
        <v>18</v>
      </c>
      <c r="N90" s="8">
        <f t="shared" si="1"/>
        <v>3197</v>
      </c>
    </row>
    <row r="91" spans="1:14">
      <c r="A91" s="56" t="s">
        <v>130</v>
      </c>
      <c r="B91" s="56" t="s">
        <v>24</v>
      </c>
      <c r="C91" s="57">
        <v>45495</v>
      </c>
      <c r="D91" s="56" t="s">
        <v>25</v>
      </c>
      <c r="E91" s="56" t="s">
        <v>29</v>
      </c>
      <c r="F91" s="58">
        <v>3336</v>
      </c>
      <c r="G91" s="58">
        <v>229</v>
      </c>
      <c r="H91" s="58">
        <v>337</v>
      </c>
      <c r="I91" s="58">
        <v>22117</v>
      </c>
      <c r="J91" s="58">
        <v>26205</v>
      </c>
      <c r="K91" s="58">
        <v>160</v>
      </c>
      <c r="L91" s="56" t="s">
        <v>27</v>
      </c>
      <c r="M91" s="56" t="s">
        <v>18</v>
      </c>
      <c r="N91" s="8">
        <f t="shared" si="1"/>
        <v>3902</v>
      </c>
    </row>
    <row r="92" spans="1:14">
      <c r="A92" s="56" t="s">
        <v>131</v>
      </c>
      <c r="B92" s="56" t="s">
        <v>24</v>
      </c>
      <c r="C92" s="57">
        <v>45774</v>
      </c>
      <c r="D92" s="56" t="s">
        <v>15</v>
      </c>
      <c r="E92" s="56" t="s">
        <v>20</v>
      </c>
      <c r="F92" s="58">
        <v>1165</v>
      </c>
      <c r="G92" s="58">
        <v>294</v>
      </c>
      <c r="H92" s="58">
        <v>163</v>
      </c>
      <c r="I92" s="58">
        <v>20659</v>
      </c>
      <c r="J92" s="58">
        <v>45926</v>
      </c>
      <c r="K92" s="58">
        <v>111</v>
      </c>
      <c r="L92" s="56" t="s">
        <v>45</v>
      </c>
      <c r="M92" s="56" t="s">
        <v>22</v>
      </c>
      <c r="N92" s="8">
        <f t="shared" si="1"/>
        <v>1622</v>
      </c>
    </row>
    <row r="93" spans="1:14">
      <c r="A93" s="56" t="s">
        <v>132</v>
      </c>
      <c r="B93" s="56" t="s">
        <v>397</v>
      </c>
      <c r="C93" s="57">
        <v>45376</v>
      </c>
      <c r="D93" s="56" t="s">
        <v>57</v>
      </c>
      <c r="E93" s="56" t="s">
        <v>20</v>
      </c>
      <c r="F93" s="58">
        <v>1948</v>
      </c>
      <c r="G93" s="58">
        <v>155</v>
      </c>
      <c r="H93" s="58">
        <v>315</v>
      </c>
      <c r="I93" s="58">
        <v>30321</v>
      </c>
      <c r="J93" s="58">
        <v>57121</v>
      </c>
      <c r="K93" s="58">
        <v>82</v>
      </c>
      <c r="L93" s="56" t="s">
        <v>58</v>
      </c>
      <c r="M93" s="56" t="s">
        <v>59</v>
      </c>
      <c r="N93" s="8">
        <f t="shared" si="1"/>
        <v>2418</v>
      </c>
    </row>
    <row r="94" spans="1:14">
      <c r="A94" s="56" t="s">
        <v>133</v>
      </c>
      <c r="B94" s="56" t="s">
        <v>14</v>
      </c>
      <c r="C94" s="57">
        <v>45351</v>
      </c>
      <c r="D94" s="56" t="s">
        <v>15</v>
      </c>
      <c r="E94" s="56" t="s">
        <v>49</v>
      </c>
      <c r="F94" s="58">
        <v>1100</v>
      </c>
      <c r="G94" s="58">
        <v>229</v>
      </c>
      <c r="H94" s="58">
        <v>312</v>
      </c>
      <c r="I94" s="58">
        <v>25641</v>
      </c>
      <c r="J94" s="58">
        <v>34601</v>
      </c>
      <c r="K94" s="58">
        <v>169</v>
      </c>
      <c r="L94" s="56" t="s">
        <v>21</v>
      </c>
      <c r="M94" s="56" t="s">
        <v>22</v>
      </c>
      <c r="N94" s="8">
        <f t="shared" si="1"/>
        <v>1641</v>
      </c>
    </row>
    <row r="95" spans="1:14">
      <c r="A95" s="56" t="s">
        <v>134</v>
      </c>
      <c r="B95" s="56" t="s">
        <v>24</v>
      </c>
      <c r="C95" s="57">
        <v>45609</v>
      </c>
      <c r="D95" s="56" t="s">
        <v>25</v>
      </c>
      <c r="E95" s="56" t="s">
        <v>41</v>
      </c>
      <c r="F95" s="58">
        <v>4628</v>
      </c>
      <c r="G95" s="58">
        <v>257</v>
      </c>
      <c r="H95" s="58">
        <v>397</v>
      </c>
      <c r="I95" s="58">
        <v>36686</v>
      </c>
      <c r="J95" s="58">
        <v>54683</v>
      </c>
      <c r="K95" s="58">
        <v>98</v>
      </c>
      <c r="L95" s="56" t="s">
        <v>17</v>
      </c>
      <c r="M95" s="56" t="s">
        <v>18</v>
      </c>
      <c r="N95" s="8">
        <f t="shared" si="1"/>
        <v>5282</v>
      </c>
    </row>
    <row r="96" spans="1:14">
      <c r="A96" s="56" t="s">
        <v>135</v>
      </c>
      <c r="B96" s="56" t="s">
        <v>14</v>
      </c>
      <c r="C96" s="57">
        <v>45373</v>
      </c>
      <c r="D96" s="56" t="s">
        <v>25</v>
      </c>
      <c r="E96" s="56" t="s">
        <v>16</v>
      </c>
      <c r="F96" s="58">
        <v>2319</v>
      </c>
      <c r="G96" s="58">
        <v>484</v>
      </c>
      <c r="H96" s="58">
        <v>193</v>
      </c>
      <c r="I96" s="58">
        <v>21202</v>
      </c>
      <c r="J96" s="58">
        <v>18091</v>
      </c>
      <c r="K96" s="58">
        <v>241</v>
      </c>
      <c r="L96" s="56" t="s">
        <v>42</v>
      </c>
      <c r="M96" s="56" t="s">
        <v>55</v>
      </c>
      <c r="N96" s="8">
        <f t="shared" si="1"/>
        <v>2996</v>
      </c>
    </row>
    <row r="97" spans="1:14">
      <c r="A97" s="56" t="s">
        <v>136</v>
      </c>
      <c r="B97" s="56" t="s">
        <v>24</v>
      </c>
      <c r="C97" s="57">
        <v>45367</v>
      </c>
      <c r="D97" s="56" t="s">
        <v>25</v>
      </c>
      <c r="E97" s="56" t="s">
        <v>29</v>
      </c>
      <c r="F97" s="58">
        <v>2895</v>
      </c>
      <c r="G97" s="58">
        <v>292</v>
      </c>
      <c r="H97" s="58">
        <v>90</v>
      </c>
      <c r="I97" s="58">
        <v>24223</v>
      </c>
      <c r="J97" s="58">
        <v>54626</v>
      </c>
      <c r="K97" s="58">
        <v>114</v>
      </c>
      <c r="L97" s="56" t="s">
        <v>17</v>
      </c>
      <c r="M97" s="56" t="s">
        <v>18</v>
      </c>
      <c r="N97" s="8">
        <f t="shared" si="1"/>
        <v>3277</v>
      </c>
    </row>
    <row r="98" spans="1:14">
      <c r="A98" s="56" t="s">
        <v>137</v>
      </c>
      <c r="B98" s="56" t="s">
        <v>14</v>
      </c>
      <c r="C98" s="57">
        <v>45317</v>
      </c>
      <c r="D98" s="56" t="s">
        <v>15</v>
      </c>
      <c r="E98" s="56" t="s">
        <v>35</v>
      </c>
      <c r="F98" s="58">
        <v>3878</v>
      </c>
      <c r="G98" s="58">
        <v>431</v>
      </c>
      <c r="H98" s="58">
        <v>97</v>
      </c>
      <c r="I98" s="58">
        <v>41763</v>
      </c>
      <c r="J98" s="58">
        <v>29729</v>
      </c>
      <c r="K98" s="58">
        <v>191</v>
      </c>
      <c r="L98" s="56" t="s">
        <v>21</v>
      </c>
      <c r="M98" s="56" t="s">
        <v>22</v>
      </c>
      <c r="N98" s="8">
        <f t="shared" si="1"/>
        <v>4406</v>
      </c>
    </row>
    <row r="99" spans="1:14">
      <c r="A99" s="56" t="s">
        <v>138</v>
      </c>
      <c r="B99" s="56" t="s">
        <v>24</v>
      </c>
      <c r="C99" s="57">
        <v>45366</v>
      </c>
      <c r="D99" s="56" t="s">
        <v>25</v>
      </c>
      <c r="E99" s="56" t="s">
        <v>37</v>
      </c>
      <c r="F99" s="58">
        <v>4969</v>
      </c>
      <c r="G99" s="58">
        <v>433</v>
      </c>
      <c r="H99" s="58">
        <v>237</v>
      </c>
      <c r="I99" s="58">
        <v>59552</v>
      </c>
      <c r="J99" s="58">
        <v>23885</v>
      </c>
      <c r="K99" s="58">
        <v>157</v>
      </c>
      <c r="L99" s="56" t="s">
        <v>39</v>
      </c>
      <c r="M99" s="56" t="s">
        <v>18</v>
      </c>
      <c r="N99" s="8">
        <f t="shared" si="1"/>
        <v>5639</v>
      </c>
    </row>
    <row r="100" spans="1:14">
      <c r="A100" s="56" t="s">
        <v>139</v>
      </c>
      <c r="B100" s="56" t="s">
        <v>24</v>
      </c>
      <c r="C100" s="57">
        <v>45580</v>
      </c>
      <c r="D100" s="56" t="s">
        <v>15</v>
      </c>
      <c r="E100" s="56" t="s">
        <v>29</v>
      </c>
      <c r="F100" s="58">
        <v>1984</v>
      </c>
      <c r="G100" s="58">
        <v>481</v>
      </c>
      <c r="H100" s="58">
        <v>356</v>
      </c>
      <c r="I100" s="58">
        <v>40681</v>
      </c>
      <c r="J100" s="58">
        <v>63111</v>
      </c>
      <c r="K100" s="58">
        <v>258</v>
      </c>
      <c r="L100" s="56" t="s">
        <v>42</v>
      </c>
      <c r="M100" s="56" t="s">
        <v>18</v>
      </c>
      <c r="N100" s="8">
        <f t="shared" si="1"/>
        <v>2821</v>
      </c>
    </row>
    <row r="101" spans="1:14">
      <c r="A101" s="56" t="s">
        <v>140</v>
      </c>
      <c r="B101" s="56" t="s">
        <v>14</v>
      </c>
      <c r="C101" s="57">
        <v>45494</v>
      </c>
      <c r="D101" s="56" t="s">
        <v>15</v>
      </c>
      <c r="E101" s="56" t="s">
        <v>16</v>
      </c>
      <c r="F101" s="58">
        <v>3004</v>
      </c>
      <c r="G101" s="58">
        <v>415</v>
      </c>
      <c r="H101" s="58">
        <v>218</v>
      </c>
      <c r="I101" s="58">
        <v>36090</v>
      </c>
      <c r="J101" s="58">
        <v>37073</v>
      </c>
      <c r="K101" s="58">
        <v>181</v>
      </c>
      <c r="L101" s="56" t="s">
        <v>21</v>
      </c>
      <c r="M101" s="56" t="s">
        <v>22</v>
      </c>
      <c r="N101" s="8">
        <f t="shared" si="1"/>
        <v>3637</v>
      </c>
    </row>
    <row r="102" spans="1:14">
      <c r="A102" s="56" t="s">
        <v>141</v>
      </c>
      <c r="B102" s="56" t="s">
        <v>24</v>
      </c>
      <c r="C102" s="57">
        <v>45577</v>
      </c>
      <c r="D102" s="56" t="s">
        <v>15</v>
      </c>
      <c r="E102" s="56" t="s">
        <v>37</v>
      </c>
      <c r="F102" s="58">
        <v>3169</v>
      </c>
      <c r="G102" s="58">
        <v>386</v>
      </c>
      <c r="H102" s="58">
        <v>175</v>
      </c>
      <c r="I102" s="58">
        <v>45012</v>
      </c>
      <c r="J102" s="58">
        <v>38508</v>
      </c>
      <c r="K102" s="58">
        <v>218</v>
      </c>
      <c r="L102" s="56" t="s">
        <v>42</v>
      </c>
      <c r="M102" s="56" t="s">
        <v>18</v>
      </c>
      <c r="N102" s="8">
        <f t="shared" si="1"/>
        <v>3730</v>
      </c>
    </row>
    <row r="103" spans="1:14">
      <c r="A103" s="56" t="s">
        <v>142</v>
      </c>
      <c r="B103" s="56" t="s">
        <v>24</v>
      </c>
      <c r="C103" s="57">
        <v>45591</v>
      </c>
      <c r="D103" s="56" t="s">
        <v>15</v>
      </c>
      <c r="E103" s="56" t="s">
        <v>16</v>
      </c>
      <c r="F103" s="58">
        <v>3036</v>
      </c>
      <c r="G103" s="58">
        <v>293</v>
      </c>
      <c r="H103" s="58">
        <v>115</v>
      </c>
      <c r="I103" s="58">
        <v>23776</v>
      </c>
      <c r="J103" s="58">
        <v>46386</v>
      </c>
      <c r="K103" s="58">
        <v>282</v>
      </c>
      <c r="L103" s="56" t="s">
        <v>42</v>
      </c>
      <c r="M103" s="56" t="s">
        <v>18</v>
      </c>
      <c r="N103" s="8">
        <f t="shared" si="1"/>
        <v>3444</v>
      </c>
    </row>
    <row r="104" spans="1:14">
      <c r="A104" s="56" t="s">
        <v>143</v>
      </c>
      <c r="B104" s="56" t="s">
        <v>14</v>
      </c>
      <c r="C104" s="57">
        <v>45336</v>
      </c>
      <c r="D104" s="56" t="s">
        <v>15</v>
      </c>
      <c r="E104" s="56" t="s">
        <v>32</v>
      </c>
      <c r="F104" s="58">
        <v>1830</v>
      </c>
      <c r="G104" s="58">
        <v>112</v>
      </c>
      <c r="H104" s="58">
        <v>181</v>
      </c>
      <c r="I104" s="58">
        <v>31870</v>
      </c>
      <c r="J104" s="58">
        <v>55742</v>
      </c>
      <c r="K104" s="58">
        <v>263</v>
      </c>
      <c r="L104" s="56" t="s">
        <v>17</v>
      </c>
      <c r="M104" s="56" t="s">
        <v>18</v>
      </c>
      <c r="N104" s="8">
        <f t="shared" si="1"/>
        <v>2123</v>
      </c>
    </row>
    <row r="105" spans="1:14">
      <c r="A105" s="56" t="s">
        <v>144</v>
      </c>
      <c r="B105" s="56" t="s">
        <v>24</v>
      </c>
      <c r="C105" s="57">
        <v>45413</v>
      </c>
      <c r="D105" s="56" t="s">
        <v>25</v>
      </c>
      <c r="E105" s="56" t="s">
        <v>35</v>
      </c>
      <c r="F105" s="58">
        <v>2587</v>
      </c>
      <c r="G105" s="58">
        <v>447</v>
      </c>
      <c r="H105" s="58">
        <v>183</v>
      </c>
      <c r="I105" s="58">
        <v>36266</v>
      </c>
      <c r="J105" s="58">
        <v>32877</v>
      </c>
      <c r="K105" s="58">
        <v>132</v>
      </c>
      <c r="L105" s="56" t="s">
        <v>39</v>
      </c>
      <c r="M105" s="56" t="s">
        <v>18</v>
      </c>
      <c r="N105" s="8">
        <f t="shared" si="1"/>
        <v>3217</v>
      </c>
    </row>
    <row r="106" spans="1:14">
      <c r="A106" s="56" t="s">
        <v>145</v>
      </c>
      <c r="B106" s="56" t="s">
        <v>24</v>
      </c>
      <c r="C106" s="57">
        <v>45553</v>
      </c>
      <c r="D106" s="56" t="s">
        <v>15</v>
      </c>
      <c r="E106" s="56" t="s">
        <v>16</v>
      </c>
      <c r="F106" s="58">
        <v>2878</v>
      </c>
      <c r="G106" s="58">
        <v>265</v>
      </c>
      <c r="H106" s="58">
        <v>91</v>
      </c>
      <c r="I106" s="58">
        <v>52090</v>
      </c>
      <c r="J106" s="58">
        <v>28924</v>
      </c>
      <c r="K106" s="58">
        <v>133</v>
      </c>
      <c r="L106" s="56" t="s">
        <v>42</v>
      </c>
      <c r="M106" s="56" t="s">
        <v>18</v>
      </c>
      <c r="N106" s="8">
        <f t="shared" si="1"/>
        <v>3234</v>
      </c>
    </row>
    <row r="107" spans="1:14">
      <c r="A107" s="56" t="s">
        <v>146</v>
      </c>
      <c r="B107" s="56" t="s">
        <v>24</v>
      </c>
      <c r="C107" s="57">
        <v>45677</v>
      </c>
      <c r="D107" s="56" t="s">
        <v>25</v>
      </c>
      <c r="E107" s="56" t="s">
        <v>26</v>
      </c>
      <c r="F107" s="58">
        <v>4619</v>
      </c>
      <c r="G107" s="58">
        <v>272</v>
      </c>
      <c r="H107" s="58">
        <v>57</v>
      </c>
      <c r="I107" s="58">
        <v>21334</v>
      </c>
      <c r="J107" s="58">
        <v>46292</v>
      </c>
      <c r="K107" s="58">
        <v>91</v>
      </c>
      <c r="L107" s="56" t="s">
        <v>17</v>
      </c>
      <c r="M107" s="56" t="s">
        <v>18</v>
      </c>
      <c r="N107" s="8">
        <f t="shared" si="1"/>
        <v>4948</v>
      </c>
    </row>
    <row r="108" spans="1:14">
      <c r="A108" s="56" t="s">
        <v>147</v>
      </c>
      <c r="B108" s="56" t="s">
        <v>24</v>
      </c>
      <c r="C108" s="57">
        <v>45670</v>
      </c>
      <c r="D108" s="56" t="s">
        <v>15</v>
      </c>
      <c r="E108" s="56" t="s">
        <v>32</v>
      </c>
      <c r="F108" s="58">
        <v>4090</v>
      </c>
      <c r="G108" s="58">
        <v>209</v>
      </c>
      <c r="H108" s="58">
        <v>278</v>
      </c>
      <c r="I108" s="58">
        <v>52853</v>
      </c>
      <c r="J108" s="58">
        <v>57084</v>
      </c>
      <c r="K108" s="58">
        <v>102</v>
      </c>
      <c r="L108" s="56" t="s">
        <v>45</v>
      </c>
      <c r="M108" s="56" t="s">
        <v>22</v>
      </c>
      <c r="N108" s="8">
        <f t="shared" si="1"/>
        <v>4577</v>
      </c>
    </row>
    <row r="109" spans="1:14">
      <c r="A109" s="56" t="s">
        <v>148</v>
      </c>
      <c r="B109" s="56" t="s">
        <v>397</v>
      </c>
      <c r="C109" s="57">
        <v>45542</v>
      </c>
      <c r="D109" s="56" t="s">
        <v>57</v>
      </c>
      <c r="E109" s="56" t="s">
        <v>32</v>
      </c>
      <c r="F109" s="58">
        <v>3882</v>
      </c>
      <c r="G109" s="58">
        <v>342</v>
      </c>
      <c r="H109" s="58">
        <v>374</v>
      </c>
      <c r="I109" s="58">
        <v>41991</v>
      </c>
      <c r="J109" s="58">
        <v>48554</v>
      </c>
      <c r="K109" s="58">
        <v>118</v>
      </c>
      <c r="L109" s="56" t="s">
        <v>58</v>
      </c>
      <c r="M109" s="56" t="s">
        <v>59</v>
      </c>
      <c r="N109" s="8">
        <f t="shared" si="1"/>
        <v>4598</v>
      </c>
    </row>
    <row r="110" spans="1:14">
      <c r="A110" s="56" t="s">
        <v>149</v>
      </c>
      <c r="B110" s="56" t="s">
        <v>14</v>
      </c>
      <c r="C110" s="57">
        <v>45617</v>
      </c>
      <c r="D110" s="56" t="s">
        <v>15</v>
      </c>
      <c r="E110" s="56" t="s">
        <v>32</v>
      </c>
      <c r="F110" s="58">
        <v>4581</v>
      </c>
      <c r="G110" s="58">
        <v>181</v>
      </c>
      <c r="H110" s="58">
        <v>112</v>
      </c>
      <c r="I110" s="58">
        <v>35221</v>
      </c>
      <c r="J110" s="58">
        <v>28797</v>
      </c>
      <c r="K110" s="58">
        <v>164</v>
      </c>
      <c r="L110" s="56" t="s">
        <v>17</v>
      </c>
      <c r="M110" s="56" t="s">
        <v>18</v>
      </c>
      <c r="N110" s="8">
        <f t="shared" si="1"/>
        <v>4874</v>
      </c>
    </row>
    <row r="111" spans="1:14">
      <c r="A111" s="56" t="s">
        <v>150</v>
      </c>
      <c r="B111" s="56" t="s">
        <v>14</v>
      </c>
      <c r="C111" s="57">
        <v>45469</v>
      </c>
      <c r="D111" s="56" t="s">
        <v>15</v>
      </c>
      <c r="E111" s="56" t="s">
        <v>26</v>
      </c>
      <c r="F111" s="58">
        <v>3253</v>
      </c>
      <c r="G111" s="58">
        <v>483</v>
      </c>
      <c r="H111" s="58">
        <v>336</v>
      </c>
      <c r="I111" s="58">
        <v>25397</v>
      </c>
      <c r="J111" s="58">
        <v>51485</v>
      </c>
      <c r="K111" s="58">
        <v>131</v>
      </c>
      <c r="L111" s="56" t="s">
        <v>21</v>
      </c>
      <c r="M111" s="56" t="s">
        <v>22</v>
      </c>
      <c r="N111" s="8">
        <f t="shared" si="1"/>
        <v>4072</v>
      </c>
    </row>
    <row r="112" spans="1:14">
      <c r="A112" s="56" t="s">
        <v>151</v>
      </c>
      <c r="B112" s="56" t="s">
        <v>397</v>
      </c>
      <c r="C112" s="57">
        <v>45493</v>
      </c>
      <c r="D112" s="56" t="s">
        <v>57</v>
      </c>
      <c r="E112" s="56" t="s">
        <v>32</v>
      </c>
      <c r="F112" s="58">
        <v>4955</v>
      </c>
      <c r="G112" s="58">
        <v>299</v>
      </c>
      <c r="H112" s="58">
        <v>345</v>
      </c>
      <c r="I112" s="58">
        <v>33644</v>
      </c>
      <c r="J112" s="58">
        <v>43547</v>
      </c>
      <c r="K112" s="58">
        <v>194</v>
      </c>
      <c r="L112" s="56" t="s">
        <v>58</v>
      </c>
      <c r="M112" s="56" t="s">
        <v>59</v>
      </c>
      <c r="N112" s="8">
        <f t="shared" si="1"/>
        <v>5599</v>
      </c>
    </row>
    <row r="113" spans="1:14">
      <c r="A113" s="56" t="s">
        <v>152</v>
      </c>
      <c r="B113" s="56" t="s">
        <v>14</v>
      </c>
      <c r="C113" s="57">
        <v>45704</v>
      </c>
      <c r="D113" s="56" t="s">
        <v>15</v>
      </c>
      <c r="E113" s="56" t="s">
        <v>51</v>
      </c>
      <c r="F113" s="58">
        <v>1333</v>
      </c>
      <c r="G113" s="58">
        <v>286</v>
      </c>
      <c r="H113" s="58">
        <v>298</v>
      </c>
      <c r="I113" s="58">
        <v>36174</v>
      </c>
      <c r="J113" s="58">
        <v>34517</v>
      </c>
      <c r="K113" s="58">
        <v>170</v>
      </c>
      <c r="L113" s="56" t="s">
        <v>17</v>
      </c>
      <c r="M113" s="56" t="s">
        <v>18</v>
      </c>
      <c r="N113" s="8">
        <f t="shared" si="1"/>
        <v>1917</v>
      </c>
    </row>
    <row r="114" spans="1:14">
      <c r="A114" s="56" t="s">
        <v>153</v>
      </c>
      <c r="B114" s="56" t="s">
        <v>14</v>
      </c>
      <c r="C114" s="57">
        <v>45544</v>
      </c>
      <c r="D114" s="56" t="s">
        <v>15</v>
      </c>
      <c r="E114" s="56" t="s">
        <v>26</v>
      </c>
      <c r="F114" s="58">
        <v>1616</v>
      </c>
      <c r="G114" s="58">
        <v>360</v>
      </c>
      <c r="H114" s="58">
        <v>180</v>
      </c>
      <c r="I114" s="58">
        <v>54342</v>
      </c>
      <c r="J114" s="58">
        <v>18796</v>
      </c>
      <c r="K114" s="58">
        <v>282</v>
      </c>
      <c r="L114" s="56" t="s">
        <v>17</v>
      </c>
      <c r="M114" s="56" t="s">
        <v>18</v>
      </c>
      <c r="N114" s="8">
        <f t="shared" si="1"/>
        <v>2156</v>
      </c>
    </row>
    <row r="115" spans="1:14">
      <c r="A115" s="56" t="s">
        <v>154</v>
      </c>
      <c r="B115" s="56" t="s">
        <v>24</v>
      </c>
      <c r="C115" s="57">
        <v>45489</v>
      </c>
      <c r="D115" s="56" t="s">
        <v>15</v>
      </c>
      <c r="E115" s="56" t="s">
        <v>41</v>
      </c>
      <c r="F115" s="58">
        <v>1803</v>
      </c>
      <c r="G115" s="58">
        <v>273</v>
      </c>
      <c r="H115" s="58">
        <v>287</v>
      </c>
      <c r="I115" s="58">
        <v>46176</v>
      </c>
      <c r="J115" s="58">
        <v>25488</v>
      </c>
      <c r="K115" s="58">
        <v>141</v>
      </c>
      <c r="L115" s="56" t="s">
        <v>42</v>
      </c>
      <c r="M115" s="56" t="s">
        <v>18</v>
      </c>
      <c r="N115" s="8">
        <f t="shared" si="1"/>
        <v>2363</v>
      </c>
    </row>
    <row r="116" spans="1:14">
      <c r="A116" s="56" t="s">
        <v>155</v>
      </c>
      <c r="B116" s="56" t="s">
        <v>14</v>
      </c>
      <c r="C116" s="57">
        <v>45762</v>
      </c>
      <c r="D116" s="56" t="s">
        <v>15</v>
      </c>
      <c r="E116" s="56" t="s">
        <v>20</v>
      </c>
      <c r="F116" s="58">
        <v>4177</v>
      </c>
      <c r="G116" s="58">
        <v>489</v>
      </c>
      <c r="H116" s="58">
        <v>331</v>
      </c>
      <c r="I116" s="58">
        <v>57451</v>
      </c>
      <c r="J116" s="58">
        <v>73793</v>
      </c>
      <c r="K116" s="58">
        <v>251</v>
      </c>
      <c r="L116" s="56" t="s">
        <v>21</v>
      </c>
      <c r="M116" s="56" t="s">
        <v>22</v>
      </c>
      <c r="N116" s="8">
        <f t="shared" si="1"/>
        <v>4997</v>
      </c>
    </row>
    <row r="117" spans="1:14">
      <c r="A117" s="56" t="s">
        <v>156</v>
      </c>
      <c r="B117" s="56" t="s">
        <v>14</v>
      </c>
      <c r="C117" s="57">
        <v>45781</v>
      </c>
      <c r="D117" s="56" t="s">
        <v>25</v>
      </c>
      <c r="E117" s="56" t="s">
        <v>26</v>
      </c>
      <c r="F117" s="58">
        <v>1311</v>
      </c>
      <c r="G117" s="58">
        <v>181</v>
      </c>
      <c r="H117" s="58">
        <v>361</v>
      </c>
      <c r="I117" s="58">
        <v>37148</v>
      </c>
      <c r="J117" s="58">
        <v>44875</v>
      </c>
      <c r="K117" s="58">
        <v>245</v>
      </c>
      <c r="L117" s="56" t="s">
        <v>42</v>
      </c>
      <c r="M117" s="56" t="s">
        <v>55</v>
      </c>
      <c r="N117" s="8">
        <f t="shared" si="1"/>
        <v>1853</v>
      </c>
    </row>
    <row r="118" spans="1:14">
      <c r="A118" s="56" t="s">
        <v>157</v>
      </c>
      <c r="B118" s="56" t="s">
        <v>14</v>
      </c>
      <c r="C118" s="57">
        <v>45340</v>
      </c>
      <c r="D118" s="56" t="s">
        <v>25</v>
      </c>
      <c r="E118" s="56" t="s">
        <v>49</v>
      </c>
      <c r="F118" s="58">
        <v>1516</v>
      </c>
      <c r="G118" s="58">
        <v>215</v>
      </c>
      <c r="H118" s="58">
        <v>332</v>
      </c>
      <c r="I118" s="58">
        <v>58981</v>
      </c>
      <c r="J118" s="58">
        <v>36118</v>
      </c>
      <c r="K118" s="58">
        <v>211</v>
      </c>
      <c r="L118" s="56" t="s">
        <v>42</v>
      </c>
      <c r="M118" s="56" t="s">
        <v>55</v>
      </c>
      <c r="N118" s="8">
        <f t="shared" si="1"/>
        <v>2063</v>
      </c>
    </row>
    <row r="119" spans="1:14">
      <c r="A119" s="56" t="s">
        <v>158</v>
      </c>
      <c r="B119" s="56" t="s">
        <v>24</v>
      </c>
      <c r="C119" s="57">
        <v>45428</v>
      </c>
      <c r="D119" s="56" t="s">
        <v>25</v>
      </c>
      <c r="E119" s="56" t="s">
        <v>32</v>
      </c>
      <c r="F119" s="58">
        <v>2023</v>
      </c>
      <c r="G119" s="58">
        <v>124</v>
      </c>
      <c r="H119" s="58">
        <v>99</v>
      </c>
      <c r="I119" s="58">
        <v>54524</v>
      </c>
      <c r="J119" s="58">
        <v>34790</v>
      </c>
      <c r="K119" s="58">
        <v>195</v>
      </c>
      <c r="L119" s="56" t="s">
        <v>39</v>
      </c>
      <c r="M119" s="56" t="s">
        <v>18</v>
      </c>
      <c r="N119" s="8">
        <f t="shared" si="1"/>
        <v>2246</v>
      </c>
    </row>
    <row r="120" spans="1:14">
      <c r="A120" s="56" t="s">
        <v>159</v>
      </c>
      <c r="B120" s="56" t="s">
        <v>24</v>
      </c>
      <c r="C120" s="57">
        <v>45806</v>
      </c>
      <c r="D120" s="56" t="s">
        <v>25</v>
      </c>
      <c r="E120" s="56" t="s">
        <v>32</v>
      </c>
      <c r="F120" s="58">
        <v>2134</v>
      </c>
      <c r="G120" s="58">
        <v>322</v>
      </c>
      <c r="H120" s="58">
        <v>114</v>
      </c>
      <c r="I120" s="58">
        <v>44338</v>
      </c>
      <c r="J120" s="58">
        <v>52165</v>
      </c>
      <c r="K120" s="58">
        <v>176</v>
      </c>
      <c r="L120" s="56" t="s">
        <v>27</v>
      </c>
      <c r="M120" s="56" t="s">
        <v>18</v>
      </c>
      <c r="N120" s="8">
        <f t="shared" si="1"/>
        <v>2570</v>
      </c>
    </row>
    <row r="121" spans="1:14">
      <c r="A121" s="56" t="s">
        <v>160</v>
      </c>
      <c r="B121" s="56" t="s">
        <v>14</v>
      </c>
      <c r="C121" s="57">
        <v>45674</v>
      </c>
      <c r="D121" s="56" t="s">
        <v>15</v>
      </c>
      <c r="E121" s="56" t="s">
        <v>41</v>
      </c>
      <c r="F121" s="58">
        <v>2266</v>
      </c>
      <c r="G121" s="58">
        <v>126</v>
      </c>
      <c r="H121" s="58">
        <v>140</v>
      </c>
      <c r="I121" s="58">
        <v>53759</v>
      </c>
      <c r="J121" s="58">
        <v>46834</v>
      </c>
      <c r="K121" s="58">
        <v>277</v>
      </c>
      <c r="L121" s="56" t="s">
        <v>21</v>
      </c>
      <c r="M121" s="56" t="s">
        <v>22</v>
      </c>
      <c r="N121" s="8">
        <f t="shared" si="1"/>
        <v>2532</v>
      </c>
    </row>
    <row r="122" spans="1:14">
      <c r="A122" s="56" t="s">
        <v>161</v>
      </c>
      <c r="B122" s="56" t="s">
        <v>14</v>
      </c>
      <c r="C122" s="57">
        <v>45777</v>
      </c>
      <c r="D122" s="56" t="s">
        <v>25</v>
      </c>
      <c r="E122" s="56" t="s">
        <v>26</v>
      </c>
      <c r="F122" s="58">
        <v>3916</v>
      </c>
      <c r="G122" s="58">
        <v>459</v>
      </c>
      <c r="H122" s="58">
        <v>229</v>
      </c>
      <c r="I122" s="58">
        <v>48989</v>
      </c>
      <c r="J122" s="58">
        <v>39768</v>
      </c>
      <c r="K122" s="58">
        <v>200</v>
      </c>
      <c r="L122" s="56" t="s">
        <v>42</v>
      </c>
      <c r="M122" s="56" t="s">
        <v>55</v>
      </c>
      <c r="N122" s="8">
        <f t="shared" si="1"/>
        <v>4604</v>
      </c>
    </row>
    <row r="123" spans="1:14">
      <c r="A123" s="56" t="s">
        <v>162</v>
      </c>
      <c r="B123" s="56" t="s">
        <v>24</v>
      </c>
      <c r="C123" s="57">
        <v>45346</v>
      </c>
      <c r="D123" s="56" t="s">
        <v>25</v>
      </c>
      <c r="E123" s="56" t="s">
        <v>32</v>
      </c>
      <c r="F123" s="58">
        <v>1022</v>
      </c>
      <c r="G123" s="58">
        <v>463</v>
      </c>
      <c r="H123" s="58">
        <v>360</v>
      </c>
      <c r="I123" s="58">
        <v>51468</v>
      </c>
      <c r="J123" s="58">
        <v>24279</v>
      </c>
      <c r="K123" s="58">
        <v>230</v>
      </c>
      <c r="L123" s="56" t="s">
        <v>39</v>
      </c>
      <c r="M123" s="56" t="s">
        <v>18</v>
      </c>
      <c r="N123" s="8">
        <f t="shared" si="1"/>
        <v>1845</v>
      </c>
    </row>
    <row r="124" spans="1:14">
      <c r="A124" s="56" t="s">
        <v>163</v>
      </c>
      <c r="B124" s="56" t="s">
        <v>397</v>
      </c>
      <c r="C124" s="57">
        <v>45424</v>
      </c>
      <c r="D124" s="56" t="s">
        <v>15</v>
      </c>
      <c r="E124" s="56" t="s">
        <v>49</v>
      </c>
      <c r="F124" s="58">
        <v>2911</v>
      </c>
      <c r="G124" s="58">
        <v>467</v>
      </c>
      <c r="H124" s="58">
        <v>94</v>
      </c>
      <c r="I124" s="58">
        <v>59083</v>
      </c>
      <c r="J124" s="58">
        <v>49762</v>
      </c>
      <c r="K124" s="58">
        <v>236</v>
      </c>
      <c r="L124" s="56" t="s">
        <v>33</v>
      </c>
      <c r="M124" s="56" t="s">
        <v>22</v>
      </c>
      <c r="N124" s="8">
        <f t="shared" si="1"/>
        <v>3472</v>
      </c>
    </row>
    <row r="125" spans="1:14">
      <c r="A125" s="56" t="s">
        <v>164</v>
      </c>
      <c r="B125" s="56" t="s">
        <v>24</v>
      </c>
      <c r="C125" s="57">
        <v>45421</v>
      </c>
      <c r="D125" s="56" t="s">
        <v>25</v>
      </c>
      <c r="E125" s="56" t="s">
        <v>26</v>
      </c>
      <c r="F125" s="58">
        <v>3277</v>
      </c>
      <c r="G125" s="58">
        <v>423</v>
      </c>
      <c r="H125" s="58">
        <v>259</v>
      </c>
      <c r="I125" s="58">
        <v>46328</v>
      </c>
      <c r="J125" s="58">
        <v>44293</v>
      </c>
      <c r="K125" s="58">
        <v>299</v>
      </c>
      <c r="L125" s="56" t="s">
        <v>17</v>
      </c>
      <c r="M125" s="56" t="s">
        <v>18</v>
      </c>
      <c r="N125" s="8">
        <f t="shared" si="1"/>
        <v>3959</v>
      </c>
    </row>
    <row r="126" spans="1:14">
      <c r="A126" s="56" t="s">
        <v>165</v>
      </c>
      <c r="B126" s="56" t="s">
        <v>24</v>
      </c>
      <c r="C126" s="57">
        <v>45602</v>
      </c>
      <c r="D126" s="56" t="s">
        <v>15</v>
      </c>
      <c r="E126" s="56" t="s">
        <v>49</v>
      </c>
      <c r="F126" s="58">
        <v>2956</v>
      </c>
      <c r="G126" s="58">
        <v>381</v>
      </c>
      <c r="H126" s="58">
        <v>345</v>
      </c>
      <c r="I126" s="58">
        <v>33347</v>
      </c>
      <c r="J126" s="58">
        <v>22558</v>
      </c>
      <c r="K126" s="58">
        <v>173</v>
      </c>
      <c r="L126" s="56" t="s">
        <v>42</v>
      </c>
      <c r="M126" s="56" t="s">
        <v>18</v>
      </c>
      <c r="N126" s="8">
        <f t="shared" si="1"/>
        <v>3682</v>
      </c>
    </row>
    <row r="127" spans="1:14">
      <c r="A127" s="56" t="s">
        <v>166</v>
      </c>
      <c r="B127" s="56" t="s">
        <v>24</v>
      </c>
      <c r="C127" s="57">
        <v>45295</v>
      </c>
      <c r="D127" s="56" t="s">
        <v>25</v>
      </c>
      <c r="E127" s="56" t="s">
        <v>35</v>
      </c>
      <c r="F127" s="58">
        <v>3208</v>
      </c>
      <c r="G127" s="58">
        <v>476</v>
      </c>
      <c r="H127" s="58">
        <v>277</v>
      </c>
      <c r="I127" s="58">
        <v>56072</v>
      </c>
      <c r="J127" s="58">
        <v>21061</v>
      </c>
      <c r="K127" s="58">
        <v>113</v>
      </c>
      <c r="L127" s="56" t="s">
        <v>27</v>
      </c>
      <c r="M127" s="56" t="s">
        <v>18</v>
      </c>
      <c r="N127" s="8">
        <f t="shared" si="1"/>
        <v>3961</v>
      </c>
    </row>
    <row r="128" spans="1:14">
      <c r="A128" s="56" t="s">
        <v>167</v>
      </c>
      <c r="B128" s="56" t="s">
        <v>24</v>
      </c>
      <c r="C128" s="57">
        <v>45319</v>
      </c>
      <c r="D128" s="56" t="s">
        <v>15</v>
      </c>
      <c r="E128" s="56" t="s">
        <v>32</v>
      </c>
      <c r="F128" s="58">
        <v>1456</v>
      </c>
      <c r="G128" s="58">
        <v>265</v>
      </c>
      <c r="H128" s="58">
        <v>137</v>
      </c>
      <c r="I128" s="58">
        <v>53485</v>
      </c>
      <c r="J128" s="58">
        <v>59729</v>
      </c>
      <c r="K128" s="58">
        <v>145</v>
      </c>
      <c r="L128" s="56" t="s">
        <v>45</v>
      </c>
      <c r="M128" s="56" t="s">
        <v>22</v>
      </c>
      <c r="N128" s="8">
        <f t="shared" si="1"/>
        <v>1858</v>
      </c>
    </row>
    <row r="129" spans="1:14">
      <c r="A129" s="56" t="s">
        <v>168</v>
      </c>
      <c r="B129" s="56" t="s">
        <v>14</v>
      </c>
      <c r="C129" s="57">
        <v>45344</v>
      </c>
      <c r="D129" s="56" t="s">
        <v>15</v>
      </c>
      <c r="E129" s="56" t="s">
        <v>26</v>
      </c>
      <c r="F129" s="58">
        <v>1902</v>
      </c>
      <c r="G129" s="58">
        <v>394</v>
      </c>
      <c r="H129" s="58">
        <v>279</v>
      </c>
      <c r="I129" s="58">
        <v>24615</v>
      </c>
      <c r="J129" s="58">
        <v>51330</v>
      </c>
      <c r="K129" s="58">
        <v>176</v>
      </c>
      <c r="L129" s="56" t="s">
        <v>17</v>
      </c>
      <c r="M129" s="56" t="s">
        <v>18</v>
      </c>
      <c r="N129" s="8">
        <f t="shared" si="1"/>
        <v>2575</v>
      </c>
    </row>
    <row r="130" spans="1:14">
      <c r="A130" s="56" t="s">
        <v>169</v>
      </c>
      <c r="B130" s="56" t="s">
        <v>24</v>
      </c>
      <c r="C130" s="57">
        <v>45839</v>
      </c>
      <c r="D130" s="56" t="s">
        <v>25</v>
      </c>
      <c r="E130" s="56" t="s">
        <v>20</v>
      </c>
      <c r="F130" s="58">
        <v>3219</v>
      </c>
      <c r="G130" s="58">
        <v>424</v>
      </c>
      <c r="H130" s="58">
        <v>267</v>
      </c>
      <c r="I130" s="58">
        <v>48879</v>
      </c>
      <c r="J130" s="58">
        <v>37691</v>
      </c>
      <c r="K130" s="58">
        <v>224</v>
      </c>
      <c r="L130" s="56" t="s">
        <v>39</v>
      </c>
      <c r="M130" s="56" t="s">
        <v>18</v>
      </c>
      <c r="N130" s="8">
        <f t="shared" ref="N130:N193" si="2">F130+G130+H130</f>
        <v>3910</v>
      </c>
    </row>
    <row r="131" spans="1:14">
      <c r="A131" s="56" t="s">
        <v>170</v>
      </c>
      <c r="B131" s="56" t="s">
        <v>397</v>
      </c>
      <c r="C131" s="57">
        <v>45301</v>
      </c>
      <c r="D131" s="56" t="s">
        <v>15</v>
      </c>
      <c r="E131" s="56" t="s">
        <v>20</v>
      </c>
      <c r="F131" s="58">
        <v>1261</v>
      </c>
      <c r="G131" s="58">
        <v>190</v>
      </c>
      <c r="H131" s="58">
        <v>233</v>
      </c>
      <c r="I131" s="58">
        <v>59888</v>
      </c>
      <c r="J131" s="58">
        <v>51449</v>
      </c>
      <c r="K131" s="58">
        <v>205</v>
      </c>
      <c r="L131" s="56" t="s">
        <v>33</v>
      </c>
      <c r="M131" s="56" t="s">
        <v>22</v>
      </c>
      <c r="N131" s="8">
        <f t="shared" si="2"/>
        <v>1684</v>
      </c>
    </row>
    <row r="132" spans="1:14">
      <c r="A132" s="56" t="s">
        <v>171</v>
      </c>
      <c r="B132" s="56" t="s">
        <v>24</v>
      </c>
      <c r="C132" s="57">
        <v>45736</v>
      </c>
      <c r="D132" s="56" t="s">
        <v>15</v>
      </c>
      <c r="E132" s="56" t="s">
        <v>51</v>
      </c>
      <c r="F132" s="58">
        <v>1564</v>
      </c>
      <c r="G132" s="58">
        <v>362</v>
      </c>
      <c r="H132" s="58">
        <v>371</v>
      </c>
      <c r="I132" s="58">
        <v>42075</v>
      </c>
      <c r="J132" s="58">
        <v>66659</v>
      </c>
      <c r="K132" s="58">
        <v>205</v>
      </c>
      <c r="L132" s="56" t="s">
        <v>45</v>
      </c>
      <c r="M132" s="56" t="s">
        <v>22</v>
      </c>
      <c r="N132" s="8">
        <f t="shared" si="2"/>
        <v>2297</v>
      </c>
    </row>
    <row r="133" spans="1:14">
      <c r="A133" s="56" t="s">
        <v>172</v>
      </c>
      <c r="B133" s="56" t="s">
        <v>24</v>
      </c>
      <c r="C133" s="57">
        <v>45563</v>
      </c>
      <c r="D133" s="56" t="s">
        <v>15</v>
      </c>
      <c r="E133" s="56" t="s">
        <v>35</v>
      </c>
      <c r="F133" s="58">
        <v>4006</v>
      </c>
      <c r="G133" s="58">
        <v>420</v>
      </c>
      <c r="H133" s="58">
        <v>194</v>
      </c>
      <c r="I133" s="58">
        <v>49964</v>
      </c>
      <c r="J133" s="58">
        <v>20685</v>
      </c>
      <c r="K133" s="58">
        <v>148</v>
      </c>
      <c r="L133" s="56" t="s">
        <v>42</v>
      </c>
      <c r="M133" s="56" t="s">
        <v>18</v>
      </c>
      <c r="N133" s="8">
        <f t="shared" si="2"/>
        <v>4620</v>
      </c>
    </row>
    <row r="134" spans="1:14">
      <c r="A134" s="56" t="s">
        <v>173</v>
      </c>
      <c r="B134" s="56" t="s">
        <v>397</v>
      </c>
      <c r="C134" s="57">
        <v>45318</v>
      </c>
      <c r="D134" s="56" t="s">
        <v>15</v>
      </c>
      <c r="E134" s="56" t="s">
        <v>51</v>
      </c>
      <c r="F134" s="58">
        <v>1976</v>
      </c>
      <c r="G134" s="58">
        <v>262</v>
      </c>
      <c r="H134" s="58">
        <v>218</v>
      </c>
      <c r="I134" s="58">
        <v>51696</v>
      </c>
      <c r="J134" s="58">
        <v>44846</v>
      </c>
      <c r="K134" s="58">
        <v>139</v>
      </c>
      <c r="L134" s="56" t="s">
        <v>33</v>
      </c>
      <c r="M134" s="56" t="s">
        <v>22</v>
      </c>
      <c r="N134" s="8">
        <f t="shared" si="2"/>
        <v>2456</v>
      </c>
    </row>
    <row r="135" spans="1:14">
      <c r="A135" s="56" t="s">
        <v>174</v>
      </c>
      <c r="B135" s="56" t="s">
        <v>24</v>
      </c>
      <c r="C135" s="57">
        <v>45792</v>
      </c>
      <c r="D135" s="56" t="s">
        <v>15</v>
      </c>
      <c r="E135" s="56" t="s">
        <v>26</v>
      </c>
      <c r="F135" s="58">
        <v>1583</v>
      </c>
      <c r="G135" s="58">
        <v>433</v>
      </c>
      <c r="H135" s="58">
        <v>249</v>
      </c>
      <c r="I135" s="58">
        <v>30256</v>
      </c>
      <c r="J135" s="58">
        <v>47066</v>
      </c>
      <c r="K135" s="58">
        <v>196</v>
      </c>
      <c r="L135" s="56" t="s">
        <v>42</v>
      </c>
      <c r="M135" s="56" t="s">
        <v>18</v>
      </c>
      <c r="N135" s="8">
        <f t="shared" si="2"/>
        <v>2265</v>
      </c>
    </row>
    <row r="136" spans="1:14">
      <c r="A136" s="56" t="s">
        <v>175</v>
      </c>
      <c r="B136" s="56" t="s">
        <v>24</v>
      </c>
      <c r="C136" s="57">
        <v>45569</v>
      </c>
      <c r="D136" s="56" t="s">
        <v>25</v>
      </c>
      <c r="E136" s="56" t="s">
        <v>20</v>
      </c>
      <c r="F136" s="58">
        <v>2870</v>
      </c>
      <c r="G136" s="58">
        <v>380</v>
      </c>
      <c r="H136" s="58">
        <v>393</v>
      </c>
      <c r="I136" s="58">
        <v>37621</v>
      </c>
      <c r="J136" s="58">
        <v>71794</v>
      </c>
      <c r="K136" s="58">
        <v>127</v>
      </c>
      <c r="L136" s="56" t="s">
        <v>27</v>
      </c>
      <c r="M136" s="56" t="s">
        <v>18</v>
      </c>
      <c r="N136" s="8">
        <f t="shared" si="2"/>
        <v>3643</v>
      </c>
    </row>
    <row r="137" spans="1:14">
      <c r="A137" s="56" t="s">
        <v>176</v>
      </c>
      <c r="B137" s="56" t="s">
        <v>24</v>
      </c>
      <c r="C137" s="57">
        <v>45615</v>
      </c>
      <c r="D137" s="56" t="s">
        <v>15</v>
      </c>
      <c r="E137" s="56" t="s">
        <v>41</v>
      </c>
      <c r="F137" s="58">
        <v>3728</v>
      </c>
      <c r="G137" s="58">
        <v>271</v>
      </c>
      <c r="H137" s="58">
        <v>275</v>
      </c>
      <c r="I137" s="58">
        <v>22827</v>
      </c>
      <c r="J137" s="58">
        <v>37034</v>
      </c>
      <c r="K137" s="58">
        <v>199</v>
      </c>
      <c r="L137" s="56" t="s">
        <v>42</v>
      </c>
      <c r="M137" s="56" t="s">
        <v>18</v>
      </c>
      <c r="N137" s="8">
        <f t="shared" si="2"/>
        <v>4274</v>
      </c>
    </row>
    <row r="138" spans="1:14">
      <c r="A138" s="56" t="s">
        <v>177</v>
      </c>
      <c r="B138" s="56" t="s">
        <v>24</v>
      </c>
      <c r="C138" s="57">
        <v>45387</v>
      </c>
      <c r="D138" s="56" t="s">
        <v>25</v>
      </c>
      <c r="E138" s="56" t="s">
        <v>26</v>
      </c>
      <c r="F138" s="58">
        <v>4965</v>
      </c>
      <c r="G138" s="58">
        <v>175</v>
      </c>
      <c r="H138" s="58">
        <v>307</v>
      </c>
      <c r="I138" s="58">
        <v>32793</v>
      </c>
      <c r="J138" s="58">
        <v>43412</v>
      </c>
      <c r="K138" s="58">
        <v>296</v>
      </c>
      <c r="L138" s="56" t="s">
        <v>17</v>
      </c>
      <c r="M138" s="56" t="s">
        <v>18</v>
      </c>
      <c r="N138" s="8">
        <f t="shared" si="2"/>
        <v>5447</v>
      </c>
    </row>
    <row r="139" spans="1:14">
      <c r="A139" s="56" t="s">
        <v>178</v>
      </c>
      <c r="B139" s="56" t="s">
        <v>24</v>
      </c>
      <c r="C139" s="57">
        <v>45624</v>
      </c>
      <c r="D139" s="56" t="s">
        <v>25</v>
      </c>
      <c r="E139" s="56" t="s">
        <v>26</v>
      </c>
      <c r="F139" s="58">
        <v>1131</v>
      </c>
      <c r="G139" s="58">
        <v>100</v>
      </c>
      <c r="H139" s="58">
        <v>116</v>
      </c>
      <c r="I139" s="58">
        <v>48437</v>
      </c>
      <c r="J139" s="58">
        <v>72704</v>
      </c>
      <c r="K139" s="58">
        <v>236</v>
      </c>
      <c r="L139" s="56" t="s">
        <v>39</v>
      </c>
      <c r="M139" s="56" t="s">
        <v>18</v>
      </c>
      <c r="N139" s="8">
        <f t="shared" si="2"/>
        <v>1347</v>
      </c>
    </row>
    <row r="140" spans="1:14">
      <c r="A140" s="56" t="s">
        <v>179</v>
      </c>
      <c r="B140" s="56" t="s">
        <v>24</v>
      </c>
      <c r="C140" s="57">
        <v>45725</v>
      </c>
      <c r="D140" s="56" t="s">
        <v>15</v>
      </c>
      <c r="E140" s="56" t="s">
        <v>51</v>
      </c>
      <c r="F140" s="58">
        <v>2754</v>
      </c>
      <c r="G140" s="58">
        <v>215</v>
      </c>
      <c r="H140" s="58">
        <v>264</v>
      </c>
      <c r="I140" s="58">
        <v>27762</v>
      </c>
      <c r="J140" s="58">
        <v>70203</v>
      </c>
      <c r="K140" s="58">
        <v>289</v>
      </c>
      <c r="L140" s="56" t="s">
        <v>42</v>
      </c>
      <c r="M140" s="56" t="s">
        <v>18</v>
      </c>
      <c r="N140" s="8">
        <f t="shared" si="2"/>
        <v>3233</v>
      </c>
    </row>
    <row r="141" spans="1:14">
      <c r="A141" s="56" t="s">
        <v>180</v>
      </c>
      <c r="B141" s="56" t="s">
        <v>24</v>
      </c>
      <c r="C141" s="57">
        <v>45531</v>
      </c>
      <c r="D141" s="56" t="s">
        <v>25</v>
      </c>
      <c r="E141" s="56" t="s">
        <v>26</v>
      </c>
      <c r="F141" s="58">
        <v>1856</v>
      </c>
      <c r="G141" s="58">
        <v>357</v>
      </c>
      <c r="H141" s="58">
        <v>348</v>
      </c>
      <c r="I141" s="58">
        <v>29428</v>
      </c>
      <c r="J141" s="58">
        <v>70206</v>
      </c>
      <c r="K141" s="58">
        <v>236</v>
      </c>
      <c r="L141" s="56" t="s">
        <v>27</v>
      </c>
      <c r="M141" s="56" t="s">
        <v>18</v>
      </c>
      <c r="N141" s="8">
        <f t="shared" si="2"/>
        <v>2561</v>
      </c>
    </row>
    <row r="142" spans="1:14">
      <c r="A142" s="56" t="s">
        <v>181</v>
      </c>
      <c r="B142" s="56" t="s">
        <v>397</v>
      </c>
      <c r="C142" s="57">
        <v>45566</v>
      </c>
      <c r="D142" s="56" t="s">
        <v>57</v>
      </c>
      <c r="E142" s="56" t="s">
        <v>20</v>
      </c>
      <c r="F142" s="58">
        <v>3543</v>
      </c>
      <c r="G142" s="58">
        <v>334</v>
      </c>
      <c r="H142" s="58">
        <v>218</v>
      </c>
      <c r="I142" s="58">
        <v>58007</v>
      </c>
      <c r="J142" s="58">
        <v>24792</v>
      </c>
      <c r="K142" s="58">
        <v>273</v>
      </c>
      <c r="L142" s="56" t="s">
        <v>58</v>
      </c>
      <c r="M142" s="56" t="s">
        <v>59</v>
      </c>
      <c r="N142" s="8">
        <f t="shared" si="2"/>
        <v>4095</v>
      </c>
    </row>
    <row r="143" spans="1:14">
      <c r="A143" s="56" t="s">
        <v>182</v>
      </c>
      <c r="B143" s="56" t="s">
        <v>14</v>
      </c>
      <c r="C143" s="57">
        <v>45647</v>
      </c>
      <c r="D143" s="56" t="s">
        <v>25</v>
      </c>
      <c r="E143" s="56" t="s">
        <v>26</v>
      </c>
      <c r="F143" s="58">
        <v>4563</v>
      </c>
      <c r="G143" s="58">
        <v>398</v>
      </c>
      <c r="H143" s="58">
        <v>163</v>
      </c>
      <c r="I143" s="58">
        <v>43679</v>
      </c>
      <c r="J143" s="58">
        <v>48760</v>
      </c>
      <c r="K143" s="58">
        <v>92</v>
      </c>
      <c r="L143" s="56" t="s">
        <v>42</v>
      </c>
      <c r="M143" s="56" t="s">
        <v>55</v>
      </c>
      <c r="N143" s="8">
        <f t="shared" si="2"/>
        <v>5124</v>
      </c>
    </row>
    <row r="144" spans="1:14">
      <c r="A144" s="56" t="s">
        <v>183</v>
      </c>
      <c r="B144" s="56" t="s">
        <v>14</v>
      </c>
      <c r="C144" s="57">
        <v>45460</v>
      </c>
      <c r="D144" s="56" t="s">
        <v>15</v>
      </c>
      <c r="E144" s="56" t="s">
        <v>16</v>
      </c>
      <c r="F144" s="58">
        <v>4283</v>
      </c>
      <c r="G144" s="58">
        <v>471</v>
      </c>
      <c r="H144" s="58">
        <v>156</v>
      </c>
      <c r="I144" s="58">
        <v>53004</v>
      </c>
      <c r="J144" s="58">
        <v>25678</v>
      </c>
      <c r="K144" s="58">
        <v>105</v>
      </c>
      <c r="L144" s="56" t="s">
        <v>21</v>
      </c>
      <c r="M144" s="56" t="s">
        <v>22</v>
      </c>
      <c r="N144" s="8">
        <f t="shared" si="2"/>
        <v>4910</v>
      </c>
    </row>
    <row r="145" spans="1:14">
      <c r="A145" s="56" t="s">
        <v>184</v>
      </c>
      <c r="B145" s="56" t="s">
        <v>14</v>
      </c>
      <c r="C145" s="57">
        <v>45702</v>
      </c>
      <c r="D145" s="56" t="s">
        <v>15</v>
      </c>
      <c r="E145" s="56" t="s">
        <v>16</v>
      </c>
      <c r="F145" s="58">
        <v>2329</v>
      </c>
      <c r="G145" s="58">
        <v>373</v>
      </c>
      <c r="H145" s="58">
        <v>291</v>
      </c>
      <c r="I145" s="58">
        <v>49577</v>
      </c>
      <c r="J145" s="58">
        <v>28002</v>
      </c>
      <c r="K145" s="58">
        <v>82</v>
      </c>
      <c r="L145" s="56" t="s">
        <v>17</v>
      </c>
      <c r="M145" s="56" t="s">
        <v>18</v>
      </c>
      <c r="N145" s="8">
        <f t="shared" si="2"/>
        <v>2993</v>
      </c>
    </row>
    <row r="146" spans="1:14">
      <c r="A146" s="56" t="s">
        <v>185</v>
      </c>
      <c r="B146" s="56" t="s">
        <v>24</v>
      </c>
      <c r="C146" s="57">
        <v>45805</v>
      </c>
      <c r="D146" s="56" t="s">
        <v>25</v>
      </c>
      <c r="E146" s="56" t="s">
        <v>41</v>
      </c>
      <c r="F146" s="58">
        <v>4287</v>
      </c>
      <c r="G146" s="58">
        <v>273</v>
      </c>
      <c r="H146" s="58">
        <v>122</v>
      </c>
      <c r="I146" s="58">
        <v>40792</v>
      </c>
      <c r="J146" s="58">
        <v>23878</v>
      </c>
      <c r="K146" s="58">
        <v>277</v>
      </c>
      <c r="L146" s="56" t="s">
        <v>27</v>
      </c>
      <c r="M146" s="56" t="s">
        <v>18</v>
      </c>
      <c r="N146" s="8">
        <f t="shared" si="2"/>
        <v>4682</v>
      </c>
    </row>
    <row r="147" spans="1:14">
      <c r="A147" s="56" t="s">
        <v>186</v>
      </c>
      <c r="B147" s="56" t="s">
        <v>14</v>
      </c>
      <c r="C147" s="57">
        <v>45799</v>
      </c>
      <c r="D147" s="56" t="s">
        <v>15</v>
      </c>
      <c r="E147" s="56" t="s">
        <v>16</v>
      </c>
      <c r="F147" s="58">
        <v>2633</v>
      </c>
      <c r="G147" s="58">
        <v>318</v>
      </c>
      <c r="H147" s="58">
        <v>380</v>
      </c>
      <c r="I147" s="58">
        <v>40869</v>
      </c>
      <c r="J147" s="58">
        <v>64474</v>
      </c>
      <c r="K147" s="58">
        <v>245</v>
      </c>
      <c r="L147" s="56" t="s">
        <v>21</v>
      </c>
      <c r="M147" s="56" t="s">
        <v>22</v>
      </c>
      <c r="N147" s="8">
        <f t="shared" si="2"/>
        <v>3331</v>
      </c>
    </row>
    <row r="148" spans="1:14">
      <c r="A148" s="56" t="s">
        <v>187</v>
      </c>
      <c r="B148" s="56" t="s">
        <v>24</v>
      </c>
      <c r="C148" s="57">
        <v>45312</v>
      </c>
      <c r="D148" s="56" t="s">
        <v>25</v>
      </c>
      <c r="E148" s="56" t="s">
        <v>16</v>
      </c>
      <c r="F148" s="58">
        <v>2383</v>
      </c>
      <c r="G148" s="58">
        <v>136</v>
      </c>
      <c r="H148" s="58">
        <v>302</v>
      </c>
      <c r="I148" s="58">
        <v>39187</v>
      </c>
      <c r="J148" s="58">
        <v>22133</v>
      </c>
      <c r="K148" s="58">
        <v>208</v>
      </c>
      <c r="L148" s="56" t="s">
        <v>27</v>
      </c>
      <c r="M148" s="56" t="s">
        <v>18</v>
      </c>
      <c r="N148" s="8">
        <f t="shared" si="2"/>
        <v>2821</v>
      </c>
    </row>
    <row r="149" spans="1:14">
      <c r="A149" s="56" t="s">
        <v>188</v>
      </c>
      <c r="B149" s="56" t="s">
        <v>24</v>
      </c>
      <c r="C149" s="57">
        <v>45696</v>
      </c>
      <c r="D149" s="56" t="s">
        <v>25</v>
      </c>
      <c r="E149" s="56" t="s">
        <v>51</v>
      </c>
      <c r="F149" s="58">
        <v>4752</v>
      </c>
      <c r="G149" s="58">
        <v>334</v>
      </c>
      <c r="H149" s="58">
        <v>56</v>
      </c>
      <c r="I149" s="58">
        <v>48017</v>
      </c>
      <c r="J149" s="58">
        <v>55534</v>
      </c>
      <c r="K149" s="58">
        <v>270</v>
      </c>
      <c r="L149" s="56" t="s">
        <v>39</v>
      </c>
      <c r="M149" s="56" t="s">
        <v>18</v>
      </c>
      <c r="N149" s="8">
        <f t="shared" si="2"/>
        <v>5142</v>
      </c>
    </row>
    <row r="150" spans="1:14">
      <c r="A150" s="56" t="s">
        <v>189</v>
      </c>
      <c r="B150" s="56" t="s">
        <v>24</v>
      </c>
      <c r="C150" s="57">
        <v>45760</v>
      </c>
      <c r="D150" s="56" t="s">
        <v>15</v>
      </c>
      <c r="E150" s="56" t="s">
        <v>49</v>
      </c>
      <c r="F150" s="58">
        <v>3890</v>
      </c>
      <c r="G150" s="58">
        <v>408</v>
      </c>
      <c r="H150" s="58">
        <v>338</v>
      </c>
      <c r="I150" s="58">
        <v>56994</v>
      </c>
      <c r="J150" s="58">
        <v>32621</v>
      </c>
      <c r="K150" s="58">
        <v>286</v>
      </c>
      <c r="L150" s="56" t="s">
        <v>45</v>
      </c>
      <c r="M150" s="56" t="s">
        <v>22</v>
      </c>
      <c r="N150" s="8">
        <f t="shared" si="2"/>
        <v>4636</v>
      </c>
    </row>
    <row r="151" spans="1:14">
      <c r="A151" s="56" t="s">
        <v>190</v>
      </c>
      <c r="B151" s="56" t="s">
        <v>24</v>
      </c>
      <c r="C151" s="57">
        <v>45442</v>
      </c>
      <c r="D151" s="56" t="s">
        <v>25</v>
      </c>
      <c r="E151" s="56" t="s">
        <v>51</v>
      </c>
      <c r="F151" s="58">
        <v>2311</v>
      </c>
      <c r="G151" s="58">
        <v>207</v>
      </c>
      <c r="H151" s="58">
        <v>363</v>
      </c>
      <c r="I151" s="58">
        <v>30349</v>
      </c>
      <c r="J151" s="58">
        <v>32925</v>
      </c>
      <c r="K151" s="58">
        <v>88</v>
      </c>
      <c r="L151" s="56" t="s">
        <v>27</v>
      </c>
      <c r="M151" s="56" t="s">
        <v>18</v>
      </c>
      <c r="N151" s="8">
        <f t="shared" si="2"/>
        <v>2881</v>
      </c>
    </row>
    <row r="152" spans="1:14">
      <c r="A152" s="56" t="s">
        <v>191</v>
      </c>
      <c r="B152" s="56" t="s">
        <v>14</v>
      </c>
      <c r="C152" s="57">
        <v>45516</v>
      </c>
      <c r="D152" s="56" t="s">
        <v>25</v>
      </c>
      <c r="E152" s="56" t="s">
        <v>16</v>
      </c>
      <c r="F152" s="58">
        <v>2962</v>
      </c>
      <c r="G152" s="58">
        <v>400</v>
      </c>
      <c r="H152" s="58">
        <v>280</v>
      </c>
      <c r="I152" s="58">
        <v>52508</v>
      </c>
      <c r="J152" s="58">
        <v>58329</v>
      </c>
      <c r="K152" s="58">
        <v>219</v>
      </c>
      <c r="L152" s="56" t="s">
        <v>42</v>
      </c>
      <c r="M152" s="56" t="s">
        <v>55</v>
      </c>
      <c r="N152" s="8">
        <f t="shared" si="2"/>
        <v>3642</v>
      </c>
    </row>
    <row r="153" spans="1:14">
      <c r="A153" s="56" t="s">
        <v>192</v>
      </c>
      <c r="B153" s="56" t="s">
        <v>14</v>
      </c>
      <c r="C153" s="57">
        <v>45562</v>
      </c>
      <c r="D153" s="56" t="s">
        <v>15</v>
      </c>
      <c r="E153" s="56" t="s">
        <v>16</v>
      </c>
      <c r="F153" s="58">
        <v>3118</v>
      </c>
      <c r="G153" s="58">
        <v>116</v>
      </c>
      <c r="H153" s="58">
        <v>195</v>
      </c>
      <c r="I153" s="58">
        <v>37100</v>
      </c>
      <c r="J153" s="58">
        <v>62629</v>
      </c>
      <c r="K153" s="58">
        <v>272</v>
      </c>
      <c r="L153" s="56" t="s">
        <v>21</v>
      </c>
      <c r="M153" s="56" t="s">
        <v>22</v>
      </c>
      <c r="N153" s="8">
        <f t="shared" si="2"/>
        <v>3429</v>
      </c>
    </row>
    <row r="154" spans="1:14">
      <c r="A154" s="56" t="s">
        <v>193</v>
      </c>
      <c r="B154" s="56" t="s">
        <v>24</v>
      </c>
      <c r="C154" s="57">
        <v>45819</v>
      </c>
      <c r="D154" s="56" t="s">
        <v>25</v>
      </c>
      <c r="E154" s="56" t="s">
        <v>20</v>
      </c>
      <c r="F154" s="58">
        <v>3805</v>
      </c>
      <c r="G154" s="58">
        <v>453</v>
      </c>
      <c r="H154" s="58">
        <v>63</v>
      </c>
      <c r="I154" s="58">
        <v>52395</v>
      </c>
      <c r="J154" s="58">
        <v>72934</v>
      </c>
      <c r="K154" s="58">
        <v>87</v>
      </c>
      <c r="L154" s="56" t="s">
        <v>39</v>
      </c>
      <c r="M154" s="56" t="s">
        <v>18</v>
      </c>
      <c r="N154" s="8">
        <f t="shared" si="2"/>
        <v>4321</v>
      </c>
    </row>
    <row r="155" spans="1:14">
      <c r="A155" s="56" t="s">
        <v>194</v>
      </c>
      <c r="B155" s="56" t="s">
        <v>14</v>
      </c>
      <c r="C155" s="57">
        <v>45615</v>
      </c>
      <c r="D155" s="56" t="s">
        <v>15</v>
      </c>
      <c r="E155" s="56" t="s">
        <v>35</v>
      </c>
      <c r="F155" s="58">
        <v>2525</v>
      </c>
      <c r="G155" s="58">
        <v>272</v>
      </c>
      <c r="H155" s="58">
        <v>294</v>
      </c>
      <c r="I155" s="58">
        <v>51875</v>
      </c>
      <c r="J155" s="58">
        <v>24732</v>
      </c>
      <c r="K155" s="58">
        <v>92</v>
      </c>
      <c r="L155" s="56" t="s">
        <v>21</v>
      </c>
      <c r="M155" s="56" t="s">
        <v>22</v>
      </c>
      <c r="N155" s="8">
        <f t="shared" si="2"/>
        <v>3091</v>
      </c>
    </row>
    <row r="156" spans="1:14">
      <c r="A156" s="56" t="s">
        <v>195</v>
      </c>
      <c r="B156" s="56" t="s">
        <v>14</v>
      </c>
      <c r="C156" s="57">
        <v>45407</v>
      </c>
      <c r="D156" s="56" t="s">
        <v>15</v>
      </c>
      <c r="E156" s="56" t="s">
        <v>32</v>
      </c>
      <c r="F156" s="58">
        <v>3563</v>
      </c>
      <c r="G156" s="58">
        <v>483</v>
      </c>
      <c r="H156" s="58">
        <v>227</v>
      </c>
      <c r="I156" s="58">
        <v>41085</v>
      </c>
      <c r="J156" s="58">
        <v>26393</v>
      </c>
      <c r="K156" s="58">
        <v>236</v>
      </c>
      <c r="L156" s="56" t="s">
        <v>17</v>
      </c>
      <c r="M156" s="56" t="s">
        <v>18</v>
      </c>
      <c r="N156" s="8">
        <f t="shared" si="2"/>
        <v>4273</v>
      </c>
    </row>
    <row r="157" spans="1:14">
      <c r="A157" s="56" t="s">
        <v>196</v>
      </c>
      <c r="B157" s="56" t="s">
        <v>397</v>
      </c>
      <c r="C157" s="57">
        <v>45538</v>
      </c>
      <c r="D157" s="56" t="s">
        <v>57</v>
      </c>
      <c r="E157" s="56" t="s">
        <v>35</v>
      </c>
      <c r="F157" s="58">
        <v>1437</v>
      </c>
      <c r="G157" s="58">
        <v>494</v>
      </c>
      <c r="H157" s="58">
        <v>129</v>
      </c>
      <c r="I157" s="58">
        <v>53048</v>
      </c>
      <c r="J157" s="58">
        <v>44090</v>
      </c>
      <c r="K157" s="58">
        <v>230</v>
      </c>
      <c r="L157" s="56" t="s">
        <v>58</v>
      </c>
      <c r="M157" s="56" t="s">
        <v>59</v>
      </c>
      <c r="N157" s="8">
        <f t="shared" si="2"/>
        <v>2060</v>
      </c>
    </row>
    <row r="158" spans="1:14">
      <c r="A158" s="56" t="s">
        <v>197</v>
      </c>
      <c r="B158" s="56" t="s">
        <v>397</v>
      </c>
      <c r="C158" s="57">
        <v>45718</v>
      </c>
      <c r="D158" s="56" t="s">
        <v>15</v>
      </c>
      <c r="E158" s="56" t="s">
        <v>49</v>
      </c>
      <c r="F158" s="58">
        <v>4425</v>
      </c>
      <c r="G158" s="58">
        <v>185</v>
      </c>
      <c r="H158" s="58">
        <v>162</v>
      </c>
      <c r="I158" s="58">
        <v>24610</v>
      </c>
      <c r="J158" s="58">
        <v>21342</v>
      </c>
      <c r="K158" s="58">
        <v>158</v>
      </c>
      <c r="L158" s="56" t="s">
        <v>33</v>
      </c>
      <c r="M158" s="56" t="s">
        <v>22</v>
      </c>
      <c r="N158" s="8">
        <f t="shared" si="2"/>
        <v>4772</v>
      </c>
    </row>
    <row r="159" spans="1:14">
      <c r="A159" s="56" t="s">
        <v>198</v>
      </c>
      <c r="B159" s="56" t="s">
        <v>24</v>
      </c>
      <c r="C159" s="57">
        <v>45737</v>
      </c>
      <c r="D159" s="56" t="s">
        <v>25</v>
      </c>
      <c r="E159" s="56" t="s">
        <v>26</v>
      </c>
      <c r="F159" s="58">
        <v>4609</v>
      </c>
      <c r="G159" s="58">
        <v>427</v>
      </c>
      <c r="H159" s="58">
        <v>395</v>
      </c>
      <c r="I159" s="58">
        <v>33698</v>
      </c>
      <c r="J159" s="58">
        <v>29259</v>
      </c>
      <c r="K159" s="58">
        <v>216</v>
      </c>
      <c r="L159" s="56" t="s">
        <v>39</v>
      </c>
      <c r="M159" s="56" t="s">
        <v>18</v>
      </c>
      <c r="N159" s="8">
        <f t="shared" si="2"/>
        <v>5431</v>
      </c>
    </row>
    <row r="160" spans="1:14">
      <c r="A160" s="56" t="s">
        <v>199</v>
      </c>
      <c r="B160" s="56" t="s">
        <v>14</v>
      </c>
      <c r="C160" s="57">
        <v>45394</v>
      </c>
      <c r="D160" s="56" t="s">
        <v>25</v>
      </c>
      <c r="E160" s="56" t="s">
        <v>37</v>
      </c>
      <c r="F160" s="58">
        <v>1558</v>
      </c>
      <c r="G160" s="58">
        <v>352</v>
      </c>
      <c r="H160" s="58">
        <v>202</v>
      </c>
      <c r="I160" s="58">
        <v>25405</v>
      </c>
      <c r="J160" s="58">
        <v>69941</v>
      </c>
      <c r="K160" s="58">
        <v>219</v>
      </c>
      <c r="L160" s="56" t="s">
        <v>42</v>
      </c>
      <c r="M160" s="56" t="s">
        <v>55</v>
      </c>
      <c r="N160" s="8">
        <f t="shared" si="2"/>
        <v>2112</v>
      </c>
    </row>
    <row r="161" spans="1:14">
      <c r="A161" s="56" t="s">
        <v>200</v>
      </c>
      <c r="B161" s="56" t="s">
        <v>397</v>
      </c>
      <c r="C161" s="57">
        <v>45330</v>
      </c>
      <c r="D161" s="56" t="s">
        <v>57</v>
      </c>
      <c r="E161" s="56" t="s">
        <v>41</v>
      </c>
      <c r="F161" s="58">
        <v>1889</v>
      </c>
      <c r="G161" s="58">
        <v>298</v>
      </c>
      <c r="H161" s="58">
        <v>122</v>
      </c>
      <c r="I161" s="58">
        <v>46225</v>
      </c>
      <c r="J161" s="58">
        <v>74305</v>
      </c>
      <c r="K161" s="58">
        <v>293</v>
      </c>
      <c r="L161" s="56" t="s">
        <v>58</v>
      </c>
      <c r="M161" s="56" t="s">
        <v>59</v>
      </c>
      <c r="N161" s="8">
        <f t="shared" si="2"/>
        <v>2309</v>
      </c>
    </row>
    <row r="162" spans="1:14">
      <c r="A162" s="56" t="s">
        <v>201</v>
      </c>
      <c r="B162" s="56" t="s">
        <v>14</v>
      </c>
      <c r="C162" s="57">
        <v>45803</v>
      </c>
      <c r="D162" s="56" t="s">
        <v>15</v>
      </c>
      <c r="E162" s="56" t="s">
        <v>16</v>
      </c>
      <c r="F162" s="58">
        <v>3086</v>
      </c>
      <c r="G162" s="58">
        <v>148</v>
      </c>
      <c r="H162" s="58">
        <v>310</v>
      </c>
      <c r="I162" s="58">
        <v>22824</v>
      </c>
      <c r="J162" s="58">
        <v>58103</v>
      </c>
      <c r="K162" s="58">
        <v>275</v>
      </c>
      <c r="L162" s="56" t="s">
        <v>21</v>
      </c>
      <c r="M162" s="56" t="s">
        <v>22</v>
      </c>
      <c r="N162" s="8">
        <f t="shared" si="2"/>
        <v>3544</v>
      </c>
    </row>
    <row r="163" spans="1:14">
      <c r="A163" s="56" t="s">
        <v>202</v>
      </c>
      <c r="B163" s="56" t="s">
        <v>14</v>
      </c>
      <c r="C163" s="57">
        <v>45610</v>
      </c>
      <c r="D163" s="56" t="s">
        <v>15</v>
      </c>
      <c r="E163" s="56" t="s">
        <v>32</v>
      </c>
      <c r="F163" s="58">
        <v>2422</v>
      </c>
      <c r="G163" s="58">
        <v>318</v>
      </c>
      <c r="H163" s="58">
        <v>118</v>
      </c>
      <c r="I163" s="58">
        <v>25386</v>
      </c>
      <c r="J163" s="58">
        <v>20873</v>
      </c>
      <c r="K163" s="58">
        <v>100</v>
      </c>
      <c r="L163" s="56" t="s">
        <v>17</v>
      </c>
      <c r="M163" s="56" t="s">
        <v>18</v>
      </c>
      <c r="N163" s="8">
        <f t="shared" si="2"/>
        <v>2858</v>
      </c>
    </row>
    <row r="164" spans="1:14">
      <c r="A164" s="56" t="s">
        <v>203</v>
      </c>
      <c r="B164" s="56" t="s">
        <v>397</v>
      </c>
      <c r="C164" s="57">
        <v>45513</v>
      </c>
      <c r="D164" s="56" t="s">
        <v>57</v>
      </c>
      <c r="E164" s="56" t="s">
        <v>49</v>
      </c>
      <c r="F164" s="58">
        <v>3414</v>
      </c>
      <c r="G164" s="58">
        <v>154</v>
      </c>
      <c r="H164" s="58">
        <v>204</v>
      </c>
      <c r="I164" s="58">
        <v>34146</v>
      </c>
      <c r="J164" s="58">
        <v>44633</v>
      </c>
      <c r="K164" s="58">
        <v>256</v>
      </c>
      <c r="L164" s="56" t="s">
        <v>58</v>
      </c>
      <c r="M164" s="56" t="s">
        <v>59</v>
      </c>
      <c r="N164" s="8">
        <f t="shared" si="2"/>
        <v>3772</v>
      </c>
    </row>
    <row r="165" spans="1:14">
      <c r="A165" s="56" t="s">
        <v>204</v>
      </c>
      <c r="B165" s="56" t="s">
        <v>14</v>
      </c>
      <c r="C165" s="57">
        <v>45835</v>
      </c>
      <c r="D165" s="56" t="s">
        <v>25</v>
      </c>
      <c r="E165" s="56" t="s">
        <v>35</v>
      </c>
      <c r="F165" s="58">
        <v>1342</v>
      </c>
      <c r="G165" s="58">
        <v>332</v>
      </c>
      <c r="H165" s="58">
        <v>163</v>
      </c>
      <c r="I165" s="58">
        <v>51712</v>
      </c>
      <c r="J165" s="58">
        <v>57922</v>
      </c>
      <c r="K165" s="58">
        <v>168</v>
      </c>
      <c r="L165" s="56" t="s">
        <v>42</v>
      </c>
      <c r="M165" s="56" t="s">
        <v>55</v>
      </c>
      <c r="N165" s="8">
        <f t="shared" si="2"/>
        <v>1837</v>
      </c>
    </row>
    <row r="166" spans="1:14">
      <c r="A166" s="56" t="s">
        <v>205</v>
      </c>
      <c r="B166" s="56" t="s">
        <v>14</v>
      </c>
      <c r="C166" s="57">
        <v>45420</v>
      </c>
      <c r="D166" s="56" t="s">
        <v>25</v>
      </c>
      <c r="E166" s="56" t="s">
        <v>32</v>
      </c>
      <c r="F166" s="58">
        <v>2414</v>
      </c>
      <c r="G166" s="58">
        <v>220</v>
      </c>
      <c r="H166" s="58">
        <v>280</v>
      </c>
      <c r="I166" s="58">
        <v>27355</v>
      </c>
      <c r="J166" s="58">
        <v>50562</v>
      </c>
      <c r="K166" s="58">
        <v>258</v>
      </c>
      <c r="L166" s="56" t="s">
        <v>42</v>
      </c>
      <c r="M166" s="56" t="s">
        <v>55</v>
      </c>
      <c r="N166" s="8">
        <f t="shared" si="2"/>
        <v>2914</v>
      </c>
    </row>
    <row r="167" spans="1:14">
      <c r="A167" s="56" t="s">
        <v>206</v>
      </c>
      <c r="B167" s="56" t="s">
        <v>14</v>
      </c>
      <c r="C167" s="57">
        <v>45387</v>
      </c>
      <c r="D167" s="56" t="s">
        <v>15</v>
      </c>
      <c r="E167" s="56" t="s">
        <v>26</v>
      </c>
      <c r="F167" s="58">
        <v>4383</v>
      </c>
      <c r="G167" s="58">
        <v>352</v>
      </c>
      <c r="H167" s="58">
        <v>176</v>
      </c>
      <c r="I167" s="58">
        <v>53239</v>
      </c>
      <c r="J167" s="58">
        <v>34168</v>
      </c>
      <c r="K167" s="58">
        <v>288</v>
      </c>
      <c r="L167" s="56" t="s">
        <v>21</v>
      </c>
      <c r="M167" s="56" t="s">
        <v>22</v>
      </c>
      <c r="N167" s="8">
        <f t="shared" si="2"/>
        <v>4911</v>
      </c>
    </row>
    <row r="168" spans="1:14">
      <c r="A168" s="56" t="s">
        <v>207</v>
      </c>
      <c r="B168" s="56" t="s">
        <v>397</v>
      </c>
      <c r="C168" s="57">
        <v>45684</v>
      </c>
      <c r="D168" s="56" t="s">
        <v>15</v>
      </c>
      <c r="E168" s="56" t="s">
        <v>29</v>
      </c>
      <c r="F168" s="58">
        <v>4294</v>
      </c>
      <c r="G168" s="58">
        <v>423</v>
      </c>
      <c r="H168" s="58">
        <v>93</v>
      </c>
      <c r="I168" s="58">
        <v>29828</v>
      </c>
      <c r="J168" s="58">
        <v>73144</v>
      </c>
      <c r="K168" s="58">
        <v>298</v>
      </c>
      <c r="L168" s="56" t="s">
        <v>33</v>
      </c>
      <c r="M168" s="56" t="s">
        <v>22</v>
      </c>
      <c r="N168" s="8">
        <f t="shared" si="2"/>
        <v>4810</v>
      </c>
    </row>
    <row r="169" spans="1:14">
      <c r="A169" s="56" t="s">
        <v>208</v>
      </c>
      <c r="B169" s="56" t="s">
        <v>14</v>
      </c>
      <c r="C169" s="57">
        <v>45385</v>
      </c>
      <c r="D169" s="56" t="s">
        <v>15</v>
      </c>
      <c r="E169" s="56" t="s">
        <v>41</v>
      </c>
      <c r="F169" s="58">
        <v>2762</v>
      </c>
      <c r="G169" s="58">
        <v>339</v>
      </c>
      <c r="H169" s="58">
        <v>323</v>
      </c>
      <c r="I169" s="58">
        <v>33757</v>
      </c>
      <c r="J169" s="58">
        <v>68511</v>
      </c>
      <c r="K169" s="58">
        <v>121</v>
      </c>
      <c r="L169" s="56" t="s">
        <v>17</v>
      </c>
      <c r="M169" s="56" t="s">
        <v>18</v>
      </c>
      <c r="N169" s="8">
        <f t="shared" si="2"/>
        <v>3424</v>
      </c>
    </row>
    <row r="170" spans="1:14">
      <c r="A170" s="56" t="s">
        <v>209</v>
      </c>
      <c r="B170" s="56" t="s">
        <v>397</v>
      </c>
      <c r="C170" s="57">
        <v>45660</v>
      </c>
      <c r="D170" s="56" t="s">
        <v>15</v>
      </c>
      <c r="E170" s="56" t="s">
        <v>26</v>
      </c>
      <c r="F170" s="58">
        <v>3782</v>
      </c>
      <c r="G170" s="58">
        <v>484</v>
      </c>
      <c r="H170" s="58">
        <v>144</v>
      </c>
      <c r="I170" s="58">
        <v>52172</v>
      </c>
      <c r="J170" s="58">
        <v>59386</v>
      </c>
      <c r="K170" s="58">
        <v>175</v>
      </c>
      <c r="L170" s="56" t="s">
        <v>33</v>
      </c>
      <c r="M170" s="56" t="s">
        <v>22</v>
      </c>
      <c r="N170" s="8">
        <f t="shared" si="2"/>
        <v>4410</v>
      </c>
    </row>
    <row r="171" spans="1:14">
      <c r="A171" s="56" t="s">
        <v>210</v>
      </c>
      <c r="B171" s="56" t="s">
        <v>24</v>
      </c>
      <c r="C171" s="57">
        <v>45619</v>
      </c>
      <c r="D171" s="56" t="s">
        <v>15</v>
      </c>
      <c r="E171" s="56" t="s">
        <v>26</v>
      </c>
      <c r="F171" s="58">
        <v>4318</v>
      </c>
      <c r="G171" s="58">
        <v>371</v>
      </c>
      <c r="H171" s="58">
        <v>329</v>
      </c>
      <c r="I171" s="58">
        <v>32347</v>
      </c>
      <c r="J171" s="58">
        <v>68956</v>
      </c>
      <c r="K171" s="58">
        <v>259</v>
      </c>
      <c r="L171" s="56" t="s">
        <v>45</v>
      </c>
      <c r="M171" s="56" t="s">
        <v>22</v>
      </c>
      <c r="N171" s="8">
        <f t="shared" si="2"/>
        <v>5018</v>
      </c>
    </row>
    <row r="172" spans="1:14">
      <c r="A172" s="56" t="s">
        <v>211</v>
      </c>
      <c r="B172" s="56" t="s">
        <v>14</v>
      </c>
      <c r="C172" s="57">
        <v>45536</v>
      </c>
      <c r="D172" s="56" t="s">
        <v>25</v>
      </c>
      <c r="E172" s="56" t="s">
        <v>29</v>
      </c>
      <c r="F172" s="58">
        <v>2335</v>
      </c>
      <c r="G172" s="58">
        <v>150</v>
      </c>
      <c r="H172" s="58">
        <v>75</v>
      </c>
      <c r="I172" s="58">
        <v>26114</v>
      </c>
      <c r="J172" s="58">
        <v>57549</v>
      </c>
      <c r="K172" s="58">
        <v>135</v>
      </c>
      <c r="L172" s="56" t="s">
        <v>42</v>
      </c>
      <c r="M172" s="56" t="s">
        <v>55</v>
      </c>
      <c r="N172" s="8">
        <f t="shared" si="2"/>
        <v>2560</v>
      </c>
    </row>
    <row r="173" spans="1:14">
      <c r="A173" s="56" t="s">
        <v>212</v>
      </c>
      <c r="B173" s="56" t="s">
        <v>397</v>
      </c>
      <c r="C173" s="57">
        <v>45400</v>
      </c>
      <c r="D173" s="56" t="s">
        <v>15</v>
      </c>
      <c r="E173" s="56" t="s">
        <v>20</v>
      </c>
      <c r="F173" s="58">
        <v>4023</v>
      </c>
      <c r="G173" s="58">
        <v>293</v>
      </c>
      <c r="H173" s="58">
        <v>91</v>
      </c>
      <c r="I173" s="58">
        <v>26795</v>
      </c>
      <c r="J173" s="58">
        <v>28924</v>
      </c>
      <c r="K173" s="58">
        <v>278</v>
      </c>
      <c r="L173" s="56" t="s">
        <v>33</v>
      </c>
      <c r="M173" s="56" t="s">
        <v>22</v>
      </c>
      <c r="N173" s="8">
        <f t="shared" si="2"/>
        <v>4407</v>
      </c>
    </row>
    <row r="174" spans="1:14">
      <c r="A174" s="56" t="s">
        <v>213</v>
      </c>
      <c r="B174" s="56" t="s">
        <v>14</v>
      </c>
      <c r="C174" s="57">
        <v>45447</v>
      </c>
      <c r="D174" s="56" t="s">
        <v>15</v>
      </c>
      <c r="E174" s="56" t="s">
        <v>37</v>
      </c>
      <c r="F174" s="58">
        <v>3948</v>
      </c>
      <c r="G174" s="58">
        <v>151</v>
      </c>
      <c r="H174" s="58">
        <v>249</v>
      </c>
      <c r="I174" s="58">
        <v>43147</v>
      </c>
      <c r="J174" s="58">
        <v>63136</v>
      </c>
      <c r="K174" s="58">
        <v>230</v>
      </c>
      <c r="L174" s="56" t="s">
        <v>21</v>
      </c>
      <c r="M174" s="56" t="s">
        <v>22</v>
      </c>
      <c r="N174" s="8">
        <f t="shared" si="2"/>
        <v>4348</v>
      </c>
    </row>
    <row r="175" spans="1:14">
      <c r="A175" s="56" t="s">
        <v>214</v>
      </c>
      <c r="B175" s="56" t="s">
        <v>397</v>
      </c>
      <c r="C175" s="57">
        <v>45749</v>
      </c>
      <c r="D175" s="56" t="s">
        <v>15</v>
      </c>
      <c r="E175" s="56" t="s">
        <v>29</v>
      </c>
      <c r="F175" s="58">
        <v>4598</v>
      </c>
      <c r="G175" s="58">
        <v>455</v>
      </c>
      <c r="H175" s="58">
        <v>378</v>
      </c>
      <c r="I175" s="58">
        <v>52952</v>
      </c>
      <c r="J175" s="58">
        <v>58504</v>
      </c>
      <c r="K175" s="58">
        <v>269</v>
      </c>
      <c r="L175" s="56" t="s">
        <v>33</v>
      </c>
      <c r="M175" s="56" t="s">
        <v>22</v>
      </c>
      <c r="N175" s="8">
        <f t="shared" si="2"/>
        <v>5431</v>
      </c>
    </row>
    <row r="176" spans="1:14">
      <c r="A176" s="56" t="s">
        <v>215</v>
      </c>
      <c r="B176" s="56" t="s">
        <v>24</v>
      </c>
      <c r="C176" s="57">
        <v>45748</v>
      </c>
      <c r="D176" s="56" t="s">
        <v>25</v>
      </c>
      <c r="E176" s="56" t="s">
        <v>32</v>
      </c>
      <c r="F176" s="58">
        <v>2665</v>
      </c>
      <c r="G176" s="58">
        <v>143</v>
      </c>
      <c r="H176" s="58">
        <v>315</v>
      </c>
      <c r="I176" s="58">
        <v>54808</v>
      </c>
      <c r="J176" s="58">
        <v>29818</v>
      </c>
      <c r="K176" s="58">
        <v>98</v>
      </c>
      <c r="L176" s="56" t="s">
        <v>39</v>
      </c>
      <c r="M176" s="56" t="s">
        <v>18</v>
      </c>
      <c r="N176" s="8">
        <f t="shared" si="2"/>
        <v>3123</v>
      </c>
    </row>
    <row r="177" spans="1:14">
      <c r="A177" s="56" t="s">
        <v>216</v>
      </c>
      <c r="B177" s="56" t="s">
        <v>14</v>
      </c>
      <c r="C177" s="57">
        <v>45475</v>
      </c>
      <c r="D177" s="56" t="s">
        <v>15</v>
      </c>
      <c r="E177" s="56" t="s">
        <v>41</v>
      </c>
      <c r="F177" s="58">
        <v>3469</v>
      </c>
      <c r="G177" s="58">
        <v>371</v>
      </c>
      <c r="H177" s="58">
        <v>76</v>
      </c>
      <c r="I177" s="58">
        <v>46493</v>
      </c>
      <c r="J177" s="58">
        <v>26906</v>
      </c>
      <c r="K177" s="58">
        <v>150</v>
      </c>
      <c r="L177" s="56" t="s">
        <v>17</v>
      </c>
      <c r="M177" s="56" t="s">
        <v>18</v>
      </c>
      <c r="N177" s="8">
        <f t="shared" si="2"/>
        <v>3916</v>
      </c>
    </row>
    <row r="178" spans="1:14">
      <c r="A178" s="56" t="s">
        <v>217</v>
      </c>
      <c r="B178" s="56" t="s">
        <v>24</v>
      </c>
      <c r="C178" s="57">
        <v>45606</v>
      </c>
      <c r="D178" s="56" t="s">
        <v>15</v>
      </c>
      <c r="E178" s="56" t="s">
        <v>20</v>
      </c>
      <c r="F178" s="58">
        <v>4823</v>
      </c>
      <c r="G178" s="58">
        <v>489</v>
      </c>
      <c r="H178" s="58">
        <v>302</v>
      </c>
      <c r="I178" s="58">
        <v>32470</v>
      </c>
      <c r="J178" s="58">
        <v>31861</v>
      </c>
      <c r="K178" s="58">
        <v>178</v>
      </c>
      <c r="L178" s="56" t="s">
        <v>45</v>
      </c>
      <c r="M178" s="56" t="s">
        <v>22</v>
      </c>
      <c r="N178" s="8">
        <f t="shared" si="2"/>
        <v>5614</v>
      </c>
    </row>
    <row r="179" spans="1:14">
      <c r="A179" s="56" t="s">
        <v>218</v>
      </c>
      <c r="B179" s="56" t="s">
        <v>14</v>
      </c>
      <c r="C179" s="57">
        <v>45640</v>
      </c>
      <c r="D179" s="56" t="s">
        <v>25</v>
      </c>
      <c r="E179" s="56" t="s">
        <v>49</v>
      </c>
      <c r="F179" s="58">
        <v>3812</v>
      </c>
      <c r="G179" s="58">
        <v>321</v>
      </c>
      <c r="H179" s="58">
        <v>289</v>
      </c>
      <c r="I179" s="58">
        <v>59838</v>
      </c>
      <c r="J179" s="58">
        <v>36337</v>
      </c>
      <c r="K179" s="58">
        <v>161</v>
      </c>
      <c r="L179" s="56" t="s">
        <v>42</v>
      </c>
      <c r="M179" s="56" t="s">
        <v>55</v>
      </c>
      <c r="N179" s="8">
        <f t="shared" si="2"/>
        <v>4422</v>
      </c>
    </row>
    <row r="180" spans="1:14">
      <c r="A180" s="56" t="s">
        <v>219</v>
      </c>
      <c r="B180" s="56" t="s">
        <v>24</v>
      </c>
      <c r="C180" s="57">
        <v>45615</v>
      </c>
      <c r="D180" s="56" t="s">
        <v>15</v>
      </c>
      <c r="E180" s="56" t="s">
        <v>20</v>
      </c>
      <c r="F180" s="58">
        <v>2387</v>
      </c>
      <c r="G180" s="58">
        <v>353</v>
      </c>
      <c r="H180" s="58">
        <v>78</v>
      </c>
      <c r="I180" s="58">
        <v>39745</v>
      </c>
      <c r="J180" s="58">
        <v>69226</v>
      </c>
      <c r="K180" s="58">
        <v>208</v>
      </c>
      <c r="L180" s="56" t="s">
        <v>45</v>
      </c>
      <c r="M180" s="56" t="s">
        <v>22</v>
      </c>
      <c r="N180" s="8">
        <f t="shared" si="2"/>
        <v>2818</v>
      </c>
    </row>
    <row r="181" spans="1:14">
      <c r="A181" s="56" t="s">
        <v>220</v>
      </c>
      <c r="B181" s="56" t="s">
        <v>24</v>
      </c>
      <c r="C181" s="57">
        <v>45777</v>
      </c>
      <c r="D181" s="56" t="s">
        <v>25</v>
      </c>
      <c r="E181" s="56" t="s">
        <v>29</v>
      </c>
      <c r="F181" s="58">
        <v>3929</v>
      </c>
      <c r="G181" s="58">
        <v>275</v>
      </c>
      <c r="H181" s="58">
        <v>330</v>
      </c>
      <c r="I181" s="58">
        <v>58329</v>
      </c>
      <c r="J181" s="58">
        <v>33196</v>
      </c>
      <c r="K181" s="58">
        <v>85</v>
      </c>
      <c r="L181" s="56" t="s">
        <v>27</v>
      </c>
      <c r="M181" s="56" t="s">
        <v>18</v>
      </c>
      <c r="N181" s="8">
        <f t="shared" si="2"/>
        <v>4534</v>
      </c>
    </row>
    <row r="182" spans="1:14">
      <c r="A182" s="56" t="s">
        <v>221</v>
      </c>
      <c r="B182" s="56" t="s">
        <v>24</v>
      </c>
      <c r="C182" s="57">
        <v>45370</v>
      </c>
      <c r="D182" s="56" t="s">
        <v>15</v>
      </c>
      <c r="E182" s="56" t="s">
        <v>49</v>
      </c>
      <c r="F182" s="58">
        <v>2191</v>
      </c>
      <c r="G182" s="58">
        <v>288</v>
      </c>
      <c r="H182" s="58">
        <v>83</v>
      </c>
      <c r="I182" s="58">
        <v>59606</v>
      </c>
      <c r="J182" s="58">
        <v>24765</v>
      </c>
      <c r="K182" s="58">
        <v>281</v>
      </c>
      <c r="L182" s="56" t="s">
        <v>45</v>
      </c>
      <c r="M182" s="56" t="s">
        <v>22</v>
      </c>
      <c r="N182" s="8">
        <f t="shared" si="2"/>
        <v>2562</v>
      </c>
    </row>
    <row r="183" spans="1:14">
      <c r="A183" s="56" t="s">
        <v>222</v>
      </c>
      <c r="B183" s="56" t="s">
        <v>14</v>
      </c>
      <c r="C183" s="57">
        <v>45370</v>
      </c>
      <c r="D183" s="56" t="s">
        <v>15</v>
      </c>
      <c r="E183" s="56" t="s">
        <v>49</v>
      </c>
      <c r="F183" s="58">
        <v>2878</v>
      </c>
      <c r="G183" s="58">
        <v>278</v>
      </c>
      <c r="H183" s="58">
        <v>255</v>
      </c>
      <c r="I183" s="58">
        <v>47235</v>
      </c>
      <c r="J183" s="58">
        <v>57922</v>
      </c>
      <c r="K183" s="58">
        <v>112</v>
      </c>
      <c r="L183" s="56" t="s">
        <v>17</v>
      </c>
      <c r="M183" s="56" t="s">
        <v>18</v>
      </c>
      <c r="N183" s="8">
        <f t="shared" si="2"/>
        <v>3411</v>
      </c>
    </row>
    <row r="184" spans="1:14">
      <c r="A184" s="56" t="s">
        <v>223</v>
      </c>
      <c r="B184" s="56" t="s">
        <v>24</v>
      </c>
      <c r="C184" s="57">
        <v>45496</v>
      </c>
      <c r="D184" s="56" t="s">
        <v>15</v>
      </c>
      <c r="E184" s="56" t="s">
        <v>41</v>
      </c>
      <c r="F184" s="58">
        <v>3204</v>
      </c>
      <c r="G184" s="58">
        <v>398</v>
      </c>
      <c r="H184" s="58">
        <v>85</v>
      </c>
      <c r="I184" s="58">
        <v>22020</v>
      </c>
      <c r="J184" s="58">
        <v>58353</v>
      </c>
      <c r="K184" s="58">
        <v>286</v>
      </c>
      <c r="L184" s="56" t="s">
        <v>45</v>
      </c>
      <c r="M184" s="56" t="s">
        <v>22</v>
      </c>
      <c r="N184" s="8">
        <f t="shared" si="2"/>
        <v>3687</v>
      </c>
    </row>
    <row r="185" spans="1:14">
      <c r="A185" s="56" t="s">
        <v>224</v>
      </c>
      <c r="B185" s="56" t="s">
        <v>24</v>
      </c>
      <c r="C185" s="57">
        <v>45486</v>
      </c>
      <c r="D185" s="56" t="s">
        <v>25</v>
      </c>
      <c r="E185" s="56" t="s">
        <v>37</v>
      </c>
      <c r="F185" s="58">
        <v>2408</v>
      </c>
      <c r="G185" s="58">
        <v>323</v>
      </c>
      <c r="H185" s="58">
        <v>251</v>
      </c>
      <c r="I185" s="58">
        <v>47599</v>
      </c>
      <c r="J185" s="58">
        <v>35543</v>
      </c>
      <c r="K185" s="58">
        <v>287</v>
      </c>
      <c r="L185" s="56" t="s">
        <v>27</v>
      </c>
      <c r="M185" s="56" t="s">
        <v>18</v>
      </c>
      <c r="N185" s="8">
        <f t="shared" si="2"/>
        <v>2982</v>
      </c>
    </row>
    <row r="186" spans="1:14">
      <c r="A186" s="56" t="s">
        <v>225</v>
      </c>
      <c r="B186" s="56" t="s">
        <v>397</v>
      </c>
      <c r="C186" s="57">
        <v>45769</v>
      </c>
      <c r="D186" s="56" t="s">
        <v>57</v>
      </c>
      <c r="E186" s="56" t="s">
        <v>26</v>
      </c>
      <c r="F186" s="58">
        <v>2733</v>
      </c>
      <c r="G186" s="58">
        <v>297</v>
      </c>
      <c r="H186" s="58">
        <v>235</v>
      </c>
      <c r="I186" s="58">
        <v>37980</v>
      </c>
      <c r="J186" s="58">
        <v>33058</v>
      </c>
      <c r="K186" s="58">
        <v>219</v>
      </c>
      <c r="L186" s="56" t="s">
        <v>58</v>
      </c>
      <c r="M186" s="56" t="s">
        <v>59</v>
      </c>
      <c r="N186" s="8">
        <f t="shared" si="2"/>
        <v>3265</v>
      </c>
    </row>
    <row r="187" spans="1:14">
      <c r="A187" s="56" t="s">
        <v>226</v>
      </c>
      <c r="B187" s="56" t="s">
        <v>24</v>
      </c>
      <c r="C187" s="57">
        <v>45459</v>
      </c>
      <c r="D187" s="56" t="s">
        <v>25</v>
      </c>
      <c r="E187" s="56" t="s">
        <v>20</v>
      </c>
      <c r="F187" s="58">
        <v>4618</v>
      </c>
      <c r="G187" s="58">
        <v>312</v>
      </c>
      <c r="H187" s="58">
        <v>254</v>
      </c>
      <c r="I187" s="58">
        <v>22571</v>
      </c>
      <c r="J187" s="58">
        <v>29453</v>
      </c>
      <c r="K187" s="58">
        <v>197</v>
      </c>
      <c r="L187" s="56" t="s">
        <v>27</v>
      </c>
      <c r="M187" s="56" t="s">
        <v>18</v>
      </c>
      <c r="N187" s="8">
        <f t="shared" si="2"/>
        <v>5184</v>
      </c>
    </row>
    <row r="188" spans="1:14">
      <c r="A188" s="56" t="s">
        <v>227</v>
      </c>
      <c r="B188" s="56" t="s">
        <v>397</v>
      </c>
      <c r="C188" s="57">
        <v>45795</v>
      </c>
      <c r="D188" s="56" t="s">
        <v>57</v>
      </c>
      <c r="E188" s="56" t="s">
        <v>29</v>
      </c>
      <c r="F188" s="58">
        <v>4210</v>
      </c>
      <c r="G188" s="58">
        <v>319</v>
      </c>
      <c r="H188" s="58">
        <v>350</v>
      </c>
      <c r="I188" s="58">
        <v>37762</v>
      </c>
      <c r="J188" s="58">
        <v>55162</v>
      </c>
      <c r="K188" s="58">
        <v>204</v>
      </c>
      <c r="L188" s="56" t="s">
        <v>58</v>
      </c>
      <c r="M188" s="56" t="s">
        <v>59</v>
      </c>
      <c r="N188" s="8">
        <f t="shared" si="2"/>
        <v>4879</v>
      </c>
    </row>
    <row r="189" spans="1:14">
      <c r="A189" s="56" t="s">
        <v>228</v>
      </c>
      <c r="B189" s="56" t="s">
        <v>14</v>
      </c>
      <c r="C189" s="57">
        <v>45814</v>
      </c>
      <c r="D189" s="56" t="s">
        <v>15</v>
      </c>
      <c r="E189" s="56" t="s">
        <v>29</v>
      </c>
      <c r="F189" s="58">
        <v>3987</v>
      </c>
      <c r="G189" s="58">
        <v>171</v>
      </c>
      <c r="H189" s="58">
        <v>274</v>
      </c>
      <c r="I189" s="58">
        <v>45122</v>
      </c>
      <c r="J189" s="58">
        <v>65431</v>
      </c>
      <c r="K189" s="58">
        <v>168</v>
      </c>
      <c r="L189" s="56" t="s">
        <v>21</v>
      </c>
      <c r="M189" s="56" t="s">
        <v>22</v>
      </c>
      <c r="N189" s="8">
        <f t="shared" si="2"/>
        <v>4432</v>
      </c>
    </row>
    <row r="190" spans="1:14">
      <c r="A190" s="56" t="s">
        <v>229</v>
      </c>
      <c r="B190" s="56" t="s">
        <v>397</v>
      </c>
      <c r="C190" s="57">
        <v>45708</v>
      </c>
      <c r="D190" s="56" t="s">
        <v>57</v>
      </c>
      <c r="E190" s="56" t="s">
        <v>37</v>
      </c>
      <c r="F190" s="58">
        <v>4957</v>
      </c>
      <c r="G190" s="58">
        <v>262</v>
      </c>
      <c r="H190" s="58">
        <v>365</v>
      </c>
      <c r="I190" s="58">
        <v>49199</v>
      </c>
      <c r="J190" s="58">
        <v>40314</v>
      </c>
      <c r="K190" s="58">
        <v>216</v>
      </c>
      <c r="L190" s="56" t="s">
        <v>58</v>
      </c>
      <c r="M190" s="56" t="s">
        <v>59</v>
      </c>
      <c r="N190" s="8">
        <f t="shared" si="2"/>
        <v>5584</v>
      </c>
    </row>
    <row r="191" spans="1:14">
      <c r="A191" s="56" t="s">
        <v>230</v>
      </c>
      <c r="B191" s="56" t="s">
        <v>14</v>
      </c>
      <c r="C191" s="57">
        <v>45673</v>
      </c>
      <c r="D191" s="56" t="s">
        <v>15</v>
      </c>
      <c r="E191" s="56" t="s">
        <v>32</v>
      </c>
      <c r="F191" s="58">
        <v>2605</v>
      </c>
      <c r="G191" s="58">
        <v>282</v>
      </c>
      <c r="H191" s="58">
        <v>148</v>
      </c>
      <c r="I191" s="58">
        <v>32201</v>
      </c>
      <c r="J191" s="58">
        <v>49583</v>
      </c>
      <c r="K191" s="58">
        <v>241</v>
      </c>
      <c r="L191" s="56" t="s">
        <v>17</v>
      </c>
      <c r="M191" s="56" t="s">
        <v>18</v>
      </c>
      <c r="N191" s="8">
        <f t="shared" si="2"/>
        <v>3035</v>
      </c>
    </row>
    <row r="192" spans="1:14">
      <c r="A192" s="56" t="s">
        <v>231</v>
      </c>
      <c r="B192" s="56" t="s">
        <v>397</v>
      </c>
      <c r="C192" s="57">
        <v>45346</v>
      </c>
      <c r="D192" s="56" t="s">
        <v>57</v>
      </c>
      <c r="E192" s="56" t="s">
        <v>16</v>
      </c>
      <c r="F192" s="58">
        <v>4221</v>
      </c>
      <c r="G192" s="58">
        <v>307</v>
      </c>
      <c r="H192" s="58">
        <v>58</v>
      </c>
      <c r="I192" s="58">
        <v>45080</v>
      </c>
      <c r="J192" s="58">
        <v>37214</v>
      </c>
      <c r="K192" s="58">
        <v>240</v>
      </c>
      <c r="L192" s="56" t="s">
        <v>58</v>
      </c>
      <c r="M192" s="56" t="s">
        <v>59</v>
      </c>
      <c r="N192" s="8">
        <f t="shared" si="2"/>
        <v>4586</v>
      </c>
    </row>
    <row r="193" spans="1:14">
      <c r="A193" s="56" t="s">
        <v>232</v>
      </c>
      <c r="B193" s="56" t="s">
        <v>24</v>
      </c>
      <c r="C193" s="57">
        <v>45551</v>
      </c>
      <c r="D193" s="56" t="s">
        <v>25</v>
      </c>
      <c r="E193" s="56" t="s">
        <v>35</v>
      </c>
      <c r="F193" s="58">
        <v>4422</v>
      </c>
      <c r="G193" s="58">
        <v>434</v>
      </c>
      <c r="H193" s="58">
        <v>156</v>
      </c>
      <c r="I193" s="58">
        <v>56165</v>
      </c>
      <c r="J193" s="58">
        <v>52431</v>
      </c>
      <c r="K193" s="58">
        <v>173</v>
      </c>
      <c r="L193" s="56" t="s">
        <v>39</v>
      </c>
      <c r="M193" s="56" t="s">
        <v>18</v>
      </c>
      <c r="N193" s="8">
        <f t="shared" si="2"/>
        <v>5012</v>
      </c>
    </row>
    <row r="194" spans="1:14">
      <c r="A194" s="56" t="s">
        <v>233</v>
      </c>
      <c r="B194" s="56" t="s">
        <v>397</v>
      </c>
      <c r="C194" s="57">
        <v>45447</v>
      </c>
      <c r="D194" s="56" t="s">
        <v>57</v>
      </c>
      <c r="E194" s="56" t="s">
        <v>29</v>
      </c>
      <c r="F194" s="58">
        <v>1211</v>
      </c>
      <c r="G194" s="58">
        <v>431</v>
      </c>
      <c r="H194" s="58">
        <v>83</v>
      </c>
      <c r="I194" s="58">
        <v>26532</v>
      </c>
      <c r="J194" s="58">
        <v>47305</v>
      </c>
      <c r="K194" s="58">
        <v>232</v>
      </c>
      <c r="L194" s="56" t="s">
        <v>58</v>
      </c>
      <c r="M194" s="56" t="s">
        <v>59</v>
      </c>
      <c r="N194" s="8">
        <f t="shared" ref="N194:N257" si="3">F194+G194+H194</f>
        <v>1725</v>
      </c>
    </row>
    <row r="195" spans="1:14">
      <c r="A195" s="56" t="s">
        <v>234</v>
      </c>
      <c r="B195" s="56" t="s">
        <v>24</v>
      </c>
      <c r="C195" s="57">
        <v>45422</v>
      </c>
      <c r="D195" s="56" t="s">
        <v>25</v>
      </c>
      <c r="E195" s="56" t="s">
        <v>20</v>
      </c>
      <c r="F195" s="58">
        <v>2784</v>
      </c>
      <c r="G195" s="58">
        <v>111</v>
      </c>
      <c r="H195" s="58">
        <v>399</v>
      </c>
      <c r="I195" s="58">
        <v>58366</v>
      </c>
      <c r="J195" s="58">
        <v>69512</v>
      </c>
      <c r="K195" s="58">
        <v>269</v>
      </c>
      <c r="L195" s="56" t="s">
        <v>27</v>
      </c>
      <c r="M195" s="56" t="s">
        <v>18</v>
      </c>
      <c r="N195" s="8">
        <f t="shared" si="3"/>
        <v>3294</v>
      </c>
    </row>
    <row r="196" spans="1:14">
      <c r="A196" s="56" t="s">
        <v>235</v>
      </c>
      <c r="B196" s="56" t="s">
        <v>397</v>
      </c>
      <c r="C196" s="57">
        <v>45305</v>
      </c>
      <c r="D196" s="56" t="s">
        <v>15</v>
      </c>
      <c r="E196" s="56" t="s">
        <v>26</v>
      </c>
      <c r="F196" s="58">
        <v>3634</v>
      </c>
      <c r="G196" s="58">
        <v>280</v>
      </c>
      <c r="H196" s="58">
        <v>399</v>
      </c>
      <c r="I196" s="58">
        <v>40256</v>
      </c>
      <c r="J196" s="58">
        <v>52605</v>
      </c>
      <c r="K196" s="58">
        <v>213</v>
      </c>
      <c r="L196" s="56" t="s">
        <v>33</v>
      </c>
      <c r="M196" s="56" t="s">
        <v>22</v>
      </c>
      <c r="N196" s="8">
        <f t="shared" si="3"/>
        <v>4313</v>
      </c>
    </row>
    <row r="197" spans="1:14">
      <c r="A197" s="56" t="s">
        <v>236</v>
      </c>
      <c r="B197" s="56" t="s">
        <v>14</v>
      </c>
      <c r="C197" s="57">
        <v>45669</v>
      </c>
      <c r="D197" s="56" t="s">
        <v>15</v>
      </c>
      <c r="E197" s="56" t="s">
        <v>49</v>
      </c>
      <c r="F197" s="58">
        <v>1771</v>
      </c>
      <c r="G197" s="58">
        <v>487</v>
      </c>
      <c r="H197" s="58">
        <v>272</v>
      </c>
      <c r="I197" s="58">
        <v>48810</v>
      </c>
      <c r="J197" s="58">
        <v>48084</v>
      </c>
      <c r="K197" s="58">
        <v>272</v>
      </c>
      <c r="L197" s="56" t="s">
        <v>17</v>
      </c>
      <c r="M197" s="56" t="s">
        <v>18</v>
      </c>
      <c r="N197" s="8">
        <f t="shared" si="3"/>
        <v>2530</v>
      </c>
    </row>
    <row r="198" spans="1:14">
      <c r="A198" s="56" t="s">
        <v>237</v>
      </c>
      <c r="B198" s="56" t="s">
        <v>397</v>
      </c>
      <c r="C198" s="57">
        <v>45634</v>
      </c>
      <c r="D198" s="56" t="s">
        <v>15</v>
      </c>
      <c r="E198" s="56" t="s">
        <v>41</v>
      </c>
      <c r="F198" s="58">
        <v>1424</v>
      </c>
      <c r="G198" s="58">
        <v>396</v>
      </c>
      <c r="H198" s="58">
        <v>312</v>
      </c>
      <c r="I198" s="58">
        <v>59517</v>
      </c>
      <c r="J198" s="58">
        <v>46102</v>
      </c>
      <c r="K198" s="58">
        <v>239</v>
      </c>
      <c r="L198" s="56" t="s">
        <v>33</v>
      </c>
      <c r="M198" s="56" t="s">
        <v>22</v>
      </c>
      <c r="N198" s="8">
        <f t="shared" si="3"/>
        <v>2132</v>
      </c>
    </row>
    <row r="199" spans="1:14">
      <c r="A199" s="56" t="s">
        <v>238</v>
      </c>
      <c r="B199" s="56" t="s">
        <v>24</v>
      </c>
      <c r="C199" s="57">
        <v>45689</v>
      </c>
      <c r="D199" s="56" t="s">
        <v>25</v>
      </c>
      <c r="E199" s="56" t="s">
        <v>41</v>
      </c>
      <c r="F199" s="58">
        <v>1079</v>
      </c>
      <c r="G199" s="58">
        <v>265</v>
      </c>
      <c r="H199" s="58">
        <v>190</v>
      </c>
      <c r="I199" s="58">
        <v>43786</v>
      </c>
      <c r="J199" s="58">
        <v>72428</v>
      </c>
      <c r="K199" s="58">
        <v>222</v>
      </c>
      <c r="L199" s="56" t="s">
        <v>17</v>
      </c>
      <c r="M199" s="56" t="s">
        <v>18</v>
      </c>
      <c r="N199" s="8">
        <f t="shared" si="3"/>
        <v>1534</v>
      </c>
    </row>
    <row r="200" spans="1:14">
      <c r="A200" s="56" t="s">
        <v>239</v>
      </c>
      <c r="B200" s="56" t="s">
        <v>24</v>
      </c>
      <c r="C200" s="57">
        <v>45484</v>
      </c>
      <c r="D200" s="56" t="s">
        <v>25</v>
      </c>
      <c r="E200" s="56" t="s">
        <v>37</v>
      </c>
      <c r="F200" s="58">
        <v>4247</v>
      </c>
      <c r="G200" s="58">
        <v>179</v>
      </c>
      <c r="H200" s="58">
        <v>175</v>
      </c>
      <c r="I200" s="58">
        <v>32991</v>
      </c>
      <c r="J200" s="58">
        <v>70120</v>
      </c>
      <c r="K200" s="58">
        <v>276</v>
      </c>
      <c r="L200" s="56" t="s">
        <v>17</v>
      </c>
      <c r="M200" s="56" t="s">
        <v>18</v>
      </c>
      <c r="N200" s="8">
        <f t="shared" si="3"/>
        <v>4601</v>
      </c>
    </row>
    <row r="201" spans="1:14">
      <c r="A201" s="56" t="s">
        <v>240</v>
      </c>
      <c r="B201" s="56" t="s">
        <v>24</v>
      </c>
      <c r="C201" s="57">
        <v>45369</v>
      </c>
      <c r="D201" s="56" t="s">
        <v>15</v>
      </c>
      <c r="E201" s="56" t="s">
        <v>26</v>
      </c>
      <c r="F201" s="58">
        <v>2033</v>
      </c>
      <c r="G201" s="58">
        <v>420</v>
      </c>
      <c r="H201" s="58">
        <v>94</v>
      </c>
      <c r="I201" s="58">
        <v>56290</v>
      </c>
      <c r="J201" s="58">
        <v>57391</v>
      </c>
      <c r="K201" s="58">
        <v>196</v>
      </c>
      <c r="L201" s="56" t="s">
        <v>42</v>
      </c>
      <c r="M201" s="56" t="s">
        <v>18</v>
      </c>
      <c r="N201" s="8">
        <f t="shared" si="3"/>
        <v>2547</v>
      </c>
    </row>
    <row r="202" spans="1:14">
      <c r="A202" s="56" t="s">
        <v>241</v>
      </c>
      <c r="B202" s="56" t="s">
        <v>24</v>
      </c>
      <c r="C202" s="57">
        <v>45547</v>
      </c>
      <c r="D202" s="56" t="s">
        <v>25</v>
      </c>
      <c r="E202" s="56" t="s">
        <v>29</v>
      </c>
      <c r="F202" s="58">
        <v>1839</v>
      </c>
      <c r="G202" s="58">
        <v>223</v>
      </c>
      <c r="H202" s="58">
        <v>171</v>
      </c>
      <c r="I202" s="58">
        <v>35459</v>
      </c>
      <c r="J202" s="58">
        <v>69988</v>
      </c>
      <c r="K202" s="58">
        <v>114</v>
      </c>
      <c r="L202" s="56" t="s">
        <v>27</v>
      </c>
      <c r="M202" s="56" t="s">
        <v>18</v>
      </c>
      <c r="N202" s="8">
        <f t="shared" si="3"/>
        <v>2233</v>
      </c>
    </row>
    <row r="203" spans="1:14">
      <c r="A203" s="56" t="s">
        <v>242</v>
      </c>
      <c r="B203" s="56" t="s">
        <v>24</v>
      </c>
      <c r="C203" s="57">
        <v>45302</v>
      </c>
      <c r="D203" s="56" t="s">
        <v>25</v>
      </c>
      <c r="E203" s="56" t="s">
        <v>29</v>
      </c>
      <c r="F203" s="58">
        <v>2340</v>
      </c>
      <c r="G203" s="58">
        <v>141</v>
      </c>
      <c r="H203" s="58">
        <v>206</v>
      </c>
      <c r="I203" s="58">
        <v>24916</v>
      </c>
      <c r="J203" s="58">
        <v>30582</v>
      </c>
      <c r="K203" s="58">
        <v>157</v>
      </c>
      <c r="L203" s="56" t="s">
        <v>17</v>
      </c>
      <c r="M203" s="56" t="s">
        <v>18</v>
      </c>
      <c r="N203" s="8">
        <f t="shared" si="3"/>
        <v>2687</v>
      </c>
    </row>
    <row r="204" spans="1:14">
      <c r="A204" s="56" t="s">
        <v>243</v>
      </c>
      <c r="B204" s="56" t="s">
        <v>14</v>
      </c>
      <c r="C204" s="57">
        <v>45571</v>
      </c>
      <c r="D204" s="56" t="s">
        <v>15</v>
      </c>
      <c r="E204" s="56" t="s">
        <v>41</v>
      </c>
      <c r="F204" s="58">
        <v>2080</v>
      </c>
      <c r="G204" s="58">
        <v>389</v>
      </c>
      <c r="H204" s="58">
        <v>92</v>
      </c>
      <c r="I204" s="58">
        <v>30971</v>
      </c>
      <c r="J204" s="58">
        <v>25347</v>
      </c>
      <c r="K204" s="58">
        <v>111</v>
      </c>
      <c r="L204" s="56" t="s">
        <v>21</v>
      </c>
      <c r="M204" s="56" t="s">
        <v>22</v>
      </c>
      <c r="N204" s="8">
        <f t="shared" si="3"/>
        <v>2561</v>
      </c>
    </row>
    <row r="205" spans="1:14">
      <c r="A205" s="56" t="s">
        <v>244</v>
      </c>
      <c r="B205" s="56" t="s">
        <v>24</v>
      </c>
      <c r="C205" s="57">
        <v>45656</v>
      </c>
      <c r="D205" s="56" t="s">
        <v>15</v>
      </c>
      <c r="E205" s="56" t="s">
        <v>37</v>
      </c>
      <c r="F205" s="58">
        <v>4214</v>
      </c>
      <c r="G205" s="58">
        <v>286</v>
      </c>
      <c r="H205" s="58">
        <v>127</v>
      </c>
      <c r="I205" s="58">
        <v>47293</v>
      </c>
      <c r="J205" s="58">
        <v>27184</v>
      </c>
      <c r="K205" s="58">
        <v>232</v>
      </c>
      <c r="L205" s="56" t="s">
        <v>42</v>
      </c>
      <c r="M205" s="56" t="s">
        <v>18</v>
      </c>
      <c r="N205" s="8">
        <f t="shared" si="3"/>
        <v>4627</v>
      </c>
    </row>
    <row r="206" spans="1:14">
      <c r="A206" s="56" t="s">
        <v>245</v>
      </c>
      <c r="B206" s="56" t="s">
        <v>24</v>
      </c>
      <c r="C206" s="57">
        <v>45763</v>
      </c>
      <c r="D206" s="56" t="s">
        <v>15</v>
      </c>
      <c r="E206" s="56" t="s">
        <v>29</v>
      </c>
      <c r="F206" s="58">
        <v>3792</v>
      </c>
      <c r="G206" s="58">
        <v>315</v>
      </c>
      <c r="H206" s="58">
        <v>120</v>
      </c>
      <c r="I206" s="58">
        <v>54592</v>
      </c>
      <c r="J206" s="58">
        <v>67886</v>
      </c>
      <c r="K206" s="58">
        <v>117</v>
      </c>
      <c r="L206" s="56" t="s">
        <v>45</v>
      </c>
      <c r="M206" s="56" t="s">
        <v>22</v>
      </c>
      <c r="N206" s="8">
        <f t="shared" si="3"/>
        <v>4227</v>
      </c>
    </row>
    <row r="207" spans="1:14">
      <c r="A207" s="56" t="s">
        <v>246</v>
      </c>
      <c r="B207" s="56" t="s">
        <v>24</v>
      </c>
      <c r="C207" s="57">
        <v>45525</v>
      </c>
      <c r="D207" s="56" t="s">
        <v>25</v>
      </c>
      <c r="E207" s="56" t="s">
        <v>20</v>
      </c>
      <c r="F207" s="58">
        <v>3989</v>
      </c>
      <c r="G207" s="58">
        <v>476</v>
      </c>
      <c r="H207" s="58">
        <v>128</v>
      </c>
      <c r="I207" s="58">
        <v>57569</v>
      </c>
      <c r="J207" s="58">
        <v>40193</v>
      </c>
      <c r="K207" s="58">
        <v>222</v>
      </c>
      <c r="L207" s="56" t="s">
        <v>39</v>
      </c>
      <c r="M207" s="56" t="s">
        <v>18</v>
      </c>
      <c r="N207" s="8">
        <f t="shared" si="3"/>
        <v>4593</v>
      </c>
    </row>
    <row r="208" spans="1:14">
      <c r="A208" s="56" t="s">
        <v>247</v>
      </c>
      <c r="B208" s="56" t="s">
        <v>24</v>
      </c>
      <c r="C208" s="57">
        <v>45387</v>
      </c>
      <c r="D208" s="56" t="s">
        <v>25</v>
      </c>
      <c r="E208" s="56" t="s">
        <v>29</v>
      </c>
      <c r="F208" s="58">
        <v>2857</v>
      </c>
      <c r="G208" s="58">
        <v>443</v>
      </c>
      <c r="H208" s="58">
        <v>359</v>
      </c>
      <c r="I208" s="58">
        <v>51519</v>
      </c>
      <c r="J208" s="58">
        <v>28256</v>
      </c>
      <c r="K208" s="58">
        <v>155</v>
      </c>
      <c r="L208" s="56" t="s">
        <v>17</v>
      </c>
      <c r="M208" s="56" t="s">
        <v>18</v>
      </c>
      <c r="N208" s="8">
        <f t="shared" si="3"/>
        <v>3659</v>
      </c>
    </row>
    <row r="209" spans="1:14">
      <c r="A209" s="56" t="s">
        <v>248</v>
      </c>
      <c r="B209" s="56" t="s">
        <v>24</v>
      </c>
      <c r="C209" s="57">
        <v>45754</v>
      </c>
      <c r="D209" s="56" t="s">
        <v>15</v>
      </c>
      <c r="E209" s="56" t="s">
        <v>49</v>
      </c>
      <c r="F209" s="58">
        <v>1403</v>
      </c>
      <c r="G209" s="58">
        <v>385</v>
      </c>
      <c r="H209" s="58">
        <v>344</v>
      </c>
      <c r="I209" s="58">
        <v>54223</v>
      </c>
      <c r="J209" s="58">
        <v>72595</v>
      </c>
      <c r="K209" s="58">
        <v>239</v>
      </c>
      <c r="L209" s="56" t="s">
        <v>45</v>
      </c>
      <c r="M209" s="56" t="s">
        <v>22</v>
      </c>
      <c r="N209" s="8">
        <f t="shared" si="3"/>
        <v>2132</v>
      </c>
    </row>
    <row r="210" spans="1:14">
      <c r="A210" s="56" t="s">
        <v>249</v>
      </c>
      <c r="B210" s="56" t="s">
        <v>24</v>
      </c>
      <c r="C210" s="57">
        <v>45492</v>
      </c>
      <c r="D210" s="56" t="s">
        <v>25</v>
      </c>
      <c r="E210" s="56" t="s">
        <v>35</v>
      </c>
      <c r="F210" s="58">
        <v>3071</v>
      </c>
      <c r="G210" s="58">
        <v>126</v>
      </c>
      <c r="H210" s="58">
        <v>200</v>
      </c>
      <c r="I210" s="58">
        <v>44013</v>
      </c>
      <c r="J210" s="58">
        <v>44679</v>
      </c>
      <c r="K210" s="58">
        <v>118</v>
      </c>
      <c r="L210" s="56" t="s">
        <v>39</v>
      </c>
      <c r="M210" s="56" t="s">
        <v>18</v>
      </c>
      <c r="N210" s="8">
        <f t="shared" si="3"/>
        <v>3397</v>
      </c>
    </row>
    <row r="211" spans="1:14">
      <c r="A211" s="56" t="s">
        <v>250</v>
      </c>
      <c r="B211" s="56" t="s">
        <v>24</v>
      </c>
      <c r="C211" s="57">
        <v>45780</v>
      </c>
      <c r="D211" s="56" t="s">
        <v>25</v>
      </c>
      <c r="E211" s="56" t="s">
        <v>41</v>
      </c>
      <c r="F211" s="58">
        <v>1010</v>
      </c>
      <c r="G211" s="58">
        <v>361</v>
      </c>
      <c r="H211" s="58">
        <v>240</v>
      </c>
      <c r="I211" s="58">
        <v>47229</v>
      </c>
      <c r="J211" s="58">
        <v>72573</v>
      </c>
      <c r="K211" s="58">
        <v>275</v>
      </c>
      <c r="L211" s="56" t="s">
        <v>17</v>
      </c>
      <c r="M211" s="56" t="s">
        <v>18</v>
      </c>
      <c r="N211" s="8">
        <f t="shared" si="3"/>
        <v>1611</v>
      </c>
    </row>
    <row r="212" spans="1:14">
      <c r="A212" s="56" t="s">
        <v>251</v>
      </c>
      <c r="B212" s="56" t="s">
        <v>24</v>
      </c>
      <c r="C212" s="57">
        <v>45396</v>
      </c>
      <c r="D212" s="56" t="s">
        <v>25</v>
      </c>
      <c r="E212" s="56" t="s">
        <v>16</v>
      </c>
      <c r="F212" s="58">
        <v>1295</v>
      </c>
      <c r="G212" s="58">
        <v>153</v>
      </c>
      <c r="H212" s="58">
        <v>81</v>
      </c>
      <c r="I212" s="58">
        <v>48350</v>
      </c>
      <c r="J212" s="58">
        <v>61033</v>
      </c>
      <c r="K212" s="58">
        <v>232</v>
      </c>
      <c r="L212" s="56" t="s">
        <v>39</v>
      </c>
      <c r="M212" s="56" t="s">
        <v>18</v>
      </c>
      <c r="N212" s="8">
        <f t="shared" si="3"/>
        <v>1529</v>
      </c>
    </row>
    <row r="213" spans="1:14">
      <c r="A213" s="56" t="s">
        <v>252</v>
      </c>
      <c r="B213" s="56" t="s">
        <v>24</v>
      </c>
      <c r="C213" s="57">
        <v>45827</v>
      </c>
      <c r="D213" s="56" t="s">
        <v>25</v>
      </c>
      <c r="E213" s="56" t="s">
        <v>35</v>
      </c>
      <c r="F213" s="58">
        <v>1433</v>
      </c>
      <c r="G213" s="58">
        <v>452</v>
      </c>
      <c r="H213" s="58">
        <v>305</v>
      </c>
      <c r="I213" s="58">
        <v>54541</v>
      </c>
      <c r="J213" s="58">
        <v>63700</v>
      </c>
      <c r="K213" s="58">
        <v>296</v>
      </c>
      <c r="L213" s="56" t="s">
        <v>39</v>
      </c>
      <c r="M213" s="56" t="s">
        <v>18</v>
      </c>
      <c r="N213" s="8">
        <f t="shared" si="3"/>
        <v>2190</v>
      </c>
    </row>
    <row r="214" spans="1:14">
      <c r="A214" s="56" t="s">
        <v>253</v>
      </c>
      <c r="B214" s="56" t="s">
        <v>14</v>
      </c>
      <c r="C214" s="57">
        <v>45832</v>
      </c>
      <c r="D214" s="56" t="s">
        <v>25</v>
      </c>
      <c r="E214" s="56" t="s">
        <v>37</v>
      </c>
      <c r="F214" s="58">
        <v>4902</v>
      </c>
      <c r="G214" s="58">
        <v>422</v>
      </c>
      <c r="H214" s="58">
        <v>376</v>
      </c>
      <c r="I214" s="58">
        <v>31674</v>
      </c>
      <c r="J214" s="58">
        <v>53225</v>
      </c>
      <c r="K214" s="58">
        <v>147</v>
      </c>
      <c r="L214" s="56" t="s">
        <v>42</v>
      </c>
      <c r="M214" s="56" t="s">
        <v>55</v>
      </c>
      <c r="N214" s="8">
        <f t="shared" si="3"/>
        <v>5700</v>
      </c>
    </row>
    <row r="215" spans="1:14">
      <c r="A215" s="56" t="s">
        <v>254</v>
      </c>
      <c r="B215" s="56" t="s">
        <v>24</v>
      </c>
      <c r="C215" s="57">
        <v>45574</v>
      </c>
      <c r="D215" s="56" t="s">
        <v>15</v>
      </c>
      <c r="E215" s="56" t="s">
        <v>29</v>
      </c>
      <c r="F215" s="58">
        <v>2659</v>
      </c>
      <c r="G215" s="58">
        <v>167</v>
      </c>
      <c r="H215" s="58">
        <v>73</v>
      </c>
      <c r="I215" s="58">
        <v>23090</v>
      </c>
      <c r="J215" s="58">
        <v>25872</v>
      </c>
      <c r="K215" s="58">
        <v>293</v>
      </c>
      <c r="L215" s="56" t="s">
        <v>45</v>
      </c>
      <c r="M215" s="56" t="s">
        <v>22</v>
      </c>
      <c r="N215" s="8">
        <f t="shared" si="3"/>
        <v>2899</v>
      </c>
    </row>
    <row r="216" spans="1:14">
      <c r="A216" s="56" t="s">
        <v>255</v>
      </c>
      <c r="B216" s="56" t="s">
        <v>397</v>
      </c>
      <c r="C216" s="57">
        <v>45672</v>
      </c>
      <c r="D216" s="56" t="s">
        <v>15</v>
      </c>
      <c r="E216" s="56" t="s">
        <v>51</v>
      </c>
      <c r="F216" s="58">
        <v>2599</v>
      </c>
      <c r="G216" s="58">
        <v>324</v>
      </c>
      <c r="H216" s="58">
        <v>182</v>
      </c>
      <c r="I216" s="58">
        <v>37525</v>
      </c>
      <c r="J216" s="58">
        <v>37216</v>
      </c>
      <c r="K216" s="58">
        <v>186</v>
      </c>
      <c r="L216" s="56" t="s">
        <v>33</v>
      </c>
      <c r="M216" s="56" t="s">
        <v>22</v>
      </c>
      <c r="N216" s="8">
        <f t="shared" si="3"/>
        <v>3105</v>
      </c>
    </row>
    <row r="217" spans="1:14">
      <c r="A217" s="56" t="s">
        <v>256</v>
      </c>
      <c r="B217" s="56" t="s">
        <v>24</v>
      </c>
      <c r="C217" s="57">
        <v>45669</v>
      </c>
      <c r="D217" s="56" t="s">
        <v>15</v>
      </c>
      <c r="E217" s="56" t="s">
        <v>32</v>
      </c>
      <c r="F217" s="58">
        <v>1765</v>
      </c>
      <c r="G217" s="58">
        <v>285</v>
      </c>
      <c r="H217" s="58">
        <v>100</v>
      </c>
      <c r="I217" s="58">
        <v>41313</v>
      </c>
      <c r="J217" s="58">
        <v>56575</v>
      </c>
      <c r="K217" s="58">
        <v>174</v>
      </c>
      <c r="L217" s="56" t="s">
        <v>45</v>
      </c>
      <c r="M217" s="56" t="s">
        <v>22</v>
      </c>
      <c r="N217" s="8">
        <f t="shared" si="3"/>
        <v>2150</v>
      </c>
    </row>
    <row r="218" spans="1:14">
      <c r="A218" s="56" t="s">
        <v>257</v>
      </c>
      <c r="B218" s="56" t="s">
        <v>14</v>
      </c>
      <c r="C218" s="57">
        <v>45808</v>
      </c>
      <c r="D218" s="56" t="s">
        <v>15</v>
      </c>
      <c r="E218" s="56" t="s">
        <v>35</v>
      </c>
      <c r="F218" s="58">
        <v>2169</v>
      </c>
      <c r="G218" s="58">
        <v>240</v>
      </c>
      <c r="H218" s="58">
        <v>57</v>
      </c>
      <c r="I218" s="58">
        <v>26109</v>
      </c>
      <c r="J218" s="58">
        <v>46667</v>
      </c>
      <c r="K218" s="58">
        <v>133</v>
      </c>
      <c r="L218" s="56" t="s">
        <v>17</v>
      </c>
      <c r="M218" s="56" t="s">
        <v>18</v>
      </c>
      <c r="N218" s="8">
        <f t="shared" si="3"/>
        <v>2466</v>
      </c>
    </row>
    <row r="219" spans="1:14">
      <c r="A219" s="56" t="s">
        <v>258</v>
      </c>
      <c r="B219" s="56" t="s">
        <v>24</v>
      </c>
      <c r="C219" s="57">
        <v>45579</v>
      </c>
      <c r="D219" s="56" t="s">
        <v>25</v>
      </c>
      <c r="E219" s="56" t="s">
        <v>20</v>
      </c>
      <c r="F219" s="58">
        <v>4303</v>
      </c>
      <c r="G219" s="58">
        <v>306</v>
      </c>
      <c r="H219" s="58">
        <v>302</v>
      </c>
      <c r="I219" s="58">
        <v>39575</v>
      </c>
      <c r="J219" s="58">
        <v>33762</v>
      </c>
      <c r="K219" s="58">
        <v>265</v>
      </c>
      <c r="L219" s="56" t="s">
        <v>39</v>
      </c>
      <c r="M219" s="56" t="s">
        <v>18</v>
      </c>
      <c r="N219" s="8">
        <f t="shared" si="3"/>
        <v>4911</v>
      </c>
    </row>
    <row r="220" spans="1:14">
      <c r="A220" s="56" t="s">
        <v>259</v>
      </c>
      <c r="B220" s="56" t="s">
        <v>24</v>
      </c>
      <c r="C220" s="57">
        <v>45332</v>
      </c>
      <c r="D220" s="56" t="s">
        <v>15</v>
      </c>
      <c r="E220" s="56" t="s">
        <v>49</v>
      </c>
      <c r="F220" s="58">
        <v>1519</v>
      </c>
      <c r="G220" s="58">
        <v>456</v>
      </c>
      <c r="H220" s="58">
        <v>379</v>
      </c>
      <c r="I220" s="58">
        <v>51611</v>
      </c>
      <c r="J220" s="58">
        <v>45880</v>
      </c>
      <c r="K220" s="58">
        <v>176</v>
      </c>
      <c r="L220" s="56" t="s">
        <v>45</v>
      </c>
      <c r="M220" s="56" t="s">
        <v>22</v>
      </c>
      <c r="N220" s="8">
        <f t="shared" si="3"/>
        <v>2354</v>
      </c>
    </row>
    <row r="221" spans="1:14">
      <c r="A221" s="56" t="s">
        <v>260</v>
      </c>
      <c r="B221" s="56" t="s">
        <v>397</v>
      </c>
      <c r="C221" s="57">
        <v>45636</v>
      </c>
      <c r="D221" s="56" t="s">
        <v>15</v>
      </c>
      <c r="E221" s="56" t="s">
        <v>35</v>
      </c>
      <c r="F221" s="58">
        <v>2569</v>
      </c>
      <c r="G221" s="58">
        <v>140</v>
      </c>
      <c r="H221" s="58">
        <v>375</v>
      </c>
      <c r="I221" s="58">
        <v>38372</v>
      </c>
      <c r="J221" s="58">
        <v>22102</v>
      </c>
      <c r="K221" s="58">
        <v>255</v>
      </c>
      <c r="L221" s="56" t="s">
        <v>33</v>
      </c>
      <c r="M221" s="56" t="s">
        <v>22</v>
      </c>
      <c r="N221" s="8">
        <f t="shared" si="3"/>
        <v>3084</v>
      </c>
    </row>
    <row r="222" spans="1:14">
      <c r="A222" s="56" t="s">
        <v>261</v>
      </c>
      <c r="B222" s="56" t="s">
        <v>24</v>
      </c>
      <c r="C222" s="57">
        <v>45786</v>
      </c>
      <c r="D222" s="56" t="s">
        <v>25</v>
      </c>
      <c r="E222" s="56" t="s">
        <v>32</v>
      </c>
      <c r="F222" s="58">
        <v>2778</v>
      </c>
      <c r="G222" s="58">
        <v>241</v>
      </c>
      <c r="H222" s="58">
        <v>317</v>
      </c>
      <c r="I222" s="58">
        <v>26247</v>
      </c>
      <c r="J222" s="58">
        <v>20677</v>
      </c>
      <c r="K222" s="58">
        <v>282</v>
      </c>
      <c r="L222" s="56" t="s">
        <v>27</v>
      </c>
      <c r="M222" s="56" t="s">
        <v>18</v>
      </c>
      <c r="N222" s="8">
        <f t="shared" si="3"/>
        <v>3336</v>
      </c>
    </row>
    <row r="223" spans="1:14">
      <c r="A223" s="56" t="s">
        <v>262</v>
      </c>
      <c r="B223" s="56" t="s">
        <v>24</v>
      </c>
      <c r="C223" s="57">
        <v>45829</v>
      </c>
      <c r="D223" s="56" t="s">
        <v>15</v>
      </c>
      <c r="E223" s="56" t="s">
        <v>20</v>
      </c>
      <c r="F223" s="58">
        <v>3611</v>
      </c>
      <c r="G223" s="58">
        <v>127</v>
      </c>
      <c r="H223" s="58">
        <v>139</v>
      </c>
      <c r="I223" s="58">
        <v>44768</v>
      </c>
      <c r="J223" s="58">
        <v>29435</v>
      </c>
      <c r="K223" s="58">
        <v>178</v>
      </c>
      <c r="L223" s="56" t="s">
        <v>42</v>
      </c>
      <c r="M223" s="56" t="s">
        <v>18</v>
      </c>
      <c r="N223" s="8">
        <f t="shared" si="3"/>
        <v>3877</v>
      </c>
    </row>
    <row r="224" spans="1:14">
      <c r="A224" s="56" t="s">
        <v>263</v>
      </c>
      <c r="B224" s="56" t="s">
        <v>24</v>
      </c>
      <c r="C224" s="57">
        <v>45462</v>
      </c>
      <c r="D224" s="56" t="s">
        <v>15</v>
      </c>
      <c r="E224" s="56" t="s">
        <v>35</v>
      </c>
      <c r="F224" s="58">
        <v>1224</v>
      </c>
      <c r="G224" s="58">
        <v>168</v>
      </c>
      <c r="H224" s="58">
        <v>199</v>
      </c>
      <c r="I224" s="58">
        <v>54232</v>
      </c>
      <c r="J224" s="58">
        <v>52844</v>
      </c>
      <c r="K224" s="58">
        <v>271</v>
      </c>
      <c r="L224" s="56" t="s">
        <v>45</v>
      </c>
      <c r="M224" s="56" t="s">
        <v>22</v>
      </c>
      <c r="N224" s="8">
        <f t="shared" si="3"/>
        <v>1591</v>
      </c>
    </row>
    <row r="225" spans="1:14">
      <c r="A225" s="56" t="s">
        <v>264</v>
      </c>
      <c r="B225" s="56" t="s">
        <v>24</v>
      </c>
      <c r="C225" s="57">
        <v>45636</v>
      </c>
      <c r="D225" s="56" t="s">
        <v>15</v>
      </c>
      <c r="E225" s="56" t="s">
        <v>49</v>
      </c>
      <c r="F225" s="58">
        <v>4673</v>
      </c>
      <c r="G225" s="58">
        <v>270</v>
      </c>
      <c r="H225" s="58">
        <v>93</v>
      </c>
      <c r="I225" s="58">
        <v>45260</v>
      </c>
      <c r="J225" s="58">
        <v>57513</v>
      </c>
      <c r="K225" s="58">
        <v>103</v>
      </c>
      <c r="L225" s="56" t="s">
        <v>42</v>
      </c>
      <c r="M225" s="56" t="s">
        <v>18</v>
      </c>
      <c r="N225" s="8">
        <f t="shared" si="3"/>
        <v>5036</v>
      </c>
    </row>
    <row r="226" spans="1:14">
      <c r="A226" s="56" t="s">
        <v>265</v>
      </c>
      <c r="B226" s="56" t="s">
        <v>397</v>
      </c>
      <c r="C226" s="57">
        <v>45323</v>
      </c>
      <c r="D226" s="56" t="s">
        <v>15</v>
      </c>
      <c r="E226" s="56" t="s">
        <v>29</v>
      </c>
      <c r="F226" s="58">
        <v>1432</v>
      </c>
      <c r="G226" s="58">
        <v>437</v>
      </c>
      <c r="H226" s="58">
        <v>267</v>
      </c>
      <c r="I226" s="58">
        <v>40634</v>
      </c>
      <c r="J226" s="58">
        <v>54511</v>
      </c>
      <c r="K226" s="58">
        <v>197</v>
      </c>
      <c r="L226" s="56" t="s">
        <v>33</v>
      </c>
      <c r="M226" s="56" t="s">
        <v>22</v>
      </c>
      <c r="N226" s="8">
        <f t="shared" si="3"/>
        <v>2136</v>
      </c>
    </row>
    <row r="227" spans="1:14">
      <c r="A227" s="56" t="s">
        <v>266</v>
      </c>
      <c r="B227" s="56" t="s">
        <v>24</v>
      </c>
      <c r="C227" s="57">
        <v>45308</v>
      </c>
      <c r="D227" s="56" t="s">
        <v>25</v>
      </c>
      <c r="E227" s="56" t="s">
        <v>26</v>
      </c>
      <c r="F227" s="58">
        <v>2174</v>
      </c>
      <c r="G227" s="58">
        <v>499</v>
      </c>
      <c r="H227" s="58">
        <v>212</v>
      </c>
      <c r="I227" s="58">
        <v>54938</v>
      </c>
      <c r="J227" s="58">
        <v>27190</v>
      </c>
      <c r="K227" s="58">
        <v>265</v>
      </c>
      <c r="L227" s="56" t="s">
        <v>27</v>
      </c>
      <c r="M227" s="56" t="s">
        <v>18</v>
      </c>
      <c r="N227" s="8">
        <f t="shared" si="3"/>
        <v>2885</v>
      </c>
    </row>
    <row r="228" spans="1:14">
      <c r="A228" s="56" t="s">
        <v>267</v>
      </c>
      <c r="B228" s="56" t="s">
        <v>397</v>
      </c>
      <c r="C228" s="57">
        <v>45738</v>
      </c>
      <c r="D228" s="56" t="s">
        <v>15</v>
      </c>
      <c r="E228" s="56" t="s">
        <v>32</v>
      </c>
      <c r="F228" s="58">
        <v>4308</v>
      </c>
      <c r="G228" s="58">
        <v>171</v>
      </c>
      <c r="H228" s="58">
        <v>106</v>
      </c>
      <c r="I228" s="58">
        <v>36955</v>
      </c>
      <c r="J228" s="58">
        <v>23949</v>
      </c>
      <c r="K228" s="58">
        <v>294</v>
      </c>
      <c r="L228" s="56" t="s">
        <v>33</v>
      </c>
      <c r="M228" s="56" t="s">
        <v>22</v>
      </c>
      <c r="N228" s="8">
        <f t="shared" si="3"/>
        <v>4585</v>
      </c>
    </row>
    <row r="229" spans="1:14">
      <c r="A229" s="56" t="s">
        <v>268</v>
      </c>
      <c r="B229" s="56" t="s">
        <v>397</v>
      </c>
      <c r="C229" s="57">
        <v>45442</v>
      </c>
      <c r="D229" s="56" t="s">
        <v>57</v>
      </c>
      <c r="E229" s="56" t="s">
        <v>35</v>
      </c>
      <c r="F229" s="58">
        <v>1060</v>
      </c>
      <c r="G229" s="58">
        <v>442</v>
      </c>
      <c r="H229" s="58">
        <v>319</v>
      </c>
      <c r="I229" s="58">
        <v>57194</v>
      </c>
      <c r="J229" s="58">
        <v>24258</v>
      </c>
      <c r="K229" s="58">
        <v>101</v>
      </c>
      <c r="L229" s="56" t="s">
        <v>58</v>
      </c>
      <c r="M229" s="56" t="s">
        <v>59</v>
      </c>
      <c r="N229" s="8">
        <f t="shared" si="3"/>
        <v>1821</v>
      </c>
    </row>
    <row r="230" spans="1:14">
      <c r="A230" s="56" t="s">
        <v>269</v>
      </c>
      <c r="B230" s="56" t="s">
        <v>397</v>
      </c>
      <c r="C230" s="57">
        <v>45346</v>
      </c>
      <c r="D230" s="56" t="s">
        <v>15</v>
      </c>
      <c r="E230" s="56" t="s">
        <v>32</v>
      </c>
      <c r="F230" s="58">
        <v>4653</v>
      </c>
      <c r="G230" s="58">
        <v>226</v>
      </c>
      <c r="H230" s="58">
        <v>349</v>
      </c>
      <c r="I230" s="58">
        <v>56876</v>
      </c>
      <c r="J230" s="58">
        <v>28452</v>
      </c>
      <c r="K230" s="58">
        <v>257</v>
      </c>
      <c r="L230" s="56" t="s">
        <v>33</v>
      </c>
      <c r="M230" s="56" t="s">
        <v>22</v>
      </c>
      <c r="N230" s="8">
        <f t="shared" si="3"/>
        <v>5228</v>
      </c>
    </row>
    <row r="231" spans="1:14">
      <c r="A231" s="56" t="s">
        <v>270</v>
      </c>
      <c r="B231" s="56" t="s">
        <v>397</v>
      </c>
      <c r="C231" s="57">
        <v>45791</v>
      </c>
      <c r="D231" s="56" t="s">
        <v>15</v>
      </c>
      <c r="E231" s="56" t="s">
        <v>16</v>
      </c>
      <c r="F231" s="58">
        <v>1701</v>
      </c>
      <c r="G231" s="58">
        <v>272</v>
      </c>
      <c r="H231" s="58">
        <v>385</v>
      </c>
      <c r="I231" s="58">
        <v>47496</v>
      </c>
      <c r="J231" s="58">
        <v>40832</v>
      </c>
      <c r="K231" s="58">
        <v>246</v>
      </c>
      <c r="L231" s="56" t="s">
        <v>33</v>
      </c>
      <c r="M231" s="56" t="s">
        <v>22</v>
      </c>
      <c r="N231" s="8">
        <f t="shared" si="3"/>
        <v>2358</v>
      </c>
    </row>
    <row r="232" spans="1:14">
      <c r="A232" s="56" t="s">
        <v>271</v>
      </c>
      <c r="B232" s="56" t="s">
        <v>14</v>
      </c>
      <c r="C232" s="57">
        <v>45379</v>
      </c>
      <c r="D232" s="56" t="s">
        <v>15</v>
      </c>
      <c r="E232" s="56" t="s">
        <v>35</v>
      </c>
      <c r="F232" s="58">
        <v>1673</v>
      </c>
      <c r="G232" s="58">
        <v>280</v>
      </c>
      <c r="H232" s="58">
        <v>67</v>
      </c>
      <c r="I232" s="58">
        <v>29847</v>
      </c>
      <c r="J232" s="58">
        <v>48016</v>
      </c>
      <c r="K232" s="58">
        <v>213</v>
      </c>
      <c r="L232" s="56" t="s">
        <v>17</v>
      </c>
      <c r="M232" s="56" t="s">
        <v>18</v>
      </c>
      <c r="N232" s="8">
        <f t="shared" si="3"/>
        <v>2020</v>
      </c>
    </row>
    <row r="233" spans="1:14">
      <c r="A233" s="56" t="s">
        <v>272</v>
      </c>
      <c r="B233" s="56" t="s">
        <v>397</v>
      </c>
      <c r="C233" s="57">
        <v>45723</v>
      </c>
      <c r="D233" s="56" t="s">
        <v>15</v>
      </c>
      <c r="E233" s="56" t="s">
        <v>41</v>
      </c>
      <c r="F233" s="58">
        <v>4310</v>
      </c>
      <c r="G233" s="58">
        <v>284</v>
      </c>
      <c r="H233" s="58">
        <v>306</v>
      </c>
      <c r="I233" s="58">
        <v>44606</v>
      </c>
      <c r="J233" s="58">
        <v>42604</v>
      </c>
      <c r="K233" s="58">
        <v>290</v>
      </c>
      <c r="L233" s="56" t="s">
        <v>33</v>
      </c>
      <c r="M233" s="56" t="s">
        <v>22</v>
      </c>
      <c r="N233" s="8">
        <f t="shared" si="3"/>
        <v>4900</v>
      </c>
    </row>
    <row r="234" spans="1:14">
      <c r="A234" s="56" t="s">
        <v>273</v>
      </c>
      <c r="B234" s="56" t="s">
        <v>24</v>
      </c>
      <c r="C234" s="57">
        <v>45585</v>
      </c>
      <c r="D234" s="56" t="s">
        <v>15</v>
      </c>
      <c r="E234" s="56" t="s">
        <v>49</v>
      </c>
      <c r="F234" s="58">
        <v>2752</v>
      </c>
      <c r="G234" s="58">
        <v>309</v>
      </c>
      <c r="H234" s="58">
        <v>91</v>
      </c>
      <c r="I234" s="58">
        <v>39038</v>
      </c>
      <c r="J234" s="58">
        <v>28095</v>
      </c>
      <c r="K234" s="58">
        <v>277</v>
      </c>
      <c r="L234" s="56" t="s">
        <v>42</v>
      </c>
      <c r="M234" s="56" t="s">
        <v>18</v>
      </c>
      <c r="N234" s="8">
        <f t="shared" si="3"/>
        <v>3152</v>
      </c>
    </row>
    <row r="235" spans="1:14">
      <c r="A235" s="56" t="s">
        <v>274</v>
      </c>
      <c r="B235" s="56" t="s">
        <v>24</v>
      </c>
      <c r="C235" s="57">
        <v>45324</v>
      </c>
      <c r="D235" s="56" t="s">
        <v>15</v>
      </c>
      <c r="E235" s="56" t="s">
        <v>49</v>
      </c>
      <c r="F235" s="58">
        <v>3818</v>
      </c>
      <c r="G235" s="58">
        <v>115</v>
      </c>
      <c r="H235" s="58">
        <v>286</v>
      </c>
      <c r="I235" s="58">
        <v>25127</v>
      </c>
      <c r="J235" s="58">
        <v>22277</v>
      </c>
      <c r="K235" s="58">
        <v>263</v>
      </c>
      <c r="L235" s="56" t="s">
        <v>42</v>
      </c>
      <c r="M235" s="56" t="s">
        <v>18</v>
      </c>
      <c r="N235" s="8">
        <f t="shared" si="3"/>
        <v>4219</v>
      </c>
    </row>
    <row r="236" spans="1:14">
      <c r="A236" s="56" t="s">
        <v>275</v>
      </c>
      <c r="B236" s="56" t="s">
        <v>397</v>
      </c>
      <c r="C236" s="57">
        <v>45542</v>
      </c>
      <c r="D236" s="56" t="s">
        <v>15</v>
      </c>
      <c r="E236" s="56" t="s">
        <v>51</v>
      </c>
      <c r="F236" s="58">
        <v>2101</v>
      </c>
      <c r="G236" s="58">
        <v>411</v>
      </c>
      <c r="H236" s="58">
        <v>190</v>
      </c>
      <c r="I236" s="58">
        <v>41791</v>
      </c>
      <c r="J236" s="58">
        <v>57090</v>
      </c>
      <c r="K236" s="58">
        <v>172</v>
      </c>
      <c r="L236" s="56" t="s">
        <v>33</v>
      </c>
      <c r="M236" s="56" t="s">
        <v>22</v>
      </c>
      <c r="N236" s="8">
        <f t="shared" si="3"/>
        <v>2702</v>
      </c>
    </row>
    <row r="237" spans="1:14">
      <c r="A237" s="56" t="s">
        <v>276</v>
      </c>
      <c r="B237" s="56" t="s">
        <v>14</v>
      </c>
      <c r="C237" s="57">
        <v>45646</v>
      </c>
      <c r="D237" s="56" t="s">
        <v>15</v>
      </c>
      <c r="E237" s="56" t="s">
        <v>16</v>
      </c>
      <c r="F237" s="58">
        <v>2519</v>
      </c>
      <c r="G237" s="58">
        <v>202</v>
      </c>
      <c r="H237" s="58">
        <v>239</v>
      </c>
      <c r="I237" s="58">
        <v>36245</v>
      </c>
      <c r="J237" s="58">
        <v>48606</v>
      </c>
      <c r="K237" s="58">
        <v>145</v>
      </c>
      <c r="L237" s="56" t="s">
        <v>21</v>
      </c>
      <c r="M237" s="56" t="s">
        <v>22</v>
      </c>
      <c r="N237" s="8">
        <f t="shared" si="3"/>
        <v>2960</v>
      </c>
    </row>
    <row r="238" spans="1:14">
      <c r="A238" s="56" t="s">
        <v>277</v>
      </c>
      <c r="B238" s="56" t="s">
        <v>397</v>
      </c>
      <c r="C238" s="57">
        <v>45305</v>
      </c>
      <c r="D238" s="56" t="s">
        <v>15</v>
      </c>
      <c r="E238" s="56" t="s">
        <v>35</v>
      </c>
      <c r="F238" s="58">
        <v>4502</v>
      </c>
      <c r="G238" s="58">
        <v>238</v>
      </c>
      <c r="H238" s="58">
        <v>386</v>
      </c>
      <c r="I238" s="58">
        <v>39198</v>
      </c>
      <c r="J238" s="58">
        <v>25050</v>
      </c>
      <c r="K238" s="58">
        <v>297</v>
      </c>
      <c r="L238" s="56" t="s">
        <v>33</v>
      </c>
      <c r="M238" s="56" t="s">
        <v>22</v>
      </c>
      <c r="N238" s="8">
        <f t="shared" si="3"/>
        <v>5126</v>
      </c>
    </row>
    <row r="239" spans="1:14">
      <c r="A239" s="56" t="s">
        <v>278</v>
      </c>
      <c r="B239" s="56" t="s">
        <v>14</v>
      </c>
      <c r="C239" s="57">
        <v>45823</v>
      </c>
      <c r="D239" s="56" t="s">
        <v>15</v>
      </c>
      <c r="E239" s="56" t="s">
        <v>20</v>
      </c>
      <c r="F239" s="58">
        <v>2478</v>
      </c>
      <c r="G239" s="58">
        <v>427</v>
      </c>
      <c r="H239" s="58">
        <v>242</v>
      </c>
      <c r="I239" s="58">
        <v>59272</v>
      </c>
      <c r="J239" s="58">
        <v>37833</v>
      </c>
      <c r="K239" s="58">
        <v>214</v>
      </c>
      <c r="L239" s="56" t="s">
        <v>17</v>
      </c>
      <c r="M239" s="56" t="s">
        <v>18</v>
      </c>
      <c r="N239" s="8">
        <f t="shared" si="3"/>
        <v>3147</v>
      </c>
    </row>
    <row r="240" spans="1:14">
      <c r="A240" s="56" t="s">
        <v>279</v>
      </c>
      <c r="B240" s="56" t="s">
        <v>24</v>
      </c>
      <c r="C240" s="57">
        <v>45639</v>
      </c>
      <c r="D240" s="56" t="s">
        <v>25</v>
      </c>
      <c r="E240" s="56" t="s">
        <v>26</v>
      </c>
      <c r="F240" s="58">
        <v>4984</v>
      </c>
      <c r="G240" s="58">
        <v>300</v>
      </c>
      <c r="H240" s="58">
        <v>338</v>
      </c>
      <c r="I240" s="58">
        <v>32900</v>
      </c>
      <c r="J240" s="58">
        <v>31691</v>
      </c>
      <c r="K240" s="58">
        <v>160</v>
      </c>
      <c r="L240" s="56" t="s">
        <v>27</v>
      </c>
      <c r="M240" s="56" t="s">
        <v>18</v>
      </c>
      <c r="N240" s="8">
        <f t="shared" si="3"/>
        <v>5622</v>
      </c>
    </row>
    <row r="241" spans="1:14">
      <c r="A241" s="56" t="s">
        <v>280</v>
      </c>
      <c r="B241" s="56" t="s">
        <v>397</v>
      </c>
      <c r="C241" s="57">
        <v>45533</v>
      </c>
      <c r="D241" s="56" t="s">
        <v>15</v>
      </c>
      <c r="E241" s="56" t="s">
        <v>29</v>
      </c>
      <c r="F241" s="58">
        <v>4774</v>
      </c>
      <c r="G241" s="58">
        <v>389</v>
      </c>
      <c r="H241" s="58">
        <v>358</v>
      </c>
      <c r="I241" s="58">
        <v>52346</v>
      </c>
      <c r="J241" s="58">
        <v>30518</v>
      </c>
      <c r="K241" s="58">
        <v>277</v>
      </c>
      <c r="L241" s="56" t="s">
        <v>33</v>
      </c>
      <c r="M241" s="56" t="s">
        <v>22</v>
      </c>
      <c r="N241" s="8">
        <f t="shared" si="3"/>
        <v>5521</v>
      </c>
    </row>
    <row r="242" spans="1:14">
      <c r="A242" s="56" t="s">
        <v>281</v>
      </c>
      <c r="B242" s="56" t="s">
        <v>24</v>
      </c>
      <c r="C242" s="57">
        <v>45550</v>
      </c>
      <c r="D242" s="56" t="s">
        <v>15</v>
      </c>
      <c r="E242" s="56" t="s">
        <v>37</v>
      </c>
      <c r="F242" s="58">
        <v>2145</v>
      </c>
      <c r="G242" s="58">
        <v>340</v>
      </c>
      <c r="H242" s="58">
        <v>85</v>
      </c>
      <c r="I242" s="58">
        <v>53323</v>
      </c>
      <c r="J242" s="58">
        <v>49938</v>
      </c>
      <c r="K242" s="58">
        <v>104</v>
      </c>
      <c r="L242" s="56" t="s">
        <v>42</v>
      </c>
      <c r="M242" s="56" t="s">
        <v>18</v>
      </c>
      <c r="N242" s="8">
        <f t="shared" si="3"/>
        <v>2570</v>
      </c>
    </row>
    <row r="243" spans="1:14">
      <c r="A243" s="56" t="s">
        <v>282</v>
      </c>
      <c r="B243" s="56" t="s">
        <v>24</v>
      </c>
      <c r="C243" s="57">
        <v>45759</v>
      </c>
      <c r="D243" s="56" t="s">
        <v>25</v>
      </c>
      <c r="E243" s="56" t="s">
        <v>49</v>
      </c>
      <c r="F243" s="58">
        <v>4315</v>
      </c>
      <c r="G243" s="58">
        <v>208</v>
      </c>
      <c r="H243" s="58">
        <v>273</v>
      </c>
      <c r="I243" s="58">
        <v>35780</v>
      </c>
      <c r="J243" s="58">
        <v>44349</v>
      </c>
      <c r="K243" s="58">
        <v>133</v>
      </c>
      <c r="L243" s="56" t="s">
        <v>39</v>
      </c>
      <c r="M243" s="56" t="s">
        <v>18</v>
      </c>
      <c r="N243" s="8">
        <f t="shared" si="3"/>
        <v>4796</v>
      </c>
    </row>
    <row r="244" spans="1:14">
      <c r="A244" s="56" t="s">
        <v>283</v>
      </c>
      <c r="B244" s="56" t="s">
        <v>24</v>
      </c>
      <c r="C244" s="57">
        <v>45636</v>
      </c>
      <c r="D244" s="56" t="s">
        <v>25</v>
      </c>
      <c r="E244" s="56" t="s">
        <v>29</v>
      </c>
      <c r="F244" s="58">
        <v>2267</v>
      </c>
      <c r="G244" s="58">
        <v>230</v>
      </c>
      <c r="H244" s="58">
        <v>243</v>
      </c>
      <c r="I244" s="58">
        <v>27904</v>
      </c>
      <c r="J244" s="58">
        <v>69771</v>
      </c>
      <c r="K244" s="58">
        <v>255</v>
      </c>
      <c r="L244" s="56" t="s">
        <v>39</v>
      </c>
      <c r="M244" s="56" t="s">
        <v>18</v>
      </c>
      <c r="N244" s="8">
        <f t="shared" si="3"/>
        <v>2740</v>
      </c>
    </row>
    <row r="245" spans="1:14">
      <c r="A245" s="56" t="s">
        <v>284</v>
      </c>
      <c r="B245" s="56" t="s">
        <v>397</v>
      </c>
      <c r="C245" s="57">
        <v>45816</v>
      </c>
      <c r="D245" s="56" t="s">
        <v>15</v>
      </c>
      <c r="E245" s="56" t="s">
        <v>32</v>
      </c>
      <c r="F245" s="58">
        <v>4375</v>
      </c>
      <c r="G245" s="58">
        <v>303</v>
      </c>
      <c r="H245" s="58">
        <v>294</v>
      </c>
      <c r="I245" s="58">
        <v>57468</v>
      </c>
      <c r="J245" s="58">
        <v>53397</v>
      </c>
      <c r="K245" s="58">
        <v>159</v>
      </c>
      <c r="L245" s="56" t="s">
        <v>33</v>
      </c>
      <c r="M245" s="56" t="s">
        <v>22</v>
      </c>
      <c r="N245" s="8">
        <f t="shared" si="3"/>
        <v>4972</v>
      </c>
    </row>
    <row r="246" spans="1:14">
      <c r="A246" s="56" t="s">
        <v>285</v>
      </c>
      <c r="B246" s="56" t="s">
        <v>24</v>
      </c>
      <c r="C246" s="57">
        <v>45666</v>
      </c>
      <c r="D246" s="56" t="s">
        <v>25</v>
      </c>
      <c r="E246" s="56" t="s">
        <v>51</v>
      </c>
      <c r="F246" s="58">
        <v>3817</v>
      </c>
      <c r="G246" s="58">
        <v>284</v>
      </c>
      <c r="H246" s="58">
        <v>204</v>
      </c>
      <c r="I246" s="58">
        <v>46434</v>
      </c>
      <c r="J246" s="58">
        <v>53396</v>
      </c>
      <c r="K246" s="58">
        <v>104</v>
      </c>
      <c r="L246" s="56" t="s">
        <v>27</v>
      </c>
      <c r="M246" s="56" t="s">
        <v>18</v>
      </c>
      <c r="N246" s="8">
        <f t="shared" si="3"/>
        <v>4305</v>
      </c>
    </row>
    <row r="247" spans="1:14">
      <c r="A247" s="56" t="s">
        <v>286</v>
      </c>
      <c r="B247" s="56" t="s">
        <v>24</v>
      </c>
      <c r="C247" s="57">
        <v>45481</v>
      </c>
      <c r="D247" s="56" t="s">
        <v>25</v>
      </c>
      <c r="E247" s="56" t="s">
        <v>41</v>
      </c>
      <c r="F247" s="58">
        <v>2981</v>
      </c>
      <c r="G247" s="58">
        <v>258</v>
      </c>
      <c r="H247" s="58">
        <v>168</v>
      </c>
      <c r="I247" s="58">
        <v>20677</v>
      </c>
      <c r="J247" s="58">
        <v>68290</v>
      </c>
      <c r="K247" s="58">
        <v>130</v>
      </c>
      <c r="L247" s="56" t="s">
        <v>17</v>
      </c>
      <c r="M247" s="56" t="s">
        <v>18</v>
      </c>
      <c r="N247" s="8">
        <f t="shared" si="3"/>
        <v>3407</v>
      </c>
    </row>
    <row r="248" spans="1:14">
      <c r="A248" s="56" t="s">
        <v>287</v>
      </c>
      <c r="B248" s="56" t="s">
        <v>24</v>
      </c>
      <c r="C248" s="57">
        <v>45551</v>
      </c>
      <c r="D248" s="56" t="s">
        <v>25</v>
      </c>
      <c r="E248" s="56" t="s">
        <v>51</v>
      </c>
      <c r="F248" s="58">
        <v>3300</v>
      </c>
      <c r="G248" s="58">
        <v>354</v>
      </c>
      <c r="H248" s="58">
        <v>397</v>
      </c>
      <c r="I248" s="58">
        <v>56773</v>
      </c>
      <c r="J248" s="58">
        <v>72110</v>
      </c>
      <c r="K248" s="58">
        <v>163</v>
      </c>
      <c r="L248" s="56" t="s">
        <v>39</v>
      </c>
      <c r="M248" s="56" t="s">
        <v>18</v>
      </c>
      <c r="N248" s="8">
        <f t="shared" si="3"/>
        <v>4051</v>
      </c>
    </row>
    <row r="249" spans="1:14">
      <c r="A249" s="56" t="s">
        <v>288</v>
      </c>
      <c r="B249" s="56" t="s">
        <v>397</v>
      </c>
      <c r="C249" s="57">
        <v>45457</v>
      </c>
      <c r="D249" s="56" t="s">
        <v>57</v>
      </c>
      <c r="E249" s="56" t="s">
        <v>29</v>
      </c>
      <c r="F249" s="58">
        <v>4722</v>
      </c>
      <c r="G249" s="58">
        <v>310</v>
      </c>
      <c r="H249" s="58">
        <v>344</v>
      </c>
      <c r="I249" s="58">
        <v>27911</v>
      </c>
      <c r="J249" s="58">
        <v>19000</v>
      </c>
      <c r="K249" s="58">
        <v>225</v>
      </c>
      <c r="L249" s="56" t="s">
        <v>58</v>
      </c>
      <c r="M249" s="56" t="s">
        <v>59</v>
      </c>
      <c r="N249" s="8">
        <f t="shared" si="3"/>
        <v>5376</v>
      </c>
    </row>
    <row r="250" spans="1:14">
      <c r="A250" s="56" t="s">
        <v>289</v>
      </c>
      <c r="B250" s="56" t="s">
        <v>14</v>
      </c>
      <c r="C250" s="57">
        <v>45357</v>
      </c>
      <c r="D250" s="56" t="s">
        <v>15</v>
      </c>
      <c r="E250" s="56" t="s">
        <v>35</v>
      </c>
      <c r="F250" s="58">
        <v>3529</v>
      </c>
      <c r="G250" s="58">
        <v>263</v>
      </c>
      <c r="H250" s="58">
        <v>107</v>
      </c>
      <c r="I250" s="58">
        <v>26570</v>
      </c>
      <c r="J250" s="58">
        <v>19367</v>
      </c>
      <c r="K250" s="58">
        <v>96</v>
      </c>
      <c r="L250" s="56" t="s">
        <v>21</v>
      </c>
      <c r="M250" s="56" t="s">
        <v>22</v>
      </c>
      <c r="N250" s="8">
        <f t="shared" si="3"/>
        <v>3899</v>
      </c>
    </row>
    <row r="251" spans="1:14">
      <c r="A251" s="56" t="s">
        <v>290</v>
      </c>
      <c r="B251" s="56" t="s">
        <v>24</v>
      </c>
      <c r="C251" s="57">
        <v>45792</v>
      </c>
      <c r="D251" s="56" t="s">
        <v>15</v>
      </c>
      <c r="E251" s="56" t="s">
        <v>51</v>
      </c>
      <c r="F251" s="58">
        <v>4782</v>
      </c>
      <c r="G251" s="58">
        <v>210</v>
      </c>
      <c r="H251" s="58">
        <v>311</v>
      </c>
      <c r="I251" s="58">
        <v>29793</v>
      </c>
      <c r="J251" s="58">
        <v>37543</v>
      </c>
      <c r="K251" s="58">
        <v>145</v>
      </c>
      <c r="L251" s="56" t="s">
        <v>42</v>
      </c>
      <c r="M251" s="56" t="s">
        <v>18</v>
      </c>
      <c r="N251" s="8">
        <f t="shared" si="3"/>
        <v>5303</v>
      </c>
    </row>
    <row r="252" spans="1:14">
      <c r="A252" s="56" t="s">
        <v>291</v>
      </c>
      <c r="B252" s="56" t="s">
        <v>24</v>
      </c>
      <c r="C252" s="57">
        <v>45480</v>
      </c>
      <c r="D252" s="56" t="s">
        <v>15</v>
      </c>
      <c r="E252" s="56" t="s">
        <v>35</v>
      </c>
      <c r="F252" s="58">
        <v>1848</v>
      </c>
      <c r="G252" s="58">
        <v>417</v>
      </c>
      <c r="H252" s="58">
        <v>294</v>
      </c>
      <c r="I252" s="58">
        <v>57819</v>
      </c>
      <c r="J252" s="58">
        <v>19798</v>
      </c>
      <c r="K252" s="58">
        <v>262</v>
      </c>
      <c r="L252" s="56" t="s">
        <v>45</v>
      </c>
      <c r="M252" s="56" t="s">
        <v>22</v>
      </c>
      <c r="N252" s="8">
        <f t="shared" si="3"/>
        <v>2559</v>
      </c>
    </row>
    <row r="253" spans="1:14">
      <c r="A253" s="56" t="s">
        <v>292</v>
      </c>
      <c r="B253" s="56" t="s">
        <v>397</v>
      </c>
      <c r="C253" s="57">
        <v>45591</v>
      </c>
      <c r="D253" s="56" t="s">
        <v>15</v>
      </c>
      <c r="E253" s="56" t="s">
        <v>26</v>
      </c>
      <c r="F253" s="58">
        <v>4676</v>
      </c>
      <c r="G253" s="58">
        <v>211</v>
      </c>
      <c r="H253" s="58">
        <v>55</v>
      </c>
      <c r="I253" s="58">
        <v>45917</v>
      </c>
      <c r="J253" s="58">
        <v>73503</v>
      </c>
      <c r="K253" s="58">
        <v>248</v>
      </c>
      <c r="L253" s="56" t="s">
        <v>33</v>
      </c>
      <c r="M253" s="56" t="s">
        <v>22</v>
      </c>
      <c r="N253" s="8">
        <f t="shared" si="3"/>
        <v>4942</v>
      </c>
    </row>
    <row r="254" spans="1:14">
      <c r="A254" s="56" t="s">
        <v>293</v>
      </c>
      <c r="B254" s="56" t="s">
        <v>397</v>
      </c>
      <c r="C254" s="57">
        <v>45512</v>
      </c>
      <c r="D254" s="56" t="s">
        <v>15</v>
      </c>
      <c r="E254" s="56" t="s">
        <v>49</v>
      </c>
      <c r="F254" s="58">
        <v>1994</v>
      </c>
      <c r="G254" s="58">
        <v>197</v>
      </c>
      <c r="H254" s="58">
        <v>290</v>
      </c>
      <c r="I254" s="58">
        <v>49500</v>
      </c>
      <c r="J254" s="58">
        <v>23343</v>
      </c>
      <c r="K254" s="58">
        <v>160</v>
      </c>
      <c r="L254" s="56" t="s">
        <v>33</v>
      </c>
      <c r="M254" s="56" t="s">
        <v>22</v>
      </c>
      <c r="N254" s="8">
        <f t="shared" si="3"/>
        <v>2481</v>
      </c>
    </row>
    <row r="255" spans="1:14">
      <c r="A255" s="56" t="s">
        <v>294</v>
      </c>
      <c r="B255" s="56" t="s">
        <v>24</v>
      </c>
      <c r="C255" s="57">
        <v>45691</v>
      </c>
      <c r="D255" s="56" t="s">
        <v>15</v>
      </c>
      <c r="E255" s="56" t="s">
        <v>35</v>
      </c>
      <c r="F255" s="58">
        <v>4995</v>
      </c>
      <c r="G255" s="58">
        <v>231</v>
      </c>
      <c r="H255" s="58">
        <v>94</v>
      </c>
      <c r="I255" s="58">
        <v>34431</v>
      </c>
      <c r="J255" s="58">
        <v>32560</v>
      </c>
      <c r="K255" s="58">
        <v>262</v>
      </c>
      <c r="L255" s="56" t="s">
        <v>42</v>
      </c>
      <c r="M255" s="56" t="s">
        <v>18</v>
      </c>
      <c r="N255" s="8">
        <f t="shared" si="3"/>
        <v>5320</v>
      </c>
    </row>
    <row r="256" spans="1:14">
      <c r="A256" s="56" t="s">
        <v>295</v>
      </c>
      <c r="B256" s="56" t="s">
        <v>24</v>
      </c>
      <c r="C256" s="57">
        <v>45385</v>
      </c>
      <c r="D256" s="56" t="s">
        <v>25</v>
      </c>
      <c r="E256" s="56" t="s">
        <v>41</v>
      </c>
      <c r="F256" s="58">
        <v>2291</v>
      </c>
      <c r="G256" s="58">
        <v>146</v>
      </c>
      <c r="H256" s="58">
        <v>399</v>
      </c>
      <c r="I256" s="58">
        <v>49319</v>
      </c>
      <c r="J256" s="58">
        <v>28056</v>
      </c>
      <c r="K256" s="58">
        <v>90</v>
      </c>
      <c r="L256" s="56" t="s">
        <v>39</v>
      </c>
      <c r="M256" s="56" t="s">
        <v>18</v>
      </c>
      <c r="N256" s="8">
        <f t="shared" si="3"/>
        <v>2836</v>
      </c>
    </row>
    <row r="257" spans="1:14">
      <c r="A257" s="56" t="s">
        <v>296</v>
      </c>
      <c r="B257" s="56" t="s">
        <v>24</v>
      </c>
      <c r="C257" s="57">
        <v>45481</v>
      </c>
      <c r="D257" s="56" t="s">
        <v>25</v>
      </c>
      <c r="E257" s="56" t="s">
        <v>29</v>
      </c>
      <c r="F257" s="58">
        <v>2304</v>
      </c>
      <c r="G257" s="58">
        <v>289</v>
      </c>
      <c r="H257" s="58">
        <v>161</v>
      </c>
      <c r="I257" s="58">
        <v>52645</v>
      </c>
      <c r="J257" s="58">
        <v>66262</v>
      </c>
      <c r="K257" s="58">
        <v>146</v>
      </c>
      <c r="L257" s="56" t="s">
        <v>27</v>
      </c>
      <c r="M257" s="56" t="s">
        <v>18</v>
      </c>
      <c r="N257" s="8">
        <f t="shared" si="3"/>
        <v>2754</v>
      </c>
    </row>
    <row r="258" spans="1:14">
      <c r="A258" s="56" t="s">
        <v>297</v>
      </c>
      <c r="B258" s="56" t="s">
        <v>24</v>
      </c>
      <c r="C258" s="57">
        <v>45451</v>
      </c>
      <c r="D258" s="56" t="s">
        <v>25</v>
      </c>
      <c r="E258" s="56" t="s">
        <v>41</v>
      </c>
      <c r="F258" s="58">
        <v>3413</v>
      </c>
      <c r="G258" s="58">
        <v>326</v>
      </c>
      <c r="H258" s="58">
        <v>86</v>
      </c>
      <c r="I258" s="58">
        <v>44680</v>
      </c>
      <c r="J258" s="58">
        <v>52719</v>
      </c>
      <c r="K258" s="58">
        <v>272</v>
      </c>
      <c r="L258" s="56" t="s">
        <v>39</v>
      </c>
      <c r="M258" s="56" t="s">
        <v>18</v>
      </c>
      <c r="N258" s="8">
        <f t="shared" ref="N258:N301" si="4">F258+G258+H258</f>
        <v>3825</v>
      </c>
    </row>
    <row r="259" spans="1:14">
      <c r="A259" s="56" t="s">
        <v>298</v>
      </c>
      <c r="B259" s="56" t="s">
        <v>397</v>
      </c>
      <c r="C259" s="57">
        <v>45736</v>
      </c>
      <c r="D259" s="56" t="s">
        <v>57</v>
      </c>
      <c r="E259" s="56" t="s">
        <v>49</v>
      </c>
      <c r="F259" s="58">
        <v>1453</v>
      </c>
      <c r="G259" s="58">
        <v>156</v>
      </c>
      <c r="H259" s="58">
        <v>178</v>
      </c>
      <c r="I259" s="58">
        <v>52980</v>
      </c>
      <c r="J259" s="58">
        <v>57180</v>
      </c>
      <c r="K259" s="58">
        <v>286</v>
      </c>
      <c r="L259" s="56" t="s">
        <v>58</v>
      </c>
      <c r="M259" s="56" t="s">
        <v>59</v>
      </c>
      <c r="N259" s="8">
        <f t="shared" si="4"/>
        <v>1787</v>
      </c>
    </row>
    <row r="260" spans="1:14">
      <c r="A260" s="56" t="s">
        <v>299</v>
      </c>
      <c r="B260" s="56" t="s">
        <v>24</v>
      </c>
      <c r="C260" s="57">
        <v>45676</v>
      </c>
      <c r="D260" s="56" t="s">
        <v>25</v>
      </c>
      <c r="E260" s="56" t="s">
        <v>32</v>
      </c>
      <c r="F260" s="58">
        <v>1651</v>
      </c>
      <c r="G260" s="58">
        <v>480</v>
      </c>
      <c r="H260" s="58">
        <v>282</v>
      </c>
      <c r="I260" s="58">
        <v>32140</v>
      </c>
      <c r="J260" s="58">
        <v>70560</v>
      </c>
      <c r="K260" s="58">
        <v>138</v>
      </c>
      <c r="L260" s="56" t="s">
        <v>17</v>
      </c>
      <c r="M260" s="56" t="s">
        <v>18</v>
      </c>
      <c r="N260" s="8">
        <f t="shared" si="4"/>
        <v>2413</v>
      </c>
    </row>
    <row r="261" spans="1:14">
      <c r="A261" s="56" t="s">
        <v>300</v>
      </c>
      <c r="B261" s="56" t="s">
        <v>24</v>
      </c>
      <c r="C261" s="57">
        <v>45662</v>
      </c>
      <c r="D261" s="56" t="s">
        <v>25</v>
      </c>
      <c r="E261" s="56" t="s">
        <v>20</v>
      </c>
      <c r="F261" s="58">
        <v>3341</v>
      </c>
      <c r="G261" s="58">
        <v>154</v>
      </c>
      <c r="H261" s="58">
        <v>123</v>
      </c>
      <c r="I261" s="58">
        <v>43369</v>
      </c>
      <c r="J261" s="58">
        <v>49035</v>
      </c>
      <c r="K261" s="58">
        <v>128</v>
      </c>
      <c r="L261" s="56" t="s">
        <v>27</v>
      </c>
      <c r="M261" s="56" t="s">
        <v>18</v>
      </c>
      <c r="N261" s="8">
        <f t="shared" si="4"/>
        <v>3618</v>
      </c>
    </row>
    <row r="262" spans="1:14">
      <c r="A262" s="56" t="s">
        <v>301</v>
      </c>
      <c r="B262" s="56" t="s">
        <v>24</v>
      </c>
      <c r="C262" s="57">
        <v>45612</v>
      </c>
      <c r="D262" s="56" t="s">
        <v>15</v>
      </c>
      <c r="E262" s="56" t="s">
        <v>49</v>
      </c>
      <c r="F262" s="58">
        <v>2972</v>
      </c>
      <c r="G262" s="58">
        <v>263</v>
      </c>
      <c r="H262" s="58">
        <v>308</v>
      </c>
      <c r="I262" s="58">
        <v>51740</v>
      </c>
      <c r="J262" s="58">
        <v>28214</v>
      </c>
      <c r="K262" s="58">
        <v>190</v>
      </c>
      <c r="L262" s="56" t="s">
        <v>45</v>
      </c>
      <c r="M262" s="56" t="s">
        <v>22</v>
      </c>
      <c r="N262" s="8">
        <f t="shared" si="4"/>
        <v>3543</v>
      </c>
    </row>
    <row r="263" spans="1:14">
      <c r="A263" s="56" t="s">
        <v>302</v>
      </c>
      <c r="B263" s="56" t="s">
        <v>24</v>
      </c>
      <c r="C263" s="57">
        <v>45626</v>
      </c>
      <c r="D263" s="56" t="s">
        <v>25</v>
      </c>
      <c r="E263" s="56" t="s">
        <v>20</v>
      </c>
      <c r="F263" s="58">
        <v>4963</v>
      </c>
      <c r="G263" s="58">
        <v>255</v>
      </c>
      <c r="H263" s="58">
        <v>193</v>
      </c>
      <c r="I263" s="58">
        <v>44386</v>
      </c>
      <c r="J263" s="58">
        <v>28415</v>
      </c>
      <c r="K263" s="58">
        <v>174</v>
      </c>
      <c r="L263" s="56" t="s">
        <v>27</v>
      </c>
      <c r="M263" s="56" t="s">
        <v>18</v>
      </c>
      <c r="N263" s="8">
        <f t="shared" si="4"/>
        <v>5411</v>
      </c>
    </row>
    <row r="264" spans="1:14">
      <c r="A264" s="56" t="s">
        <v>303</v>
      </c>
      <c r="B264" s="56" t="s">
        <v>397</v>
      </c>
      <c r="C264" s="57">
        <v>45378</v>
      </c>
      <c r="D264" s="56" t="s">
        <v>15</v>
      </c>
      <c r="E264" s="56" t="s">
        <v>32</v>
      </c>
      <c r="F264" s="58">
        <v>2399</v>
      </c>
      <c r="G264" s="58">
        <v>191</v>
      </c>
      <c r="H264" s="58">
        <v>221</v>
      </c>
      <c r="I264" s="58">
        <v>51603</v>
      </c>
      <c r="J264" s="58">
        <v>40033</v>
      </c>
      <c r="K264" s="58">
        <v>173</v>
      </c>
      <c r="L264" s="56" t="s">
        <v>33</v>
      </c>
      <c r="M264" s="56" t="s">
        <v>22</v>
      </c>
      <c r="N264" s="8">
        <f t="shared" si="4"/>
        <v>2811</v>
      </c>
    </row>
    <row r="265" spans="1:14">
      <c r="A265" s="56" t="s">
        <v>304</v>
      </c>
      <c r="B265" s="56" t="s">
        <v>397</v>
      </c>
      <c r="C265" s="57">
        <v>45808</v>
      </c>
      <c r="D265" s="56" t="s">
        <v>57</v>
      </c>
      <c r="E265" s="56" t="s">
        <v>37</v>
      </c>
      <c r="F265" s="58">
        <v>2162</v>
      </c>
      <c r="G265" s="58">
        <v>318</v>
      </c>
      <c r="H265" s="58">
        <v>83</v>
      </c>
      <c r="I265" s="58">
        <v>46719</v>
      </c>
      <c r="J265" s="58">
        <v>20482</v>
      </c>
      <c r="K265" s="58">
        <v>185</v>
      </c>
      <c r="L265" s="56" t="s">
        <v>58</v>
      </c>
      <c r="M265" s="56" t="s">
        <v>59</v>
      </c>
      <c r="N265" s="8">
        <f t="shared" si="4"/>
        <v>2563</v>
      </c>
    </row>
    <row r="266" spans="1:14">
      <c r="A266" s="56" t="s">
        <v>305</v>
      </c>
      <c r="B266" s="56" t="s">
        <v>24</v>
      </c>
      <c r="C266" s="57">
        <v>45825</v>
      </c>
      <c r="D266" s="56" t="s">
        <v>25</v>
      </c>
      <c r="E266" s="56" t="s">
        <v>20</v>
      </c>
      <c r="F266" s="58">
        <v>4341</v>
      </c>
      <c r="G266" s="58">
        <v>141</v>
      </c>
      <c r="H266" s="58">
        <v>63</v>
      </c>
      <c r="I266" s="58">
        <v>50081</v>
      </c>
      <c r="J266" s="58">
        <v>27507</v>
      </c>
      <c r="K266" s="58">
        <v>221</v>
      </c>
      <c r="L266" s="56" t="s">
        <v>39</v>
      </c>
      <c r="M266" s="56" t="s">
        <v>18</v>
      </c>
      <c r="N266" s="8">
        <f t="shared" si="4"/>
        <v>4545</v>
      </c>
    </row>
    <row r="267" spans="1:14">
      <c r="A267" s="56" t="s">
        <v>306</v>
      </c>
      <c r="B267" s="56" t="s">
        <v>14</v>
      </c>
      <c r="C267" s="57">
        <v>45442</v>
      </c>
      <c r="D267" s="56" t="s">
        <v>25</v>
      </c>
      <c r="E267" s="56" t="s">
        <v>37</v>
      </c>
      <c r="F267" s="58">
        <v>2448</v>
      </c>
      <c r="G267" s="58">
        <v>464</v>
      </c>
      <c r="H267" s="58">
        <v>98</v>
      </c>
      <c r="I267" s="58">
        <v>25737</v>
      </c>
      <c r="J267" s="58">
        <v>48545</v>
      </c>
      <c r="K267" s="58">
        <v>246</v>
      </c>
      <c r="L267" s="56" t="s">
        <v>42</v>
      </c>
      <c r="M267" s="56" t="s">
        <v>55</v>
      </c>
      <c r="N267" s="8">
        <f t="shared" si="4"/>
        <v>3010</v>
      </c>
    </row>
    <row r="268" spans="1:14">
      <c r="A268" s="56" t="s">
        <v>307</v>
      </c>
      <c r="B268" s="56" t="s">
        <v>397</v>
      </c>
      <c r="C268" s="57">
        <v>45604</v>
      </c>
      <c r="D268" s="56" t="s">
        <v>15</v>
      </c>
      <c r="E268" s="56" t="s">
        <v>41</v>
      </c>
      <c r="F268" s="58">
        <v>2471</v>
      </c>
      <c r="G268" s="58">
        <v>166</v>
      </c>
      <c r="H268" s="58">
        <v>320</v>
      </c>
      <c r="I268" s="58">
        <v>48254</v>
      </c>
      <c r="J268" s="58">
        <v>46900</v>
      </c>
      <c r="K268" s="58">
        <v>111</v>
      </c>
      <c r="L268" s="56" t="s">
        <v>33</v>
      </c>
      <c r="M268" s="56" t="s">
        <v>22</v>
      </c>
      <c r="N268" s="8">
        <f t="shared" si="4"/>
        <v>2957</v>
      </c>
    </row>
    <row r="269" spans="1:14">
      <c r="A269" s="56" t="s">
        <v>308</v>
      </c>
      <c r="B269" s="56" t="s">
        <v>397</v>
      </c>
      <c r="C269" s="57">
        <v>45368</v>
      </c>
      <c r="D269" s="56" t="s">
        <v>57</v>
      </c>
      <c r="E269" s="56" t="s">
        <v>20</v>
      </c>
      <c r="F269" s="58">
        <v>2692</v>
      </c>
      <c r="G269" s="58">
        <v>446</v>
      </c>
      <c r="H269" s="58">
        <v>216</v>
      </c>
      <c r="I269" s="58">
        <v>45818</v>
      </c>
      <c r="J269" s="58">
        <v>62723</v>
      </c>
      <c r="K269" s="58">
        <v>85</v>
      </c>
      <c r="L269" s="56" t="s">
        <v>58</v>
      </c>
      <c r="M269" s="56" t="s">
        <v>59</v>
      </c>
      <c r="N269" s="8">
        <f t="shared" si="4"/>
        <v>3354</v>
      </c>
    </row>
    <row r="270" spans="1:14">
      <c r="A270" s="56" t="s">
        <v>309</v>
      </c>
      <c r="B270" s="56" t="s">
        <v>397</v>
      </c>
      <c r="C270" s="57">
        <v>45464</v>
      </c>
      <c r="D270" s="56" t="s">
        <v>57</v>
      </c>
      <c r="E270" s="56" t="s">
        <v>32</v>
      </c>
      <c r="F270" s="58">
        <v>4621</v>
      </c>
      <c r="G270" s="58">
        <v>374</v>
      </c>
      <c r="H270" s="58">
        <v>298</v>
      </c>
      <c r="I270" s="58">
        <v>56979</v>
      </c>
      <c r="J270" s="58">
        <v>24098</v>
      </c>
      <c r="K270" s="58">
        <v>205</v>
      </c>
      <c r="L270" s="56" t="s">
        <v>58</v>
      </c>
      <c r="M270" s="56" t="s">
        <v>59</v>
      </c>
      <c r="N270" s="8">
        <f t="shared" si="4"/>
        <v>5293</v>
      </c>
    </row>
    <row r="271" spans="1:14">
      <c r="A271" s="56" t="s">
        <v>310</v>
      </c>
      <c r="B271" s="56" t="s">
        <v>24</v>
      </c>
      <c r="C271" s="57">
        <v>45609</v>
      </c>
      <c r="D271" s="56" t="s">
        <v>25</v>
      </c>
      <c r="E271" s="56" t="s">
        <v>26</v>
      </c>
      <c r="F271" s="58">
        <v>1409</v>
      </c>
      <c r="G271" s="58">
        <v>466</v>
      </c>
      <c r="H271" s="58">
        <v>105</v>
      </c>
      <c r="I271" s="58">
        <v>58923</v>
      </c>
      <c r="J271" s="58">
        <v>38753</v>
      </c>
      <c r="K271" s="58">
        <v>265</v>
      </c>
      <c r="L271" s="56" t="s">
        <v>39</v>
      </c>
      <c r="M271" s="56" t="s">
        <v>18</v>
      </c>
      <c r="N271" s="8">
        <f t="shared" si="4"/>
        <v>1980</v>
      </c>
    </row>
    <row r="272" spans="1:14">
      <c r="A272" s="56" t="s">
        <v>311</v>
      </c>
      <c r="B272" s="56" t="s">
        <v>24</v>
      </c>
      <c r="C272" s="57">
        <v>45693</v>
      </c>
      <c r="D272" s="56" t="s">
        <v>25</v>
      </c>
      <c r="E272" s="56" t="s">
        <v>16</v>
      </c>
      <c r="F272" s="58">
        <v>3029</v>
      </c>
      <c r="G272" s="58">
        <v>440</v>
      </c>
      <c r="H272" s="58">
        <v>66</v>
      </c>
      <c r="I272" s="58">
        <v>23815</v>
      </c>
      <c r="J272" s="58">
        <v>47895</v>
      </c>
      <c r="K272" s="58">
        <v>210</v>
      </c>
      <c r="L272" s="56" t="s">
        <v>39</v>
      </c>
      <c r="M272" s="56" t="s">
        <v>18</v>
      </c>
      <c r="N272" s="8">
        <f t="shared" si="4"/>
        <v>3535</v>
      </c>
    </row>
    <row r="273" spans="1:14">
      <c r="A273" s="56" t="s">
        <v>312</v>
      </c>
      <c r="B273" s="56" t="s">
        <v>24</v>
      </c>
      <c r="C273" s="57">
        <v>45603</v>
      </c>
      <c r="D273" s="56" t="s">
        <v>15</v>
      </c>
      <c r="E273" s="56" t="s">
        <v>20</v>
      </c>
      <c r="F273" s="58">
        <v>2229</v>
      </c>
      <c r="G273" s="58">
        <v>395</v>
      </c>
      <c r="H273" s="58">
        <v>328</v>
      </c>
      <c r="I273" s="58">
        <v>56921</v>
      </c>
      <c r="J273" s="58">
        <v>37176</v>
      </c>
      <c r="K273" s="58">
        <v>126</v>
      </c>
      <c r="L273" s="56" t="s">
        <v>45</v>
      </c>
      <c r="M273" s="56" t="s">
        <v>22</v>
      </c>
      <c r="N273" s="8">
        <f t="shared" si="4"/>
        <v>2952</v>
      </c>
    </row>
    <row r="274" spans="1:14">
      <c r="A274" s="56" t="s">
        <v>313</v>
      </c>
      <c r="B274" s="56" t="s">
        <v>24</v>
      </c>
      <c r="C274" s="57">
        <v>45334</v>
      </c>
      <c r="D274" s="56" t="s">
        <v>15</v>
      </c>
      <c r="E274" s="56" t="s">
        <v>20</v>
      </c>
      <c r="F274" s="58">
        <v>2691</v>
      </c>
      <c r="G274" s="58">
        <v>486</v>
      </c>
      <c r="H274" s="58">
        <v>206</v>
      </c>
      <c r="I274" s="58">
        <v>51133</v>
      </c>
      <c r="J274" s="58">
        <v>44583</v>
      </c>
      <c r="K274" s="58">
        <v>276</v>
      </c>
      <c r="L274" s="56" t="s">
        <v>42</v>
      </c>
      <c r="M274" s="56" t="s">
        <v>18</v>
      </c>
      <c r="N274" s="8">
        <f t="shared" si="4"/>
        <v>3383</v>
      </c>
    </row>
    <row r="275" spans="1:14">
      <c r="A275" s="56" t="s">
        <v>314</v>
      </c>
      <c r="B275" s="56" t="s">
        <v>14</v>
      </c>
      <c r="C275" s="57">
        <v>45573</v>
      </c>
      <c r="D275" s="56" t="s">
        <v>15</v>
      </c>
      <c r="E275" s="56" t="s">
        <v>20</v>
      </c>
      <c r="F275" s="58">
        <v>2110</v>
      </c>
      <c r="G275" s="58">
        <v>384</v>
      </c>
      <c r="H275" s="58">
        <v>236</v>
      </c>
      <c r="I275" s="58">
        <v>49965</v>
      </c>
      <c r="J275" s="58">
        <v>61555</v>
      </c>
      <c r="K275" s="58">
        <v>195</v>
      </c>
      <c r="L275" s="56" t="s">
        <v>21</v>
      </c>
      <c r="M275" s="56" t="s">
        <v>22</v>
      </c>
      <c r="N275" s="8">
        <f t="shared" si="4"/>
        <v>2730</v>
      </c>
    </row>
    <row r="276" spans="1:14">
      <c r="A276" s="56" t="s">
        <v>315</v>
      </c>
      <c r="B276" s="56" t="s">
        <v>14</v>
      </c>
      <c r="C276" s="57">
        <v>45341</v>
      </c>
      <c r="D276" s="56" t="s">
        <v>15</v>
      </c>
      <c r="E276" s="56" t="s">
        <v>29</v>
      </c>
      <c r="F276" s="58">
        <v>4752</v>
      </c>
      <c r="G276" s="58">
        <v>449</v>
      </c>
      <c r="H276" s="58">
        <v>309</v>
      </c>
      <c r="I276" s="58">
        <v>58530</v>
      </c>
      <c r="J276" s="58">
        <v>26630</v>
      </c>
      <c r="K276" s="58">
        <v>234</v>
      </c>
      <c r="L276" s="56" t="s">
        <v>21</v>
      </c>
      <c r="M276" s="56" t="s">
        <v>22</v>
      </c>
      <c r="N276" s="8">
        <f t="shared" si="4"/>
        <v>5510</v>
      </c>
    </row>
    <row r="277" spans="1:14">
      <c r="A277" s="56" t="s">
        <v>316</v>
      </c>
      <c r="B277" s="56" t="s">
        <v>24</v>
      </c>
      <c r="C277" s="57">
        <v>45720</v>
      </c>
      <c r="D277" s="56" t="s">
        <v>15</v>
      </c>
      <c r="E277" s="56" t="s">
        <v>16</v>
      </c>
      <c r="F277" s="58">
        <v>2177</v>
      </c>
      <c r="G277" s="58">
        <v>258</v>
      </c>
      <c r="H277" s="58">
        <v>292</v>
      </c>
      <c r="I277" s="58">
        <v>47276</v>
      </c>
      <c r="J277" s="58">
        <v>51324</v>
      </c>
      <c r="K277" s="58">
        <v>143</v>
      </c>
      <c r="L277" s="56" t="s">
        <v>42</v>
      </c>
      <c r="M277" s="56" t="s">
        <v>18</v>
      </c>
      <c r="N277" s="8">
        <f t="shared" si="4"/>
        <v>2727</v>
      </c>
    </row>
    <row r="278" spans="1:14">
      <c r="A278" s="56" t="s">
        <v>317</v>
      </c>
      <c r="B278" s="56" t="s">
        <v>14</v>
      </c>
      <c r="C278" s="57">
        <v>45691</v>
      </c>
      <c r="D278" s="56" t="s">
        <v>25</v>
      </c>
      <c r="E278" s="56" t="s">
        <v>26</v>
      </c>
      <c r="F278" s="58">
        <v>1205</v>
      </c>
      <c r="G278" s="58">
        <v>486</v>
      </c>
      <c r="H278" s="58">
        <v>269</v>
      </c>
      <c r="I278" s="58">
        <v>23341</v>
      </c>
      <c r="J278" s="58">
        <v>42411</v>
      </c>
      <c r="K278" s="58">
        <v>184</v>
      </c>
      <c r="L278" s="56" t="s">
        <v>42</v>
      </c>
      <c r="M278" s="56" t="s">
        <v>55</v>
      </c>
      <c r="N278" s="8">
        <f t="shared" si="4"/>
        <v>1960</v>
      </c>
    </row>
    <row r="279" spans="1:14">
      <c r="A279" s="56" t="s">
        <v>318</v>
      </c>
      <c r="B279" s="56" t="s">
        <v>14</v>
      </c>
      <c r="C279" s="57">
        <v>45628</v>
      </c>
      <c r="D279" s="56" t="s">
        <v>15</v>
      </c>
      <c r="E279" s="56" t="s">
        <v>41</v>
      </c>
      <c r="F279" s="58">
        <v>3194</v>
      </c>
      <c r="G279" s="58">
        <v>292</v>
      </c>
      <c r="H279" s="58">
        <v>245</v>
      </c>
      <c r="I279" s="58">
        <v>56371</v>
      </c>
      <c r="J279" s="58">
        <v>65597</v>
      </c>
      <c r="K279" s="58">
        <v>163</v>
      </c>
      <c r="L279" s="56" t="s">
        <v>17</v>
      </c>
      <c r="M279" s="56" t="s">
        <v>18</v>
      </c>
      <c r="N279" s="8">
        <f t="shared" si="4"/>
        <v>3731</v>
      </c>
    </row>
    <row r="280" spans="1:14">
      <c r="A280" s="56" t="s">
        <v>319</v>
      </c>
      <c r="B280" s="56" t="s">
        <v>24</v>
      </c>
      <c r="C280" s="57">
        <v>45676</v>
      </c>
      <c r="D280" s="56" t="s">
        <v>25</v>
      </c>
      <c r="E280" s="56" t="s">
        <v>26</v>
      </c>
      <c r="F280" s="58">
        <v>3507</v>
      </c>
      <c r="G280" s="58">
        <v>295</v>
      </c>
      <c r="H280" s="58">
        <v>371</v>
      </c>
      <c r="I280" s="58">
        <v>20410</v>
      </c>
      <c r="J280" s="58">
        <v>53965</v>
      </c>
      <c r="K280" s="58">
        <v>212</v>
      </c>
      <c r="L280" s="56" t="s">
        <v>17</v>
      </c>
      <c r="M280" s="56" t="s">
        <v>18</v>
      </c>
      <c r="N280" s="8">
        <f t="shared" si="4"/>
        <v>4173</v>
      </c>
    </row>
    <row r="281" spans="1:14">
      <c r="A281" s="56" t="s">
        <v>320</v>
      </c>
      <c r="B281" s="56" t="s">
        <v>24</v>
      </c>
      <c r="C281" s="57">
        <v>45563</v>
      </c>
      <c r="D281" s="56" t="s">
        <v>25</v>
      </c>
      <c r="E281" s="56" t="s">
        <v>29</v>
      </c>
      <c r="F281" s="58">
        <v>4471</v>
      </c>
      <c r="G281" s="58">
        <v>317</v>
      </c>
      <c r="H281" s="58">
        <v>249</v>
      </c>
      <c r="I281" s="58">
        <v>44862</v>
      </c>
      <c r="J281" s="58">
        <v>33365</v>
      </c>
      <c r="K281" s="58">
        <v>184</v>
      </c>
      <c r="L281" s="56" t="s">
        <v>39</v>
      </c>
      <c r="M281" s="56" t="s">
        <v>18</v>
      </c>
      <c r="N281" s="8">
        <f t="shared" si="4"/>
        <v>5037</v>
      </c>
    </row>
    <row r="282" spans="1:14">
      <c r="A282" s="56" t="s">
        <v>321</v>
      </c>
      <c r="B282" s="56" t="s">
        <v>14</v>
      </c>
      <c r="C282" s="57">
        <v>45298</v>
      </c>
      <c r="D282" s="56" t="s">
        <v>15</v>
      </c>
      <c r="E282" s="56" t="s">
        <v>41</v>
      </c>
      <c r="F282" s="58">
        <v>4931</v>
      </c>
      <c r="G282" s="58">
        <v>469</v>
      </c>
      <c r="H282" s="58">
        <v>193</v>
      </c>
      <c r="I282" s="58">
        <v>56701</v>
      </c>
      <c r="J282" s="58">
        <v>69437</v>
      </c>
      <c r="K282" s="58">
        <v>291</v>
      </c>
      <c r="L282" s="56" t="s">
        <v>17</v>
      </c>
      <c r="M282" s="56" t="s">
        <v>18</v>
      </c>
      <c r="N282" s="8">
        <f t="shared" si="4"/>
        <v>5593</v>
      </c>
    </row>
    <row r="283" spans="1:14">
      <c r="A283" s="56" t="s">
        <v>322</v>
      </c>
      <c r="B283" s="56" t="s">
        <v>24</v>
      </c>
      <c r="C283" s="57">
        <v>45343</v>
      </c>
      <c r="D283" s="56" t="s">
        <v>25</v>
      </c>
      <c r="E283" s="56" t="s">
        <v>37</v>
      </c>
      <c r="F283" s="58">
        <v>2604</v>
      </c>
      <c r="G283" s="58">
        <v>439</v>
      </c>
      <c r="H283" s="58">
        <v>148</v>
      </c>
      <c r="I283" s="58">
        <v>58468</v>
      </c>
      <c r="J283" s="58">
        <v>39629</v>
      </c>
      <c r="K283" s="58">
        <v>163</v>
      </c>
      <c r="L283" s="56" t="s">
        <v>27</v>
      </c>
      <c r="M283" s="56" t="s">
        <v>18</v>
      </c>
      <c r="N283" s="8">
        <f t="shared" si="4"/>
        <v>3191</v>
      </c>
    </row>
    <row r="284" spans="1:14">
      <c r="A284" s="56" t="s">
        <v>323</v>
      </c>
      <c r="B284" s="56" t="s">
        <v>14</v>
      </c>
      <c r="C284" s="57">
        <v>45531</v>
      </c>
      <c r="D284" s="56" t="s">
        <v>15</v>
      </c>
      <c r="E284" s="56" t="s">
        <v>32</v>
      </c>
      <c r="F284" s="58">
        <v>4197</v>
      </c>
      <c r="G284" s="58">
        <v>359</v>
      </c>
      <c r="H284" s="58">
        <v>280</v>
      </c>
      <c r="I284" s="58">
        <v>56048</v>
      </c>
      <c r="J284" s="58">
        <v>70930</v>
      </c>
      <c r="K284" s="58">
        <v>295</v>
      </c>
      <c r="L284" s="56" t="s">
        <v>21</v>
      </c>
      <c r="M284" s="56" t="s">
        <v>22</v>
      </c>
      <c r="N284" s="8">
        <f t="shared" si="4"/>
        <v>4836</v>
      </c>
    </row>
    <row r="285" spans="1:14">
      <c r="A285" s="56" t="s">
        <v>324</v>
      </c>
      <c r="B285" s="56" t="s">
        <v>14</v>
      </c>
      <c r="C285" s="57">
        <v>45589</v>
      </c>
      <c r="D285" s="56" t="s">
        <v>25</v>
      </c>
      <c r="E285" s="56" t="s">
        <v>41</v>
      </c>
      <c r="F285" s="58">
        <v>1914</v>
      </c>
      <c r="G285" s="58">
        <v>255</v>
      </c>
      <c r="H285" s="58">
        <v>156</v>
      </c>
      <c r="I285" s="58">
        <v>27660</v>
      </c>
      <c r="J285" s="58">
        <v>47776</v>
      </c>
      <c r="K285" s="58">
        <v>111</v>
      </c>
      <c r="L285" s="56" t="s">
        <v>42</v>
      </c>
      <c r="M285" s="56" t="s">
        <v>55</v>
      </c>
      <c r="N285" s="8">
        <f t="shared" si="4"/>
        <v>2325</v>
      </c>
    </row>
    <row r="286" spans="1:14">
      <c r="A286" s="56" t="s">
        <v>325</v>
      </c>
      <c r="B286" s="56" t="s">
        <v>397</v>
      </c>
      <c r="C286" s="57">
        <v>45686</v>
      </c>
      <c r="D286" s="56" t="s">
        <v>15</v>
      </c>
      <c r="E286" s="56" t="s">
        <v>26</v>
      </c>
      <c r="F286" s="58">
        <v>1334</v>
      </c>
      <c r="G286" s="58">
        <v>357</v>
      </c>
      <c r="H286" s="58">
        <v>257</v>
      </c>
      <c r="I286" s="58">
        <v>56910</v>
      </c>
      <c r="J286" s="58">
        <v>70606</v>
      </c>
      <c r="K286" s="58">
        <v>228</v>
      </c>
      <c r="L286" s="56" t="s">
        <v>33</v>
      </c>
      <c r="M286" s="56" t="s">
        <v>22</v>
      </c>
      <c r="N286" s="8">
        <f t="shared" si="4"/>
        <v>1948</v>
      </c>
    </row>
    <row r="287" spans="1:14">
      <c r="A287" s="56" t="s">
        <v>326</v>
      </c>
      <c r="B287" s="56" t="s">
        <v>14</v>
      </c>
      <c r="C287" s="57">
        <v>45413</v>
      </c>
      <c r="D287" s="56" t="s">
        <v>15</v>
      </c>
      <c r="E287" s="56" t="s">
        <v>37</v>
      </c>
      <c r="F287" s="58">
        <v>3359</v>
      </c>
      <c r="G287" s="58">
        <v>137</v>
      </c>
      <c r="H287" s="58">
        <v>387</v>
      </c>
      <c r="I287" s="58">
        <v>33861</v>
      </c>
      <c r="J287" s="58">
        <v>47257</v>
      </c>
      <c r="K287" s="58">
        <v>198</v>
      </c>
      <c r="L287" s="56" t="s">
        <v>21</v>
      </c>
      <c r="M287" s="56" t="s">
        <v>22</v>
      </c>
      <c r="N287" s="8">
        <f t="shared" si="4"/>
        <v>3883</v>
      </c>
    </row>
    <row r="288" spans="1:14">
      <c r="A288" s="56" t="s">
        <v>327</v>
      </c>
      <c r="B288" s="56" t="s">
        <v>397</v>
      </c>
      <c r="C288" s="57">
        <v>45468</v>
      </c>
      <c r="D288" s="56" t="s">
        <v>15</v>
      </c>
      <c r="E288" s="56" t="s">
        <v>51</v>
      </c>
      <c r="F288" s="58">
        <v>2172</v>
      </c>
      <c r="G288" s="58">
        <v>338</v>
      </c>
      <c r="H288" s="58">
        <v>70</v>
      </c>
      <c r="I288" s="58">
        <v>30515</v>
      </c>
      <c r="J288" s="58">
        <v>57853</v>
      </c>
      <c r="K288" s="58">
        <v>156</v>
      </c>
      <c r="L288" s="56" t="s">
        <v>33</v>
      </c>
      <c r="M288" s="56" t="s">
        <v>22</v>
      </c>
      <c r="N288" s="8">
        <f t="shared" si="4"/>
        <v>2580</v>
      </c>
    </row>
    <row r="289" spans="1:14">
      <c r="A289" s="56" t="s">
        <v>328</v>
      </c>
      <c r="B289" s="56" t="s">
        <v>24</v>
      </c>
      <c r="C289" s="57">
        <v>45513</v>
      </c>
      <c r="D289" s="56" t="s">
        <v>25</v>
      </c>
      <c r="E289" s="56" t="s">
        <v>49</v>
      </c>
      <c r="F289" s="58">
        <v>4877</v>
      </c>
      <c r="G289" s="58">
        <v>442</v>
      </c>
      <c r="H289" s="58">
        <v>236</v>
      </c>
      <c r="I289" s="58">
        <v>52673</v>
      </c>
      <c r="J289" s="58">
        <v>48241</v>
      </c>
      <c r="K289" s="58">
        <v>114</v>
      </c>
      <c r="L289" s="56" t="s">
        <v>39</v>
      </c>
      <c r="M289" s="56" t="s">
        <v>18</v>
      </c>
      <c r="N289" s="8">
        <f t="shared" si="4"/>
        <v>5555</v>
      </c>
    </row>
    <row r="290" spans="1:14">
      <c r="A290" s="56" t="s">
        <v>329</v>
      </c>
      <c r="B290" s="56" t="s">
        <v>14</v>
      </c>
      <c r="C290" s="57">
        <v>45678</v>
      </c>
      <c r="D290" s="56" t="s">
        <v>25</v>
      </c>
      <c r="E290" s="56" t="s">
        <v>26</v>
      </c>
      <c r="F290" s="58">
        <v>4918</v>
      </c>
      <c r="G290" s="58">
        <v>440</v>
      </c>
      <c r="H290" s="58">
        <v>149</v>
      </c>
      <c r="I290" s="58">
        <v>53269</v>
      </c>
      <c r="J290" s="58">
        <v>64370</v>
      </c>
      <c r="K290" s="58">
        <v>269</v>
      </c>
      <c r="L290" s="56" t="s">
        <v>42</v>
      </c>
      <c r="M290" s="56" t="s">
        <v>55</v>
      </c>
      <c r="N290" s="8">
        <f t="shared" si="4"/>
        <v>5507</v>
      </c>
    </row>
    <row r="291" spans="1:14">
      <c r="A291" s="56" t="s">
        <v>330</v>
      </c>
      <c r="B291" s="56" t="s">
        <v>24</v>
      </c>
      <c r="C291" s="57">
        <v>45517</v>
      </c>
      <c r="D291" s="56" t="s">
        <v>15</v>
      </c>
      <c r="E291" s="56" t="s">
        <v>20</v>
      </c>
      <c r="F291" s="58">
        <v>3418</v>
      </c>
      <c r="G291" s="58">
        <v>107</v>
      </c>
      <c r="H291" s="58">
        <v>221</v>
      </c>
      <c r="I291" s="58">
        <v>23927</v>
      </c>
      <c r="J291" s="58">
        <v>26182</v>
      </c>
      <c r="K291" s="58">
        <v>155</v>
      </c>
      <c r="L291" s="56" t="s">
        <v>45</v>
      </c>
      <c r="M291" s="56" t="s">
        <v>22</v>
      </c>
      <c r="N291" s="8">
        <f t="shared" si="4"/>
        <v>3746</v>
      </c>
    </row>
    <row r="292" spans="1:14">
      <c r="A292" s="56" t="s">
        <v>331</v>
      </c>
      <c r="B292" s="56" t="s">
        <v>14</v>
      </c>
      <c r="C292" s="57">
        <v>45472</v>
      </c>
      <c r="D292" s="56" t="s">
        <v>15</v>
      </c>
      <c r="E292" s="56" t="s">
        <v>51</v>
      </c>
      <c r="F292" s="58">
        <v>2088</v>
      </c>
      <c r="G292" s="58">
        <v>490</v>
      </c>
      <c r="H292" s="58">
        <v>124</v>
      </c>
      <c r="I292" s="58">
        <v>46544</v>
      </c>
      <c r="J292" s="58">
        <v>69346</v>
      </c>
      <c r="K292" s="58">
        <v>178</v>
      </c>
      <c r="L292" s="56" t="s">
        <v>17</v>
      </c>
      <c r="M292" s="56" t="s">
        <v>18</v>
      </c>
      <c r="N292" s="8">
        <f t="shared" si="4"/>
        <v>2702</v>
      </c>
    </row>
    <row r="293" spans="1:14">
      <c r="A293" s="56" t="s">
        <v>332</v>
      </c>
      <c r="B293" s="56" t="s">
        <v>24</v>
      </c>
      <c r="C293" s="57">
        <v>45599</v>
      </c>
      <c r="D293" s="56" t="s">
        <v>25</v>
      </c>
      <c r="E293" s="56" t="s">
        <v>20</v>
      </c>
      <c r="F293" s="58">
        <v>3061</v>
      </c>
      <c r="G293" s="58">
        <v>320</v>
      </c>
      <c r="H293" s="58">
        <v>76</v>
      </c>
      <c r="I293" s="58">
        <v>26640</v>
      </c>
      <c r="J293" s="58">
        <v>24306</v>
      </c>
      <c r="K293" s="58">
        <v>112</v>
      </c>
      <c r="L293" s="56" t="s">
        <v>27</v>
      </c>
      <c r="M293" s="56" t="s">
        <v>18</v>
      </c>
      <c r="N293" s="8">
        <f t="shared" si="4"/>
        <v>3457</v>
      </c>
    </row>
    <row r="294" spans="1:14">
      <c r="A294" s="56" t="s">
        <v>333</v>
      </c>
      <c r="B294" s="56" t="s">
        <v>397</v>
      </c>
      <c r="C294" s="57">
        <v>45765</v>
      </c>
      <c r="D294" s="56" t="s">
        <v>57</v>
      </c>
      <c r="E294" s="56" t="s">
        <v>51</v>
      </c>
      <c r="F294" s="58">
        <v>1265</v>
      </c>
      <c r="G294" s="58">
        <v>230</v>
      </c>
      <c r="H294" s="58">
        <v>364</v>
      </c>
      <c r="I294" s="58">
        <v>41312</v>
      </c>
      <c r="J294" s="58">
        <v>50382</v>
      </c>
      <c r="K294" s="58">
        <v>106</v>
      </c>
      <c r="L294" s="56" t="s">
        <v>58</v>
      </c>
      <c r="M294" s="56" t="s">
        <v>59</v>
      </c>
      <c r="N294" s="8">
        <f t="shared" si="4"/>
        <v>1859</v>
      </c>
    </row>
    <row r="295" spans="1:14">
      <c r="A295" s="56" t="s">
        <v>334</v>
      </c>
      <c r="B295" s="56" t="s">
        <v>14</v>
      </c>
      <c r="C295" s="57">
        <v>45653</v>
      </c>
      <c r="D295" s="56" t="s">
        <v>15</v>
      </c>
      <c r="E295" s="56" t="s">
        <v>49</v>
      </c>
      <c r="F295" s="58">
        <v>1436</v>
      </c>
      <c r="G295" s="58">
        <v>219</v>
      </c>
      <c r="H295" s="58">
        <v>229</v>
      </c>
      <c r="I295" s="58">
        <v>58488</v>
      </c>
      <c r="J295" s="58">
        <v>24314</v>
      </c>
      <c r="K295" s="58">
        <v>147</v>
      </c>
      <c r="L295" s="56" t="s">
        <v>21</v>
      </c>
      <c r="M295" s="56" t="s">
        <v>22</v>
      </c>
      <c r="N295" s="8">
        <f t="shared" si="4"/>
        <v>1884</v>
      </c>
    </row>
    <row r="296" spans="1:14">
      <c r="A296" s="56" t="s">
        <v>335</v>
      </c>
      <c r="B296" s="56" t="s">
        <v>14</v>
      </c>
      <c r="C296" s="57">
        <v>45724</v>
      </c>
      <c r="D296" s="56" t="s">
        <v>25</v>
      </c>
      <c r="E296" s="56" t="s">
        <v>41</v>
      </c>
      <c r="F296" s="58">
        <v>2244</v>
      </c>
      <c r="G296" s="58">
        <v>392</v>
      </c>
      <c r="H296" s="58">
        <v>231</v>
      </c>
      <c r="I296" s="58">
        <v>25834</v>
      </c>
      <c r="J296" s="58">
        <v>50906</v>
      </c>
      <c r="K296" s="58">
        <v>165</v>
      </c>
      <c r="L296" s="56" t="s">
        <v>42</v>
      </c>
      <c r="M296" s="56" t="s">
        <v>55</v>
      </c>
      <c r="N296" s="8">
        <f t="shared" si="4"/>
        <v>2867</v>
      </c>
    </row>
    <row r="297" spans="1:14">
      <c r="A297" s="56" t="s">
        <v>336</v>
      </c>
      <c r="B297" s="56" t="s">
        <v>24</v>
      </c>
      <c r="C297" s="57">
        <v>45736</v>
      </c>
      <c r="D297" s="56" t="s">
        <v>25</v>
      </c>
      <c r="E297" s="56" t="s">
        <v>51</v>
      </c>
      <c r="F297" s="58">
        <v>3393</v>
      </c>
      <c r="G297" s="58">
        <v>104</v>
      </c>
      <c r="H297" s="58">
        <v>79</v>
      </c>
      <c r="I297" s="58">
        <v>30025</v>
      </c>
      <c r="J297" s="58">
        <v>21593</v>
      </c>
      <c r="K297" s="58">
        <v>165</v>
      </c>
      <c r="L297" s="56" t="s">
        <v>27</v>
      </c>
      <c r="M297" s="56" t="s">
        <v>18</v>
      </c>
      <c r="N297" s="8">
        <f t="shared" si="4"/>
        <v>3576</v>
      </c>
    </row>
    <row r="298" spans="1:14">
      <c r="A298" s="56" t="s">
        <v>337</v>
      </c>
      <c r="B298" s="56" t="s">
        <v>24</v>
      </c>
      <c r="C298" s="57">
        <v>45612</v>
      </c>
      <c r="D298" s="56" t="s">
        <v>15</v>
      </c>
      <c r="E298" s="56" t="s">
        <v>20</v>
      </c>
      <c r="F298" s="58">
        <v>2901</v>
      </c>
      <c r="G298" s="58">
        <v>108</v>
      </c>
      <c r="H298" s="58">
        <v>86</v>
      </c>
      <c r="I298" s="58">
        <v>51777</v>
      </c>
      <c r="J298" s="58">
        <v>23773</v>
      </c>
      <c r="K298" s="58">
        <v>160</v>
      </c>
      <c r="L298" s="56" t="s">
        <v>45</v>
      </c>
      <c r="M298" s="56" t="s">
        <v>22</v>
      </c>
      <c r="N298" s="8">
        <f t="shared" si="4"/>
        <v>3095</v>
      </c>
    </row>
    <row r="299" spans="1:14">
      <c r="A299" s="56" t="s">
        <v>338</v>
      </c>
      <c r="B299" s="56" t="s">
        <v>24</v>
      </c>
      <c r="C299" s="57">
        <v>45838</v>
      </c>
      <c r="D299" s="56" t="s">
        <v>15</v>
      </c>
      <c r="E299" s="56" t="s">
        <v>35</v>
      </c>
      <c r="F299" s="58">
        <v>2275</v>
      </c>
      <c r="G299" s="58">
        <v>285</v>
      </c>
      <c r="H299" s="58">
        <v>125</v>
      </c>
      <c r="I299" s="58">
        <v>43970</v>
      </c>
      <c r="J299" s="58">
        <v>74761</v>
      </c>
      <c r="K299" s="58">
        <v>83</v>
      </c>
      <c r="L299" s="56" t="s">
        <v>42</v>
      </c>
      <c r="M299" s="56" t="s">
        <v>18</v>
      </c>
      <c r="N299" s="8">
        <f t="shared" si="4"/>
        <v>2685</v>
      </c>
    </row>
    <row r="300" spans="1:14">
      <c r="A300" s="56" t="s">
        <v>339</v>
      </c>
      <c r="B300" s="56" t="s">
        <v>24</v>
      </c>
      <c r="C300" s="57">
        <v>45303</v>
      </c>
      <c r="D300" s="56" t="s">
        <v>25</v>
      </c>
      <c r="E300" s="56" t="s">
        <v>29</v>
      </c>
      <c r="F300" s="58">
        <v>2227</v>
      </c>
      <c r="G300" s="58">
        <v>494</v>
      </c>
      <c r="H300" s="58">
        <v>161</v>
      </c>
      <c r="I300" s="58">
        <v>51651</v>
      </c>
      <c r="J300" s="58">
        <v>68074</v>
      </c>
      <c r="K300" s="58">
        <v>240</v>
      </c>
      <c r="L300" s="56" t="s">
        <v>39</v>
      </c>
      <c r="M300" s="56" t="s">
        <v>18</v>
      </c>
      <c r="N300" s="8">
        <f t="shared" si="4"/>
        <v>2882</v>
      </c>
    </row>
    <row r="301" spans="1:14">
      <c r="A301" s="56" t="s">
        <v>340</v>
      </c>
      <c r="B301" s="56" t="s">
        <v>14</v>
      </c>
      <c r="C301" s="57">
        <v>45329</v>
      </c>
      <c r="D301" s="56" t="s">
        <v>15</v>
      </c>
      <c r="E301" s="56" t="s">
        <v>32</v>
      </c>
      <c r="F301" s="58">
        <v>1883</v>
      </c>
      <c r="G301" s="58">
        <v>432</v>
      </c>
      <c r="H301" s="58">
        <v>397</v>
      </c>
      <c r="I301" s="58">
        <v>28759</v>
      </c>
      <c r="J301" s="58">
        <v>18691</v>
      </c>
      <c r="K301" s="58">
        <v>270</v>
      </c>
      <c r="L301" s="56" t="s">
        <v>17</v>
      </c>
      <c r="M301" s="56" t="s">
        <v>18</v>
      </c>
      <c r="N301" s="8">
        <f t="shared" si="4"/>
        <v>2712</v>
      </c>
    </row>
    <row r="302" spans="1:14">
      <c r="L302" s="32"/>
    </row>
    <row r="303" spans="1:14">
      <c r="L303" s="33"/>
    </row>
    <row r="304" spans="1:14">
      <c r="L304" s="32"/>
    </row>
    <row r="305" spans="12:12">
      <c r="L305" s="33"/>
    </row>
    <row r="306" spans="12:12">
      <c r="L306" s="32"/>
    </row>
    <row r="307" spans="12:12">
      <c r="L307" s="33"/>
    </row>
    <row r="308" spans="12:12">
      <c r="L308" s="32"/>
    </row>
    <row r="309" spans="12:12">
      <c r="L309" s="33"/>
    </row>
    <row r="310" spans="12:12">
      <c r="L310" s="32"/>
    </row>
    <row r="311" spans="12:12">
      <c r="L311" s="33"/>
    </row>
    <row r="312" spans="12:12">
      <c r="L312" s="32"/>
    </row>
    <row r="313" spans="12:12">
      <c r="L313" s="33"/>
    </row>
    <row r="314" spans="12:12">
      <c r="L314" s="32"/>
    </row>
    <row r="315" spans="12:12">
      <c r="L315" s="33"/>
    </row>
    <row r="316" spans="12:12">
      <c r="L316" s="32"/>
    </row>
    <row r="317" spans="12:12">
      <c r="L317" s="33"/>
    </row>
    <row r="318" spans="12:12">
      <c r="L318" s="32"/>
    </row>
    <row r="319" spans="12:12">
      <c r="L319" s="33"/>
    </row>
    <row r="320" spans="12:12">
      <c r="L320" s="32"/>
    </row>
    <row r="321" spans="12:12">
      <c r="L321" s="33"/>
    </row>
    <row r="322" spans="12:12">
      <c r="L322" s="32"/>
    </row>
    <row r="323" spans="12:12">
      <c r="L323" s="33"/>
    </row>
    <row r="324" spans="12:12">
      <c r="L324" s="32"/>
    </row>
    <row r="325" spans="12:12">
      <c r="L325" s="33"/>
    </row>
    <row r="326" spans="12:12">
      <c r="L326" s="32"/>
    </row>
    <row r="327" spans="12:12">
      <c r="L327" s="33"/>
    </row>
    <row r="328" spans="12:12">
      <c r="L328" s="32"/>
    </row>
    <row r="329" spans="12:12">
      <c r="L329" s="33"/>
    </row>
    <row r="330" spans="12:12">
      <c r="L330" s="32"/>
    </row>
    <row r="331" spans="12:12">
      <c r="L331" s="33"/>
    </row>
    <row r="332" spans="12:12">
      <c r="L332" s="32"/>
    </row>
    <row r="333" spans="12:12">
      <c r="L333" s="33"/>
    </row>
    <row r="334" spans="12:12">
      <c r="L334" s="32"/>
    </row>
    <row r="335" spans="12:12">
      <c r="L335" s="33"/>
    </row>
    <row r="336" spans="12:12">
      <c r="L336" s="32"/>
    </row>
    <row r="337" spans="12:12">
      <c r="L337" s="33"/>
    </row>
    <row r="338" spans="12:12">
      <c r="L338" s="32"/>
    </row>
    <row r="339" spans="12:12">
      <c r="L339" s="33"/>
    </row>
    <row r="340" spans="12:12">
      <c r="L340" s="32"/>
    </row>
    <row r="341" spans="12:12">
      <c r="L341" s="33"/>
    </row>
    <row r="342" spans="12:12">
      <c r="L342" s="32"/>
    </row>
    <row r="343" spans="12:12">
      <c r="L343" s="33"/>
    </row>
    <row r="344" spans="12:12">
      <c r="L344" s="32"/>
    </row>
    <row r="345" spans="12:12">
      <c r="L345" s="33"/>
    </row>
    <row r="346" spans="12:12">
      <c r="L346" s="32"/>
    </row>
    <row r="347" spans="12:12">
      <c r="L347" s="33"/>
    </row>
    <row r="348" spans="12:12">
      <c r="L348" s="32"/>
    </row>
    <row r="349" spans="12:12">
      <c r="L349" s="33"/>
    </row>
    <row r="350" spans="12:12">
      <c r="L350" s="32"/>
    </row>
    <row r="351" spans="12:12">
      <c r="L351" s="33"/>
    </row>
    <row r="352" spans="12:12">
      <c r="L352" s="32"/>
    </row>
    <row r="353" spans="12:12">
      <c r="L353" s="33"/>
    </row>
    <row r="354" spans="12:12">
      <c r="L354" s="32"/>
    </row>
    <row r="355" spans="12:12">
      <c r="L355" s="33"/>
    </row>
    <row r="356" spans="12:12">
      <c r="L356" s="32"/>
    </row>
    <row r="357" spans="12:12">
      <c r="L357" s="33"/>
    </row>
    <row r="358" spans="12:12">
      <c r="L358" s="32"/>
    </row>
    <row r="359" spans="12:12">
      <c r="L359" s="33"/>
    </row>
    <row r="360" spans="12:12">
      <c r="L360" s="32"/>
    </row>
    <row r="361" spans="12:12">
      <c r="L361" s="33"/>
    </row>
    <row r="362" spans="12:12">
      <c r="L362" s="32"/>
    </row>
    <row r="363" spans="12:12">
      <c r="L363" s="33"/>
    </row>
    <row r="364" spans="12:12">
      <c r="L364" s="32"/>
    </row>
    <row r="365" spans="12:12">
      <c r="L365" s="33"/>
    </row>
    <row r="366" spans="12:12">
      <c r="L366" s="32"/>
    </row>
    <row r="367" spans="12:12">
      <c r="L367" s="33"/>
    </row>
    <row r="368" spans="12:12">
      <c r="L368" s="32"/>
    </row>
    <row r="369" spans="12:12">
      <c r="L369" s="33"/>
    </row>
    <row r="370" spans="12:12">
      <c r="L370" s="32"/>
    </row>
    <row r="371" spans="12:12">
      <c r="L371" s="33"/>
    </row>
    <row r="372" spans="12:12">
      <c r="L372" s="32"/>
    </row>
    <row r="373" spans="12:12">
      <c r="L373" s="33"/>
    </row>
    <row r="374" spans="12:12">
      <c r="L374" s="32"/>
    </row>
    <row r="375" spans="12:12">
      <c r="L375" s="33"/>
    </row>
    <row r="376" spans="12:12">
      <c r="L376" s="32"/>
    </row>
    <row r="377" spans="12:12">
      <c r="L377" s="33"/>
    </row>
    <row r="378" spans="12:12">
      <c r="L378" s="32"/>
    </row>
    <row r="379" spans="12:12">
      <c r="L379" s="33"/>
    </row>
    <row r="380" spans="12:12">
      <c r="L380" s="32"/>
    </row>
    <row r="381" spans="12:12">
      <c r="L381" s="33"/>
    </row>
    <row r="382" spans="12:12">
      <c r="L382" s="32"/>
    </row>
    <row r="383" spans="12:12">
      <c r="L383" s="33"/>
    </row>
    <row r="384" spans="12:12">
      <c r="L384" s="32"/>
    </row>
    <row r="385" spans="12:12">
      <c r="L385" s="33"/>
    </row>
    <row r="386" spans="12:12">
      <c r="L386" s="32"/>
    </row>
    <row r="387" spans="12:12">
      <c r="L387" s="33"/>
    </row>
    <row r="388" spans="12:12">
      <c r="L388" s="32"/>
    </row>
    <row r="389" spans="12:12">
      <c r="L389" s="33"/>
    </row>
    <row r="390" spans="12:12">
      <c r="L390" s="32"/>
    </row>
    <row r="391" spans="12:12">
      <c r="L391" s="33"/>
    </row>
    <row r="392" spans="12:12">
      <c r="L392" s="32"/>
    </row>
    <row r="393" spans="12:12">
      <c r="L393" s="33"/>
    </row>
    <row r="394" spans="12:12">
      <c r="L394" s="32"/>
    </row>
    <row r="395" spans="12:12">
      <c r="L395" s="33"/>
    </row>
    <row r="396" spans="12:12">
      <c r="L396" s="32"/>
    </row>
    <row r="397" spans="12:12">
      <c r="L397" s="33"/>
    </row>
    <row r="398" spans="12:12">
      <c r="L398" s="32"/>
    </row>
    <row r="399" spans="12:12">
      <c r="L399" s="33"/>
    </row>
    <row r="400" spans="12:12">
      <c r="L400" s="32"/>
    </row>
    <row r="401" spans="12:12">
      <c r="L401" s="33"/>
    </row>
    <row r="402" spans="12:12">
      <c r="L402" s="32"/>
    </row>
    <row r="403" spans="12:12">
      <c r="L403" s="33"/>
    </row>
    <row r="404" spans="12:12">
      <c r="L404" s="32"/>
    </row>
    <row r="405" spans="12:12">
      <c r="L405" s="33"/>
    </row>
    <row r="406" spans="12:12">
      <c r="L406" s="32"/>
    </row>
    <row r="407" spans="12:12">
      <c r="L407" s="33"/>
    </row>
    <row r="408" spans="12:12">
      <c r="L408" s="32"/>
    </row>
    <row r="409" spans="12:12">
      <c r="L409" s="33"/>
    </row>
    <row r="410" spans="12:12">
      <c r="L410" s="32"/>
    </row>
    <row r="411" spans="12:12">
      <c r="L411" s="33"/>
    </row>
    <row r="412" spans="12:12">
      <c r="L412" s="32"/>
    </row>
    <row r="413" spans="12:12">
      <c r="L413" s="33"/>
    </row>
    <row r="414" spans="12:12">
      <c r="L414" s="32"/>
    </row>
    <row r="415" spans="12:12">
      <c r="L415" s="33"/>
    </row>
    <row r="416" spans="12:12">
      <c r="L416" s="32"/>
    </row>
    <row r="417" spans="12:12">
      <c r="L417" s="33"/>
    </row>
    <row r="418" spans="12:12">
      <c r="L418" s="32"/>
    </row>
    <row r="419" spans="12:12">
      <c r="L419" s="33"/>
    </row>
    <row r="420" spans="12:12">
      <c r="L420" s="32"/>
    </row>
    <row r="421" spans="12:12">
      <c r="L421" s="33"/>
    </row>
    <row r="422" spans="12:12">
      <c r="L422" s="32"/>
    </row>
    <row r="423" spans="12:12">
      <c r="L423" s="33"/>
    </row>
    <row r="424" spans="12:12">
      <c r="L424" s="32"/>
    </row>
    <row r="425" spans="12:12">
      <c r="L425" s="33"/>
    </row>
    <row r="426" spans="12:12">
      <c r="L426" s="32"/>
    </row>
    <row r="427" spans="12:12">
      <c r="L427" s="33"/>
    </row>
    <row r="428" spans="12:12">
      <c r="L428" s="32"/>
    </row>
    <row r="429" spans="12:12">
      <c r="L429" s="33"/>
    </row>
    <row r="430" spans="12:12">
      <c r="L430" s="32"/>
    </row>
    <row r="431" spans="12:12">
      <c r="L431" s="33"/>
    </row>
    <row r="432" spans="12:12">
      <c r="L432" s="32"/>
    </row>
    <row r="433" spans="12:12">
      <c r="L433" s="33"/>
    </row>
    <row r="434" spans="12:12">
      <c r="L434" s="32"/>
    </row>
    <row r="435" spans="12:12">
      <c r="L435" s="33"/>
    </row>
    <row r="436" spans="12:12">
      <c r="L436" s="32"/>
    </row>
    <row r="437" spans="12:12">
      <c r="L437" s="33"/>
    </row>
    <row r="438" spans="12:12">
      <c r="L438" s="32"/>
    </row>
    <row r="439" spans="12:12">
      <c r="L439" s="33"/>
    </row>
    <row r="440" spans="12:12">
      <c r="L440" s="32"/>
    </row>
    <row r="441" spans="12:12">
      <c r="L441" s="33"/>
    </row>
    <row r="442" spans="12:12">
      <c r="L442" s="32"/>
    </row>
    <row r="443" spans="12:12">
      <c r="L443" s="33"/>
    </row>
    <row r="444" spans="12:12">
      <c r="L444" s="32"/>
    </row>
    <row r="445" spans="12:12">
      <c r="L445" s="33"/>
    </row>
    <row r="446" spans="12:12">
      <c r="L446" s="32"/>
    </row>
    <row r="447" spans="12:12">
      <c r="L447" s="33"/>
    </row>
    <row r="448" spans="12:12">
      <c r="L448" s="32"/>
    </row>
    <row r="449" spans="12:12">
      <c r="L449" s="33"/>
    </row>
    <row r="450" spans="12:12">
      <c r="L450" s="32"/>
    </row>
    <row r="451" spans="12:12">
      <c r="L451" s="33"/>
    </row>
    <row r="452" spans="12:12">
      <c r="L452" s="32"/>
    </row>
    <row r="453" spans="12:12">
      <c r="L453" s="33"/>
    </row>
    <row r="454" spans="12:12">
      <c r="L454" s="32"/>
    </row>
    <row r="455" spans="12:12">
      <c r="L455" s="33"/>
    </row>
    <row r="456" spans="12:12">
      <c r="L456" s="32"/>
    </row>
    <row r="457" spans="12:12">
      <c r="L457" s="33"/>
    </row>
    <row r="458" spans="12:12">
      <c r="L458" s="32"/>
    </row>
    <row r="459" spans="12:12">
      <c r="L459" s="33"/>
    </row>
    <row r="460" spans="12:12">
      <c r="L460" s="32"/>
    </row>
    <row r="461" spans="12:12">
      <c r="L461" s="33"/>
    </row>
    <row r="462" spans="12:12">
      <c r="L462" s="32"/>
    </row>
    <row r="463" spans="12:12">
      <c r="L463" s="33"/>
    </row>
    <row r="464" spans="12:12">
      <c r="L464" s="32"/>
    </row>
    <row r="465" spans="12:12">
      <c r="L465" s="33"/>
    </row>
    <row r="466" spans="12:12">
      <c r="L466" s="32"/>
    </row>
    <row r="467" spans="12:12">
      <c r="L467" s="33"/>
    </row>
    <row r="468" spans="12:12">
      <c r="L468" s="32"/>
    </row>
    <row r="469" spans="12:12">
      <c r="L469" s="33"/>
    </row>
    <row r="470" spans="12:12">
      <c r="L470" s="32"/>
    </row>
    <row r="471" spans="12:12">
      <c r="L471" s="33"/>
    </row>
    <row r="472" spans="12:12">
      <c r="L472" s="32"/>
    </row>
    <row r="473" spans="12:12">
      <c r="L473" s="33"/>
    </row>
    <row r="474" spans="12:12">
      <c r="L474" s="32"/>
    </row>
    <row r="475" spans="12:12">
      <c r="L475" s="33"/>
    </row>
    <row r="476" spans="12:12">
      <c r="L476" s="32"/>
    </row>
    <row r="477" spans="12:12">
      <c r="L477" s="33"/>
    </row>
    <row r="478" spans="12:12">
      <c r="L478" s="32"/>
    </row>
    <row r="479" spans="12:12">
      <c r="L479" s="33"/>
    </row>
    <row r="480" spans="12:12">
      <c r="L480" s="32"/>
    </row>
    <row r="481" spans="12:12">
      <c r="L481" s="33"/>
    </row>
    <row r="482" spans="12:12">
      <c r="L482" s="32"/>
    </row>
    <row r="483" spans="12:12">
      <c r="L483" s="33"/>
    </row>
    <row r="484" spans="12:12">
      <c r="L484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A2" sqref="A2"/>
    </sheetView>
  </sheetViews>
  <sheetFormatPr defaultColWidth="14.44140625" defaultRowHeight="15" customHeight="1"/>
  <cols>
    <col min="1" max="1" width="16.88671875" style="4" bestFit="1" customWidth="1"/>
    <col min="2" max="2" width="9.6640625" bestFit="1" customWidth="1"/>
    <col min="3" max="3" width="14.77734375" style="8" bestFit="1" customWidth="1"/>
    <col min="4" max="4" width="9.6640625" style="8" bestFit="1" customWidth="1"/>
    <col min="5" max="5" width="15.33203125" style="8" bestFit="1" customWidth="1"/>
    <col min="6" max="6" width="17.77734375" style="8" bestFit="1" customWidth="1"/>
    <col min="7" max="7" width="10.21875" style="8" bestFit="1" customWidth="1"/>
    <col min="8" max="26" width="8.6640625" customWidth="1"/>
  </cols>
  <sheetData>
    <row r="1" spans="1:7" ht="14.4">
      <c r="A1" s="114" t="s">
        <v>341</v>
      </c>
      <c r="B1" s="115" t="s">
        <v>1</v>
      </c>
      <c r="C1" s="116" t="s">
        <v>342</v>
      </c>
      <c r="D1" s="116" t="s">
        <v>343</v>
      </c>
      <c r="E1" s="116" t="s">
        <v>344</v>
      </c>
      <c r="F1" s="116" t="s">
        <v>345</v>
      </c>
      <c r="G1" s="116" t="s">
        <v>346</v>
      </c>
    </row>
    <row r="2" spans="1:7" ht="14.4">
      <c r="A2" s="111">
        <v>45446</v>
      </c>
      <c r="B2" s="112" t="s">
        <v>14</v>
      </c>
      <c r="C2" s="113">
        <v>1402</v>
      </c>
      <c r="D2" s="113">
        <v>68</v>
      </c>
      <c r="E2" s="113">
        <v>124562</v>
      </c>
      <c r="F2" s="113">
        <v>9.92</v>
      </c>
      <c r="G2" s="113">
        <v>23125</v>
      </c>
    </row>
    <row r="3" spans="1:7" ht="14.4">
      <c r="A3" s="111">
        <v>45446</v>
      </c>
      <c r="B3" s="112" t="s">
        <v>24</v>
      </c>
      <c r="C3" s="113">
        <v>995</v>
      </c>
      <c r="D3" s="113">
        <v>86</v>
      </c>
      <c r="E3" s="113">
        <v>227958</v>
      </c>
      <c r="F3" s="113">
        <v>8.0500000000000007</v>
      </c>
      <c r="G3" s="113">
        <v>22788</v>
      </c>
    </row>
    <row r="4" spans="1:7" ht="14.4">
      <c r="A4" s="111">
        <v>45446</v>
      </c>
      <c r="B4" s="112" t="s">
        <v>397</v>
      </c>
      <c r="C4" s="113">
        <v>1472</v>
      </c>
      <c r="D4" s="113">
        <v>296</v>
      </c>
      <c r="E4" s="113">
        <v>370242</v>
      </c>
      <c r="F4" s="113">
        <v>7.72</v>
      </c>
      <c r="G4" s="113">
        <v>7810</v>
      </c>
    </row>
    <row r="5" spans="1:7" ht="14.4">
      <c r="A5" s="111">
        <v>45453</v>
      </c>
      <c r="B5" s="112" t="s">
        <v>14</v>
      </c>
      <c r="C5" s="113">
        <v>1018</v>
      </c>
      <c r="D5" s="113">
        <v>90</v>
      </c>
      <c r="E5" s="113">
        <v>92474</v>
      </c>
      <c r="F5" s="113">
        <v>9.4</v>
      </c>
      <c r="G5" s="113">
        <v>11966</v>
      </c>
    </row>
    <row r="6" spans="1:7" ht="14.4">
      <c r="A6" s="111">
        <v>45453</v>
      </c>
      <c r="B6" s="112" t="s">
        <v>24</v>
      </c>
      <c r="C6" s="113">
        <v>1461</v>
      </c>
      <c r="D6" s="113">
        <v>64</v>
      </c>
      <c r="E6" s="113">
        <v>328902</v>
      </c>
      <c r="F6" s="113">
        <v>9.02</v>
      </c>
      <c r="G6" s="113">
        <v>26298</v>
      </c>
    </row>
    <row r="7" spans="1:7" ht="14.4">
      <c r="A7" s="111">
        <v>45453</v>
      </c>
      <c r="B7" s="112" t="s">
        <v>397</v>
      </c>
      <c r="C7" s="113">
        <v>545</v>
      </c>
      <c r="D7" s="113">
        <v>93</v>
      </c>
      <c r="E7" s="113">
        <v>391621</v>
      </c>
      <c r="F7" s="113">
        <v>9.9600000000000009</v>
      </c>
      <c r="G7" s="113">
        <v>22029</v>
      </c>
    </row>
    <row r="8" spans="1:7" ht="14.4">
      <c r="A8" s="111">
        <v>45460</v>
      </c>
      <c r="B8" s="112" t="s">
        <v>14</v>
      </c>
      <c r="C8" s="113">
        <v>881</v>
      </c>
      <c r="D8" s="113">
        <v>291</v>
      </c>
      <c r="E8" s="113">
        <v>95885</v>
      </c>
      <c r="F8" s="113">
        <v>5.29</v>
      </c>
      <c r="G8" s="113">
        <v>12391</v>
      </c>
    </row>
    <row r="9" spans="1:7" ht="14.4">
      <c r="A9" s="111">
        <v>45460</v>
      </c>
      <c r="B9" s="112" t="s">
        <v>24</v>
      </c>
      <c r="C9" s="113">
        <v>1414</v>
      </c>
      <c r="D9" s="113">
        <v>131</v>
      </c>
      <c r="E9" s="113">
        <v>245947</v>
      </c>
      <c r="F9" s="113">
        <v>8.3000000000000007</v>
      </c>
      <c r="G9" s="113">
        <v>14477</v>
      </c>
    </row>
    <row r="10" spans="1:7" ht="14.4">
      <c r="A10" s="111">
        <v>45460</v>
      </c>
      <c r="B10" s="112" t="s">
        <v>397</v>
      </c>
      <c r="C10" s="113">
        <v>1472</v>
      </c>
      <c r="D10" s="113">
        <v>170</v>
      </c>
      <c r="E10" s="113">
        <v>250428</v>
      </c>
      <c r="F10" s="113">
        <v>4.66</v>
      </c>
      <c r="G10" s="113">
        <v>25040</v>
      </c>
    </row>
    <row r="11" spans="1:7" ht="14.4">
      <c r="A11" s="111">
        <v>45467</v>
      </c>
      <c r="B11" s="112" t="s">
        <v>14</v>
      </c>
      <c r="C11" s="113">
        <v>809</v>
      </c>
      <c r="D11" s="113">
        <v>197</v>
      </c>
      <c r="E11" s="113">
        <v>87186</v>
      </c>
      <c r="F11" s="113">
        <v>9.48</v>
      </c>
      <c r="G11" s="113">
        <v>22619</v>
      </c>
    </row>
    <row r="12" spans="1:7" ht="14.4">
      <c r="A12" s="111">
        <v>45467</v>
      </c>
      <c r="B12" s="112" t="s">
        <v>24</v>
      </c>
      <c r="C12" s="113">
        <v>1371</v>
      </c>
      <c r="D12" s="113">
        <v>250</v>
      </c>
      <c r="E12" s="113">
        <v>128620</v>
      </c>
      <c r="F12" s="113">
        <v>7.11</v>
      </c>
      <c r="G12" s="113">
        <v>12399</v>
      </c>
    </row>
    <row r="13" spans="1:7" ht="14.4">
      <c r="A13" s="111">
        <v>45467</v>
      </c>
      <c r="B13" s="112" t="s">
        <v>397</v>
      </c>
      <c r="C13" s="113">
        <v>844</v>
      </c>
      <c r="D13" s="113">
        <v>144</v>
      </c>
      <c r="E13" s="113">
        <v>126015</v>
      </c>
      <c r="F13" s="113">
        <v>9.65</v>
      </c>
      <c r="G13" s="113">
        <v>22456</v>
      </c>
    </row>
    <row r="14" spans="1:7" ht="14.4">
      <c r="A14" s="111">
        <v>45474</v>
      </c>
      <c r="B14" s="112" t="s">
        <v>14</v>
      </c>
      <c r="C14" s="113">
        <v>786</v>
      </c>
      <c r="D14" s="113">
        <v>72</v>
      </c>
      <c r="E14" s="113">
        <v>178615</v>
      </c>
      <c r="F14" s="113">
        <v>5.43</v>
      </c>
      <c r="G14" s="113">
        <v>19328</v>
      </c>
    </row>
    <row r="15" spans="1:7" ht="14.4">
      <c r="A15" s="111">
        <v>45474</v>
      </c>
      <c r="B15" s="112" t="s">
        <v>24</v>
      </c>
      <c r="C15" s="113">
        <v>845</v>
      </c>
      <c r="D15" s="113">
        <v>250</v>
      </c>
      <c r="E15" s="113">
        <v>218228</v>
      </c>
      <c r="F15" s="113">
        <v>4.5199999999999996</v>
      </c>
      <c r="G15" s="113">
        <v>21107</v>
      </c>
    </row>
    <row r="16" spans="1:7" ht="14.4">
      <c r="A16" s="111">
        <v>45474</v>
      </c>
      <c r="B16" s="112" t="s">
        <v>397</v>
      </c>
      <c r="C16" s="113">
        <v>1218</v>
      </c>
      <c r="D16" s="113">
        <v>101</v>
      </c>
      <c r="E16" s="113">
        <v>300397</v>
      </c>
      <c r="F16" s="113">
        <v>4.33</v>
      </c>
      <c r="G16" s="113">
        <v>12277</v>
      </c>
    </row>
    <row r="17" spans="1:7" ht="14.4">
      <c r="A17" s="111">
        <v>45481</v>
      </c>
      <c r="B17" s="112" t="s">
        <v>14</v>
      </c>
      <c r="C17" s="113">
        <v>797</v>
      </c>
      <c r="D17" s="113">
        <v>130</v>
      </c>
      <c r="E17" s="113">
        <v>340121</v>
      </c>
      <c r="F17" s="113">
        <v>8.52</v>
      </c>
      <c r="G17" s="113">
        <v>11684</v>
      </c>
    </row>
    <row r="18" spans="1:7" ht="14.4">
      <c r="A18" s="111">
        <v>45481</v>
      </c>
      <c r="B18" s="112" t="s">
        <v>24</v>
      </c>
      <c r="C18" s="113">
        <v>1471</v>
      </c>
      <c r="D18" s="113">
        <v>100</v>
      </c>
      <c r="E18" s="113">
        <v>76866</v>
      </c>
      <c r="F18" s="113">
        <v>8.5500000000000007</v>
      </c>
      <c r="G18" s="113">
        <v>14412</v>
      </c>
    </row>
    <row r="19" spans="1:7" ht="14.4">
      <c r="A19" s="111">
        <v>45481</v>
      </c>
      <c r="B19" s="112" t="s">
        <v>397</v>
      </c>
      <c r="C19" s="113">
        <v>1253</v>
      </c>
      <c r="D19" s="113">
        <v>136</v>
      </c>
      <c r="E19" s="113">
        <v>193131</v>
      </c>
      <c r="F19" s="113">
        <v>7.99</v>
      </c>
      <c r="G19" s="113">
        <v>15924</v>
      </c>
    </row>
    <row r="20" spans="1:7" ht="14.4">
      <c r="A20" s="111">
        <v>45488</v>
      </c>
      <c r="B20" s="112" t="s">
        <v>14</v>
      </c>
      <c r="C20" s="113">
        <v>616</v>
      </c>
      <c r="D20" s="113">
        <v>257</v>
      </c>
      <c r="E20" s="113">
        <v>169665</v>
      </c>
      <c r="F20" s="113">
        <v>6.31</v>
      </c>
      <c r="G20" s="113">
        <v>12390</v>
      </c>
    </row>
    <row r="21" spans="1:7" ht="15.75" customHeight="1">
      <c r="A21" s="111">
        <v>45488</v>
      </c>
      <c r="B21" s="112" t="s">
        <v>24</v>
      </c>
      <c r="C21" s="113">
        <v>1308</v>
      </c>
      <c r="D21" s="113">
        <v>210</v>
      </c>
      <c r="E21" s="113">
        <v>263729</v>
      </c>
      <c r="F21" s="113">
        <v>8.5299999999999994</v>
      </c>
      <c r="G21" s="113">
        <v>25742</v>
      </c>
    </row>
    <row r="22" spans="1:7" ht="15.75" customHeight="1">
      <c r="A22" s="111">
        <v>45488</v>
      </c>
      <c r="B22" s="112" t="s">
        <v>397</v>
      </c>
      <c r="C22" s="113">
        <v>981</v>
      </c>
      <c r="D22" s="113">
        <v>69</v>
      </c>
      <c r="E22" s="113">
        <v>206921</v>
      </c>
      <c r="F22" s="113">
        <v>8.42</v>
      </c>
      <c r="G22" s="113">
        <v>10495</v>
      </c>
    </row>
    <row r="23" spans="1:7" ht="15.75" customHeight="1">
      <c r="A23" s="111">
        <v>45495</v>
      </c>
      <c r="B23" s="112" t="s">
        <v>14</v>
      </c>
      <c r="C23" s="113">
        <v>866</v>
      </c>
      <c r="D23" s="113">
        <v>74</v>
      </c>
      <c r="E23" s="113">
        <v>204121</v>
      </c>
      <c r="F23" s="113">
        <v>9.34</v>
      </c>
      <c r="G23" s="113">
        <v>7797</v>
      </c>
    </row>
    <row r="24" spans="1:7" ht="15.75" customHeight="1">
      <c r="A24" s="111">
        <v>45495</v>
      </c>
      <c r="B24" s="112" t="s">
        <v>24</v>
      </c>
      <c r="C24" s="113">
        <v>547</v>
      </c>
      <c r="D24" s="113">
        <v>183</v>
      </c>
      <c r="E24" s="113">
        <v>266350</v>
      </c>
      <c r="F24" s="113">
        <v>5.65</v>
      </c>
      <c r="G24" s="113">
        <v>15595</v>
      </c>
    </row>
    <row r="25" spans="1:7" ht="15.75" customHeight="1">
      <c r="A25" s="111">
        <v>45495</v>
      </c>
      <c r="B25" s="112" t="s">
        <v>397</v>
      </c>
      <c r="C25" s="113">
        <v>1241</v>
      </c>
      <c r="D25" s="113">
        <v>116</v>
      </c>
      <c r="E25" s="113">
        <v>380606</v>
      </c>
      <c r="F25" s="113">
        <v>4.2</v>
      </c>
      <c r="G25" s="113">
        <v>24617</v>
      </c>
    </row>
    <row r="26" spans="1:7" ht="15.75" customHeight="1">
      <c r="A26" s="111">
        <v>45502</v>
      </c>
      <c r="B26" s="112" t="s">
        <v>14</v>
      </c>
      <c r="C26" s="113">
        <v>973</v>
      </c>
      <c r="D26" s="113">
        <v>104</v>
      </c>
      <c r="E26" s="113">
        <v>376358</v>
      </c>
      <c r="F26" s="113">
        <v>3.87</v>
      </c>
      <c r="G26" s="113">
        <v>9847</v>
      </c>
    </row>
    <row r="27" spans="1:7" ht="15.75" customHeight="1">
      <c r="A27" s="111">
        <v>45502</v>
      </c>
      <c r="B27" s="112" t="s">
        <v>24</v>
      </c>
      <c r="C27" s="113">
        <v>611</v>
      </c>
      <c r="D27" s="113">
        <v>197</v>
      </c>
      <c r="E27" s="113">
        <v>79423</v>
      </c>
      <c r="F27" s="113">
        <v>5.82</v>
      </c>
      <c r="G27" s="113">
        <v>13644</v>
      </c>
    </row>
    <row r="28" spans="1:7" ht="15.75" customHeight="1">
      <c r="A28" s="111">
        <v>45502</v>
      </c>
      <c r="B28" s="112" t="s">
        <v>397</v>
      </c>
      <c r="C28" s="113">
        <v>983</v>
      </c>
      <c r="D28" s="113">
        <v>134</v>
      </c>
      <c r="E28" s="113">
        <v>352178</v>
      </c>
      <c r="F28" s="113">
        <v>3.55</v>
      </c>
      <c r="G28" s="113">
        <v>11421</v>
      </c>
    </row>
    <row r="29" spans="1:7" ht="15.75" customHeight="1">
      <c r="A29" s="111">
        <v>45509</v>
      </c>
      <c r="B29" s="112" t="s">
        <v>14</v>
      </c>
      <c r="C29" s="113">
        <v>1449</v>
      </c>
      <c r="D29" s="113">
        <v>96</v>
      </c>
      <c r="E29" s="113">
        <v>200636</v>
      </c>
      <c r="F29" s="113">
        <v>9.92</v>
      </c>
      <c r="G29" s="113">
        <v>15613</v>
      </c>
    </row>
    <row r="30" spans="1:7" ht="15.75" customHeight="1">
      <c r="A30" s="111">
        <v>45509</v>
      </c>
      <c r="B30" s="112" t="s">
        <v>24</v>
      </c>
      <c r="C30" s="113">
        <v>752</v>
      </c>
      <c r="D30" s="113">
        <v>170</v>
      </c>
      <c r="E30" s="113">
        <v>132756</v>
      </c>
      <c r="F30" s="113">
        <v>8.17</v>
      </c>
      <c r="G30" s="113">
        <v>23900</v>
      </c>
    </row>
    <row r="31" spans="1:7" ht="15.75" customHeight="1">
      <c r="A31" s="111">
        <v>45509</v>
      </c>
      <c r="B31" s="112" t="s">
        <v>397</v>
      </c>
      <c r="C31" s="113">
        <v>937</v>
      </c>
      <c r="D31" s="113">
        <v>179</v>
      </c>
      <c r="E31" s="113">
        <v>318098</v>
      </c>
      <c r="F31" s="113">
        <v>5.3</v>
      </c>
      <c r="G31" s="113">
        <v>5836</v>
      </c>
    </row>
    <row r="32" spans="1:7" ht="15.75" customHeight="1">
      <c r="A32" s="111">
        <v>45516</v>
      </c>
      <c r="B32" s="112" t="s">
        <v>14</v>
      </c>
      <c r="C32" s="113">
        <v>1060</v>
      </c>
      <c r="D32" s="113">
        <v>83</v>
      </c>
      <c r="E32" s="113">
        <v>68724</v>
      </c>
      <c r="F32" s="113">
        <v>5.98</v>
      </c>
      <c r="G32" s="113">
        <v>5624</v>
      </c>
    </row>
    <row r="33" spans="1:7" ht="15.75" customHeight="1">
      <c r="A33" s="111">
        <v>45516</v>
      </c>
      <c r="B33" s="112" t="s">
        <v>24</v>
      </c>
      <c r="C33" s="113">
        <v>1456</v>
      </c>
      <c r="D33" s="113">
        <v>265</v>
      </c>
      <c r="E33" s="113">
        <v>115505</v>
      </c>
      <c r="F33" s="113">
        <v>7.49</v>
      </c>
      <c r="G33" s="113">
        <v>10311</v>
      </c>
    </row>
    <row r="34" spans="1:7" ht="15.75" customHeight="1">
      <c r="A34" s="111">
        <v>45516</v>
      </c>
      <c r="B34" s="112" t="s">
        <v>397</v>
      </c>
      <c r="C34" s="113">
        <v>1109</v>
      </c>
      <c r="D34" s="113">
        <v>205</v>
      </c>
      <c r="E34" s="113">
        <v>276722</v>
      </c>
      <c r="F34" s="113">
        <v>9.3800000000000008</v>
      </c>
      <c r="G34" s="113">
        <v>8274</v>
      </c>
    </row>
    <row r="35" spans="1:7" ht="15.75" customHeight="1">
      <c r="A35" s="111">
        <v>45523</v>
      </c>
      <c r="B35" s="112" t="s">
        <v>14</v>
      </c>
      <c r="C35" s="113">
        <v>1002</v>
      </c>
      <c r="D35" s="113">
        <v>93</v>
      </c>
      <c r="E35" s="113">
        <v>353538</v>
      </c>
      <c r="F35" s="113">
        <v>5.84</v>
      </c>
      <c r="G35" s="113">
        <v>6031</v>
      </c>
    </row>
    <row r="36" spans="1:7" ht="15.75" customHeight="1">
      <c r="A36" s="111">
        <v>45523</v>
      </c>
      <c r="B36" s="112" t="s">
        <v>24</v>
      </c>
      <c r="C36" s="113">
        <v>571</v>
      </c>
      <c r="D36" s="113">
        <v>189</v>
      </c>
      <c r="E36" s="113">
        <v>61445</v>
      </c>
      <c r="F36" s="113">
        <v>5.41</v>
      </c>
      <c r="G36" s="113">
        <v>27829</v>
      </c>
    </row>
    <row r="37" spans="1:7" ht="15.75" customHeight="1">
      <c r="A37" s="111">
        <v>45523</v>
      </c>
      <c r="B37" s="112" t="s">
        <v>397</v>
      </c>
      <c r="C37" s="113">
        <v>1240</v>
      </c>
      <c r="D37" s="113">
        <v>231</v>
      </c>
      <c r="E37" s="113">
        <v>165035</v>
      </c>
      <c r="F37" s="113">
        <v>6.05</v>
      </c>
      <c r="G37" s="113">
        <v>18267</v>
      </c>
    </row>
    <row r="38" spans="1:7" ht="15.75" customHeight="1">
      <c r="A38" s="111">
        <v>45530</v>
      </c>
      <c r="B38" s="112" t="s">
        <v>14</v>
      </c>
      <c r="C38" s="113">
        <v>1154</v>
      </c>
      <c r="D38" s="113">
        <v>132</v>
      </c>
      <c r="E38" s="113">
        <v>194595</v>
      </c>
      <c r="F38" s="113">
        <v>7.54</v>
      </c>
      <c r="G38" s="113">
        <v>26624</v>
      </c>
    </row>
    <row r="39" spans="1:7" ht="15.75" customHeight="1">
      <c r="A39" s="111">
        <v>45530</v>
      </c>
      <c r="B39" s="112" t="s">
        <v>24</v>
      </c>
      <c r="C39" s="113">
        <v>537</v>
      </c>
      <c r="D39" s="113">
        <v>275</v>
      </c>
      <c r="E39" s="113">
        <v>236238</v>
      </c>
      <c r="F39" s="113">
        <v>5.87</v>
      </c>
      <c r="G39" s="113">
        <v>26644</v>
      </c>
    </row>
    <row r="40" spans="1:7" ht="15.75" customHeight="1">
      <c r="A40" s="111">
        <v>45530</v>
      </c>
      <c r="B40" s="112" t="s">
        <v>397</v>
      </c>
      <c r="C40" s="113">
        <v>1456</v>
      </c>
      <c r="D40" s="113">
        <v>290</v>
      </c>
      <c r="E40" s="113">
        <v>271044</v>
      </c>
      <c r="F40" s="113">
        <v>7.17</v>
      </c>
      <c r="G40" s="113">
        <v>13051</v>
      </c>
    </row>
    <row r="41" spans="1:7" ht="15.75" customHeight="1">
      <c r="A41" s="111">
        <v>45537</v>
      </c>
      <c r="B41" s="112" t="s">
        <v>14</v>
      </c>
      <c r="C41" s="113">
        <v>721</v>
      </c>
      <c r="D41" s="113">
        <v>206</v>
      </c>
      <c r="E41" s="113">
        <v>334887</v>
      </c>
      <c r="F41" s="113">
        <v>6.05</v>
      </c>
      <c r="G41" s="113">
        <v>14217</v>
      </c>
    </row>
    <row r="42" spans="1:7" ht="15.75" customHeight="1">
      <c r="A42" s="111">
        <v>45537</v>
      </c>
      <c r="B42" s="112" t="s">
        <v>24</v>
      </c>
      <c r="C42" s="113">
        <v>1098</v>
      </c>
      <c r="D42" s="113">
        <v>142</v>
      </c>
      <c r="E42" s="113">
        <v>359150</v>
      </c>
      <c r="F42" s="113">
        <v>7.51</v>
      </c>
      <c r="G42" s="113">
        <v>16385</v>
      </c>
    </row>
    <row r="43" spans="1:7" ht="15.75" customHeight="1">
      <c r="A43" s="111">
        <v>45537</v>
      </c>
      <c r="B43" s="112" t="s">
        <v>397</v>
      </c>
      <c r="C43" s="113">
        <v>1096</v>
      </c>
      <c r="D43" s="113">
        <v>65</v>
      </c>
      <c r="E43" s="113">
        <v>358295</v>
      </c>
      <c r="F43" s="113">
        <v>7.66</v>
      </c>
      <c r="G43" s="113">
        <v>24548</v>
      </c>
    </row>
    <row r="44" spans="1:7" ht="15.75" customHeight="1">
      <c r="A44" s="111">
        <v>45544</v>
      </c>
      <c r="B44" s="112" t="s">
        <v>14</v>
      </c>
      <c r="C44" s="113">
        <v>912</v>
      </c>
      <c r="D44" s="113">
        <v>275</v>
      </c>
      <c r="E44" s="113">
        <v>368454</v>
      </c>
      <c r="F44" s="113">
        <v>6.03</v>
      </c>
      <c r="G44" s="113">
        <v>9195</v>
      </c>
    </row>
    <row r="45" spans="1:7" ht="15.75" customHeight="1">
      <c r="A45" s="111">
        <v>45544</v>
      </c>
      <c r="B45" s="112" t="s">
        <v>24</v>
      </c>
      <c r="C45" s="113">
        <v>1430</v>
      </c>
      <c r="D45" s="113">
        <v>162</v>
      </c>
      <c r="E45" s="113">
        <v>269082</v>
      </c>
      <c r="F45" s="113">
        <v>3.4</v>
      </c>
      <c r="G45" s="113">
        <v>18071</v>
      </c>
    </row>
    <row r="46" spans="1:7" ht="15.75" customHeight="1">
      <c r="A46" s="111">
        <v>45544</v>
      </c>
      <c r="B46" s="112" t="s">
        <v>397</v>
      </c>
      <c r="C46" s="113">
        <v>854</v>
      </c>
      <c r="D46" s="113">
        <v>129</v>
      </c>
      <c r="E46" s="113">
        <v>310903</v>
      </c>
      <c r="F46" s="113">
        <v>7.83</v>
      </c>
      <c r="G46" s="113">
        <v>16875</v>
      </c>
    </row>
    <row r="47" spans="1:7" ht="15.75" customHeight="1">
      <c r="A47" s="111">
        <v>45551</v>
      </c>
      <c r="B47" s="112" t="s">
        <v>14</v>
      </c>
      <c r="C47" s="113">
        <v>681</v>
      </c>
      <c r="D47" s="113">
        <v>210</v>
      </c>
      <c r="E47" s="113">
        <v>248581</v>
      </c>
      <c r="F47" s="113">
        <v>8.76</v>
      </c>
      <c r="G47" s="113">
        <v>9567</v>
      </c>
    </row>
    <row r="48" spans="1:7" ht="15.75" customHeight="1">
      <c r="A48" s="111">
        <v>45551</v>
      </c>
      <c r="B48" s="112" t="s">
        <v>24</v>
      </c>
      <c r="C48" s="113">
        <v>1373</v>
      </c>
      <c r="D48" s="113">
        <v>82</v>
      </c>
      <c r="E48" s="113">
        <v>371015</v>
      </c>
      <c r="F48" s="113">
        <v>9.52</v>
      </c>
      <c r="G48" s="113">
        <v>20306</v>
      </c>
    </row>
    <row r="49" spans="1:7" ht="15.75" customHeight="1">
      <c r="A49" s="111">
        <v>45551</v>
      </c>
      <c r="B49" s="112" t="s">
        <v>397</v>
      </c>
      <c r="C49" s="113">
        <v>685</v>
      </c>
      <c r="D49" s="113">
        <v>285</v>
      </c>
      <c r="E49" s="113">
        <v>177452</v>
      </c>
      <c r="F49" s="113">
        <v>3.36</v>
      </c>
      <c r="G49" s="113">
        <v>21134</v>
      </c>
    </row>
    <row r="50" spans="1:7" ht="15.75" customHeight="1">
      <c r="A50" s="111">
        <v>45558</v>
      </c>
      <c r="B50" s="112" t="s">
        <v>14</v>
      </c>
      <c r="C50" s="113">
        <v>1290</v>
      </c>
      <c r="D50" s="113">
        <v>177</v>
      </c>
      <c r="E50" s="113">
        <v>80745</v>
      </c>
      <c r="F50" s="113">
        <v>9.2200000000000006</v>
      </c>
      <c r="G50" s="113">
        <v>26872</v>
      </c>
    </row>
    <row r="51" spans="1:7" ht="15.75" customHeight="1">
      <c r="A51" s="111">
        <v>45558</v>
      </c>
      <c r="B51" s="112" t="s">
        <v>24</v>
      </c>
      <c r="C51" s="113">
        <v>1437</v>
      </c>
      <c r="D51" s="113">
        <v>239</v>
      </c>
      <c r="E51" s="113">
        <v>362441</v>
      </c>
      <c r="F51" s="113">
        <v>5.57</v>
      </c>
      <c r="G51" s="113">
        <v>10253</v>
      </c>
    </row>
    <row r="52" spans="1:7" ht="15.75" customHeight="1">
      <c r="A52" s="111">
        <v>45558</v>
      </c>
      <c r="B52" s="112" t="s">
        <v>397</v>
      </c>
      <c r="C52" s="113">
        <v>769</v>
      </c>
      <c r="D52" s="113">
        <v>295</v>
      </c>
      <c r="E52" s="113">
        <v>344771</v>
      </c>
      <c r="F52" s="113">
        <v>8.06</v>
      </c>
      <c r="G52" s="113">
        <v>23963</v>
      </c>
    </row>
    <row r="53" spans="1:7" ht="15.75" customHeight="1">
      <c r="A53" s="111">
        <v>45565</v>
      </c>
      <c r="B53" s="112" t="s">
        <v>14</v>
      </c>
      <c r="C53" s="113">
        <v>1416</v>
      </c>
      <c r="D53" s="113">
        <v>284</v>
      </c>
      <c r="E53" s="113">
        <v>374952</v>
      </c>
      <c r="F53" s="113">
        <v>3.45</v>
      </c>
      <c r="G53" s="113">
        <v>11335</v>
      </c>
    </row>
    <row r="54" spans="1:7" ht="15.75" customHeight="1">
      <c r="A54" s="111">
        <v>45565</v>
      </c>
      <c r="B54" s="112" t="s">
        <v>24</v>
      </c>
      <c r="C54" s="113">
        <v>998</v>
      </c>
      <c r="D54" s="113">
        <v>154</v>
      </c>
      <c r="E54" s="113">
        <v>179781</v>
      </c>
      <c r="F54" s="113">
        <v>9.58</v>
      </c>
      <c r="G54" s="113">
        <v>12115</v>
      </c>
    </row>
    <row r="55" spans="1:7" ht="15.75" customHeight="1">
      <c r="A55" s="111">
        <v>45565</v>
      </c>
      <c r="B55" s="112" t="s">
        <v>397</v>
      </c>
      <c r="C55" s="113">
        <v>1421</v>
      </c>
      <c r="D55" s="113">
        <v>246</v>
      </c>
      <c r="E55" s="113">
        <v>358581</v>
      </c>
      <c r="F55" s="113">
        <v>8.8800000000000008</v>
      </c>
      <c r="G55" s="113">
        <v>24358</v>
      </c>
    </row>
    <row r="56" spans="1:7" ht="15.75" customHeight="1">
      <c r="A56" s="111">
        <v>45572</v>
      </c>
      <c r="B56" s="112" t="s">
        <v>14</v>
      </c>
      <c r="C56" s="113">
        <v>764</v>
      </c>
      <c r="D56" s="113">
        <v>205</v>
      </c>
      <c r="E56" s="113">
        <v>319294</v>
      </c>
      <c r="F56" s="113">
        <v>6.23</v>
      </c>
      <c r="G56" s="113">
        <v>12181</v>
      </c>
    </row>
    <row r="57" spans="1:7" ht="15.75" customHeight="1">
      <c r="A57" s="111">
        <v>45572</v>
      </c>
      <c r="B57" s="112" t="s">
        <v>24</v>
      </c>
      <c r="C57" s="113">
        <v>678</v>
      </c>
      <c r="D57" s="113">
        <v>124</v>
      </c>
      <c r="E57" s="113">
        <v>192022</v>
      </c>
      <c r="F57" s="113">
        <v>8.4499999999999993</v>
      </c>
      <c r="G57" s="113">
        <v>17729</v>
      </c>
    </row>
    <row r="58" spans="1:7" ht="15.75" customHeight="1">
      <c r="A58" s="111">
        <v>45572</v>
      </c>
      <c r="B58" s="112" t="s">
        <v>397</v>
      </c>
      <c r="C58" s="113">
        <v>1328</v>
      </c>
      <c r="D58" s="113">
        <v>103</v>
      </c>
      <c r="E58" s="113">
        <v>151462</v>
      </c>
      <c r="F58" s="113">
        <v>8.4</v>
      </c>
      <c r="G58" s="113">
        <v>10881</v>
      </c>
    </row>
    <row r="59" spans="1:7" ht="15.75" customHeight="1">
      <c r="A59" s="111">
        <v>45579</v>
      </c>
      <c r="B59" s="112" t="s">
        <v>14</v>
      </c>
      <c r="C59" s="113">
        <v>1161</v>
      </c>
      <c r="D59" s="113">
        <v>269</v>
      </c>
      <c r="E59" s="113">
        <v>188193</v>
      </c>
      <c r="F59" s="113">
        <v>7.34</v>
      </c>
      <c r="G59" s="113">
        <v>18576</v>
      </c>
    </row>
    <row r="60" spans="1:7" ht="15.75" customHeight="1">
      <c r="A60" s="111">
        <v>45579</v>
      </c>
      <c r="B60" s="112" t="s">
        <v>24</v>
      </c>
      <c r="C60" s="113">
        <v>588</v>
      </c>
      <c r="D60" s="113">
        <v>52</v>
      </c>
      <c r="E60" s="113">
        <v>292040</v>
      </c>
      <c r="F60" s="113">
        <v>8.14</v>
      </c>
      <c r="G60" s="113">
        <v>9383</v>
      </c>
    </row>
    <row r="61" spans="1:7" ht="15.75" customHeight="1">
      <c r="A61" s="111">
        <v>45579</v>
      </c>
      <c r="B61" s="112" t="s">
        <v>397</v>
      </c>
      <c r="C61" s="113">
        <v>1457</v>
      </c>
      <c r="D61" s="113">
        <v>215</v>
      </c>
      <c r="E61" s="113">
        <v>325325</v>
      </c>
      <c r="F61" s="113">
        <v>9.58</v>
      </c>
      <c r="G61" s="113">
        <v>14178</v>
      </c>
    </row>
    <row r="62" spans="1:7" ht="15.75" customHeight="1">
      <c r="A62" s="111">
        <v>45586</v>
      </c>
      <c r="B62" s="112" t="s">
        <v>14</v>
      </c>
      <c r="C62" s="113">
        <v>1190</v>
      </c>
      <c r="D62" s="113">
        <v>242</v>
      </c>
      <c r="E62" s="113">
        <v>86849</v>
      </c>
      <c r="F62" s="113">
        <v>8.06</v>
      </c>
      <c r="G62" s="113">
        <v>21254</v>
      </c>
    </row>
    <row r="63" spans="1:7" ht="15.75" customHeight="1">
      <c r="A63" s="111">
        <v>45586</v>
      </c>
      <c r="B63" s="112" t="s">
        <v>24</v>
      </c>
      <c r="C63" s="113">
        <v>886</v>
      </c>
      <c r="D63" s="113">
        <v>124</v>
      </c>
      <c r="E63" s="113">
        <v>141161</v>
      </c>
      <c r="F63" s="113">
        <v>8.19</v>
      </c>
      <c r="G63" s="113">
        <v>14215</v>
      </c>
    </row>
    <row r="64" spans="1:7" ht="15.75" customHeight="1">
      <c r="A64" s="111">
        <v>45586</v>
      </c>
      <c r="B64" s="112" t="s">
        <v>397</v>
      </c>
      <c r="C64" s="113">
        <v>1237</v>
      </c>
      <c r="D64" s="113">
        <v>155</v>
      </c>
      <c r="E64" s="113">
        <v>149916</v>
      </c>
      <c r="F64" s="113">
        <v>4.4800000000000004</v>
      </c>
      <c r="G64" s="113">
        <v>16921</v>
      </c>
    </row>
    <row r="65" spans="1:7" ht="15.75" customHeight="1">
      <c r="A65" s="111">
        <v>45593</v>
      </c>
      <c r="B65" s="112" t="s">
        <v>14</v>
      </c>
      <c r="C65" s="113">
        <v>1435</v>
      </c>
      <c r="D65" s="113">
        <v>261</v>
      </c>
      <c r="E65" s="113">
        <v>308533</v>
      </c>
      <c r="F65" s="113">
        <v>4.5199999999999996</v>
      </c>
      <c r="G65" s="113">
        <v>25130</v>
      </c>
    </row>
    <row r="66" spans="1:7" ht="15.75" customHeight="1">
      <c r="A66" s="111">
        <v>45593</v>
      </c>
      <c r="B66" s="112" t="s">
        <v>24</v>
      </c>
      <c r="C66" s="113">
        <v>746</v>
      </c>
      <c r="D66" s="113">
        <v>282</v>
      </c>
      <c r="E66" s="113">
        <v>293894</v>
      </c>
      <c r="F66" s="113">
        <v>5.42</v>
      </c>
      <c r="G66" s="113">
        <v>25537</v>
      </c>
    </row>
    <row r="67" spans="1:7" ht="15.75" customHeight="1">
      <c r="A67" s="111">
        <v>45593</v>
      </c>
      <c r="B67" s="112" t="s">
        <v>397</v>
      </c>
      <c r="C67" s="113">
        <v>759</v>
      </c>
      <c r="D67" s="113">
        <v>216</v>
      </c>
      <c r="E67" s="113">
        <v>147656</v>
      </c>
      <c r="F67" s="113">
        <v>4.08</v>
      </c>
      <c r="G67" s="113">
        <v>24943</v>
      </c>
    </row>
    <row r="68" spans="1:7" ht="15.75" customHeight="1">
      <c r="A68" s="111">
        <v>45600</v>
      </c>
      <c r="B68" s="112" t="s">
        <v>14</v>
      </c>
      <c r="C68" s="113">
        <v>1437</v>
      </c>
      <c r="D68" s="113">
        <v>235</v>
      </c>
      <c r="E68" s="113">
        <v>326791</v>
      </c>
      <c r="F68" s="113">
        <v>4.0599999999999996</v>
      </c>
      <c r="G68" s="113">
        <v>14563</v>
      </c>
    </row>
    <row r="69" spans="1:7" ht="15.75" customHeight="1">
      <c r="A69" s="111">
        <v>45600</v>
      </c>
      <c r="B69" s="112" t="s">
        <v>24</v>
      </c>
      <c r="C69" s="113">
        <v>1463</v>
      </c>
      <c r="D69" s="113">
        <v>73</v>
      </c>
      <c r="E69" s="113">
        <v>348877</v>
      </c>
      <c r="F69" s="113">
        <v>9.91</v>
      </c>
      <c r="G69" s="113">
        <v>26273</v>
      </c>
    </row>
    <row r="70" spans="1:7" ht="15.75" customHeight="1">
      <c r="A70" s="111">
        <v>45600</v>
      </c>
      <c r="B70" s="112" t="s">
        <v>397</v>
      </c>
      <c r="C70" s="113">
        <v>1208</v>
      </c>
      <c r="D70" s="113">
        <v>224</v>
      </c>
      <c r="E70" s="113">
        <v>122730</v>
      </c>
      <c r="F70" s="113">
        <v>8.7200000000000006</v>
      </c>
      <c r="G70" s="113">
        <v>10858</v>
      </c>
    </row>
    <row r="71" spans="1:7" ht="15.75" customHeight="1">
      <c r="A71" s="111">
        <v>45607</v>
      </c>
      <c r="B71" s="112" t="s">
        <v>14</v>
      </c>
      <c r="C71" s="113">
        <v>1391</v>
      </c>
      <c r="D71" s="113">
        <v>187</v>
      </c>
      <c r="E71" s="113">
        <v>306508</v>
      </c>
      <c r="F71" s="113">
        <v>8.3800000000000008</v>
      </c>
      <c r="G71" s="113">
        <v>25038</v>
      </c>
    </row>
    <row r="72" spans="1:7" ht="15.75" customHeight="1">
      <c r="A72" s="111">
        <v>45607</v>
      </c>
      <c r="B72" s="112" t="s">
        <v>24</v>
      </c>
      <c r="C72" s="113">
        <v>655</v>
      </c>
      <c r="D72" s="113">
        <v>123</v>
      </c>
      <c r="E72" s="113">
        <v>202472</v>
      </c>
      <c r="F72" s="113">
        <v>7.56</v>
      </c>
      <c r="G72" s="113">
        <v>9092</v>
      </c>
    </row>
    <row r="73" spans="1:7" ht="15.75" customHeight="1">
      <c r="A73" s="111">
        <v>45607</v>
      </c>
      <c r="B73" s="112" t="s">
        <v>397</v>
      </c>
      <c r="C73" s="113">
        <v>1148</v>
      </c>
      <c r="D73" s="113">
        <v>90</v>
      </c>
      <c r="E73" s="113">
        <v>227249</v>
      </c>
      <c r="F73" s="113">
        <v>7.24</v>
      </c>
      <c r="G73" s="113">
        <v>17662</v>
      </c>
    </row>
    <row r="74" spans="1:7" ht="15.75" customHeight="1">
      <c r="A74" s="111">
        <v>45614</v>
      </c>
      <c r="B74" s="112" t="s">
        <v>14</v>
      </c>
      <c r="C74" s="113">
        <v>946</v>
      </c>
      <c r="D74" s="113">
        <v>270</v>
      </c>
      <c r="E74" s="113">
        <v>246567</v>
      </c>
      <c r="F74" s="113">
        <v>4.53</v>
      </c>
      <c r="G74" s="113">
        <v>5924</v>
      </c>
    </row>
    <row r="75" spans="1:7" ht="15.75" customHeight="1">
      <c r="A75" s="111">
        <v>45614</v>
      </c>
      <c r="B75" s="112" t="s">
        <v>24</v>
      </c>
      <c r="C75" s="113">
        <v>791</v>
      </c>
      <c r="D75" s="113">
        <v>214</v>
      </c>
      <c r="E75" s="113">
        <v>114738</v>
      </c>
      <c r="F75" s="113">
        <v>6.62</v>
      </c>
      <c r="G75" s="113">
        <v>25347</v>
      </c>
    </row>
    <row r="76" spans="1:7" ht="15.75" customHeight="1">
      <c r="A76" s="111">
        <v>45614</v>
      </c>
      <c r="B76" s="112" t="s">
        <v>397</v>
      </c>
      <c r="C76" s="113">
        <v>793</v>
      </c>
      <c r="D76" s="113">
        <v>111</v>
      </c>
      <c r="E76" s="113">
        <v>333500</v>
      </c>
      <c r="F76" s="113">
        <v>6.36</v>
      </c>
      <c r="G76" s="113">
        <v>8910</v>
      </c>
    </row>
    <row r="77" spans="1:7" ht="15.75" customHeight="1">
      <c r="A77" s="111">
        <v>45621</v>
      </c>
      <c r="B77" s="112" t="s">
        <v>14</v>
      </c>
      <c r="C77" s="113">
        <v>663</v>
      </c>
      <c r="D77" s="113">
        <v>213</v>
      </c>
      <c r="E77" s="113">
        <v>352677</v>
      </c>
      <c r="F77" s="113">
        <v>9</v>
      </c>
      <c r="G77" s="113">
        <v>20438</v>
      </c>
    </row>
    <row r="78" spans="1:7" ht="15.75" customHeight="1">
      <c r="A78" s="111">
        <v>45621</v>
      </c>
      <c r="B78" s="112" t="s">
        <v>24</v>
      </c>
      <c r="C78" s="113">
        <v>954</v>
      </c>
      <c r="D78" s="113">
        <v>271</v>
      </c>
      <c r="E78" s="113">
        <v>160936</v>
      </c>
      <c r="F78" s="113">
        <v>8.83</v>
      </c>
      <c r="G78" s="113">
        <v>8760</v>
      </c>
    </row>
    <row r="79" spans="1:7" ht="15.75" customHeight="1">
      <c r="A79" s="111">
        <v>45621</v>
      </c>
      <c r="B79" s="112" t="s">
        <v>397</v>
      </c>
      <c r="C79" s="113">
        <v>1313</v>
      </c>
      <c r="D79" s="113">
        <v>159</v>
      </c>
      <c r="E79" s="113">
        <v>197183</v>
      </c>
      <c r="F79" s="113">
        <v>9.7100000000000009</v>
      </c>
      <c r="G79" s="113">
        <v>6625</v>
      </c>
    </row>
    <row r="80" spans="1:7" ht="15.75" customHeight="1">
      <c r="A80" s="111">
        <v>45628</v>
      </c>
      <c r="B80" s="112" t="s">
        <v>14</v>
      </c>
      <c r="C80" s="113">
        <v>895</v>
      </c>
      <c r="D80" s="113">
        <v>87</v>
      </c>
      <c r="E80" s="113">
        <v>171271</v>
      </c>
      <c r="F80" s="113">
        <v>6.68</v>
      </c>
      <c r="G80" s="113">
        <v>23329</v>
      </c>
    </row>
    <row r="81" spans="1:7" ht="15.75" customHeight="1">
      <c r="A81" s="111">
        <v>45628</v>
      </c>
      <c r="B81" s="112" t="s">
        <v>24</v>
      </c>
      <c r="C81" s="113">
        <v>1027</v>
      </c>
      <c r="D81" s="113">
        <v>156</v>
      </c>
      <c r="E81" s="113">
        <v>111293</v>
      </c>
      <c r="F81" s="113">
        <v>5.51</v>
      </c>
      <c r="G81" s="113">
        <v>7299</v>
      </c>
    </row>
    <row r="82" spans="1:7" ht="15.75" customHeight="1">
      <c r="A82" s="111">
        <v>45628</v>
      </c>
      <c r="B82" s="112" t="s">
        <v>397</v>
      </c>
      <c r="C82" s="113">
        <v>990</v>
      </c>
      <c r="D82" s="113">
        <v>286</v>
      </c>
      <c r="E82" s="113">
        <v>351493</v>
      </c>
      <c r="F82" s="113">
        <v>7.97</v>
      </c>
      <c r="G82" s="113">
        <v>14496</v>
      </c>
    </row>
    <row r="83" spans="1:7" ht="15.75" customHeight="1">
      <c r="A83" s="111">
        <v>45635</v>
      </c>
      <c r="B83" s="112" t="s">
        <v>14</v>
      </c>
      <c r="C83" s="113">
        <v>875</v>
      </c>
      <c r="D83" s="113">
        <v>264</v>
      </c>
      <c r="E83" s="113">
        <v>345631</v>
      </c>
      <c r="F83" s="113">
        <v>9.18</v>
      </c>
      <c r="G83" s="113">
        <v>25703</v>
      </c>
    </row>
    <row r="84" spans="1:7" ht="15.75" customHeight="1">
      <c r="A84" s="111">
        <v>45635</v>
      </c>
      <c r="B84" s="112" t="s">
        <v>24</v>
      </c>
      <c r="C84" s="113">
        <v>599</v>
      </c>
      <c r="D84" s="113">
        <v>194</v>
      </c>
      <c r="E84" s="113">
        <v>105622</v>
      </c>
      <c r="F84" s="113">
        <v>6.44</v>
      </c>
      <c r="G84" s="113">
        <v>15108</v>
      </c>
    </row>
    <row r="85" spans="1:7" ht="15.75" customHeight="1">
      <c r="A85" s="111">
        <v>45635</v>
      </c>
      <c r="B85" s="112" t="s">
        <v>397</v>
      </c>
      <c r="C85" s="113">
        <v>630</v>
      </c>
      <c r="D85" s="113">
        <v>248</v>
      </c>
      <c r="E85" s="113">
        <v>119054</v>
      </c>
      <c r="F85" s="113">
        <v>5.0199999999999996</v>
      </c>
      <c r="G85" s="113">
        <v>18867</v>
      </c>
    </row>
    <row r="86" spans="1:7" ht="15.75" customHeight="1">
      <c r="A86" s="111">
        <v>45642</v>
      </c>
      <c r="B86" s="112" t="s">
        <v>14</v>
      </c>
      <c r="C86" s="113">
        <v>1350</v>
      </c>
      <c r="D86" s="113">
        <v>233</v>
      </c>
      <c r="E86" s="113">
        <v>171670</v>
      </c>
      <c r="F86" s="113">
        <v>4.53</v>
      </c>
      <c r="G86" s="113">
        <v>17574</v>
      </c>
    </row>
    <row r="87" spans="1:7" ht="15.75" customHeight="1">
      <c r="A87" s="111">
        <v>45642</v>
      </c>
      <c r="B87" s="112" t="s">
        <v>24</v>
      </c>
      <c r="C87" s="113">
        <v>632</v>
      </c>
      <c r="D87" s="113">
        <v>155</v>
      </c>
      <c r="E87" s="113">
        <v>170432</v>
      </c>
      <c r="F87" s="113">
        <v>9.17</v>
      </c>
      <c r="G87" s="113">
        <v>12840</v>
      </c>
    </row>
    <row r="88" spans="1:7" ht="15.75" customHeight="1">
      <c r="A88" s="111">
        <v>45642</v>
      </c>
      <c r="B88" s="112" t="s">
        <v>397</v>
      </c>
      <c r="C88" s="113">
        <v>1182</v>
      </c>
      <c r="D88" s="113">
        <v>83</v>
      </c>
      <c r="E88" s="113">
        <v>140300</v>
      </c>
      <c r="F88" s="113">
        <v>3.27</v>
      </c>
      <c r="G88" s="113">
        <v>21079</v>
      </c>
    </row>
    <row r="89" spans="1:7" ht="15.75" customHeight="1">
      <c r="A89" s="111">
        <v>45649</v>
      </c>
      <c r="B89" s="112" t="s">
        <v>14</v>
      </c>
      <c r="C89" s="113">
        <v>661</v>
      </c>
      <c r="D89" s="113">
        <v>94</v>
      </c>
      <c r="E89" s="113">
        <v>116538</v>
      </c>
      <c r="F89" s="113">
        <v>5.31</v>
      </c>
      <c r="G89" s="113">
        <v>23486</v>
      </c>
    </row>
    <row r="90" spans="1:7" ht="15.75" customHeight="1">
      <c r="A90" s="111">
        <v>45649</v>
      </c>
      <c r="B90" s="112" t="s">
        <v>24</v>
      </c>
      <c r="C90" s="113">
        <v>1360</v>
      </c>
      <c r="D90" s="113">
        <v>227</v>
      </c>
      <c r="E90" s="113">
        <v>176902</v>
      </c>
      <c r="F90" s="113">
        <v>6.03</v>
      </c>
      <c r="G90" s="113">
        <v>5960</v>
      </c>
    </row>
    <row r="91" spans="1:7" ht="15.75" customHeight="1">
      <c r="A91" s="111">
        <v>45649</v>
      </c>
      <c r="B91" s="112" t="s">
        <v>397</v>
      </c>
      <c r="C91" s="113">
        <v>935</v>
      </c>
      <c r="D91" s="113">
        <v>85</v>
      </c>
      <c r="E91" s="113">
        <v>326821</v>
      </c>
      <c r="F91" s="113">
        <v>8.89</v>
      </c>
      <c r="G91" s="113">
        <v>13301</v>
      </c>
    </row>
    <row r="92" spans="1:7" ht="15.75" customHeight="1">
      <c r="A92" s="111">
        <v>45656</v>
      </c>
      <c r="B92" s="112" t="s">
        <v>14</v>
      </c>
      <c r="C92" s="113">
        <v>664</v>
      </c>
      <c r="D92" s="113">
        <v>251</v>
      </c>
      <c r="E92" s="113">
        <v>240598</v>
      </c>
      <c r="F92" s="113">
        <v>4.79</v>
      </c>
      <c r="G92" s="113">
        <v>10563</v>
      </c>
    </row>
    <row r="93" spans="1:7" ht="15.75" customHeight="1">
      <c r="A93" s="111">
        <v>45656</v>
      </c>
      <c r="B93" s="112" t="s">
        <v>24</v>
      </c>
      <c r="C93" s="113">
        <v>1490</v>
      </c>
      <c r="D93" s="113">
        <v>103</v>
      </c>
      <c r="E93" s="113">
        <v>373274</v>
      </c>
      <c r="F93" s="113">
        <v>4.8</v>
      </c>
      <c r="G93" s="113">
        <v>19949</v>
      </c>
    </row>
    <row r="94" spans="1:7" ht="15.75" customHeight="1">
      <c r="A94" s="111">
        <v>45656</v>
      </c>
      <c r="B94" s="112" t="s">
        <v>397</v>
      </c>
      <c r="C94" s="113">
        <v>601</v>
      </c>
      <c r="D94" s="113">
        <v>64</v>
      </c>
      <c r="E94" s="113">
        <v>123272</v>
      </c>
      <c r="F94" s="113">
        <v>4.07</v>
      </c>
      <c r="G94" s="113">
        <v>14273</v>
      </c>
    </row>
    <row r="95" spans="1:7" ht="15.75" customHeight="1">
      <c r="A95" s="111">
        <v>45663</v>
      </c>
      <c r="B95" s="112" t="s">
        <v>14</v>
      </c>
      <c r="C95" s="113">
        <v>613</v>
      </c>
      <c r="D95" s="113">
        <v>170</v>
      </c>
      <c r="E95" s="113">
        <v>139266</v>
      </c>
      <c r="F95" s="113">
        <v>6.06</v>
      </c>
      <c r="G95" s="113">
        <v>9247</v>
      </c>
    </row>
    <row r="96" spans="1:7" ht="15.75" customHeight="1">
      <c r="A96" s="111">
        <v>45663</v>
      </c>
      <c r="B96" s="112" t="s">
        <v>24</v>
      </c>
      <c r="C96" s="113">
        <v>1340</v>
      </c>
      <c r="D96" s="113">
        <v>57</v>
      </c>
      <c r="E96" s="113">
        <v>155927</v>
      </c>
      <c r="F96" s="113">
        <v>7.79</v>
      </c>
      <c r="G96" s="113">
        <v>11972</v>
      </c>
    </row>
    <row r="97" spans="1:7" ht="15.75" customHeight="1">
      <c r="A97" s="111">
        <v>45663</v>
      </c>
      <c r="B97" s="112" t="s">
        <v>397</v>
      </c>
      <c r="C97" s="113">
        <v>953</v>
      </c>
      <c r="D97" s="113">
        <v>228</v>
      </c>
      <c r="E97" s="113">
        <v>258398</v>
      </c>
      <c r="F97" s="113">
        <v>9.0500000000000007</v>
      </c>
      <c r="G97" s="113">
        <v>13314</v>
      </c>
    </row>
    <row r="98" spans="1:7" ht="15.75" customHeight="1">
      <c r="A98" s="111">
        <v>45670</v>
      </c>
      <c r="B98" s="112" t="s">
        <v>14</v>
      </c>
      <c r="C98" s="113">
        <v>532</v>
      </c>
      <c r="D98" s="113">
        <v>65</v>
      </c>
      <c r="E98" s="113">
        <v>338561</v>
      </c>
      <c r="F98" s="113">
        <v>3.5</v>
      </c>
      <c r="G98" s="113">
        <v>14749</v>
      </c>
    </row>
    <row r="99" spans="1:7" ht="15.75" customHeight="1">
      <c r="A99" s="111">
        <v>45670</v>
      </c>
      <c r="B99" s="112" t="s">
        <v>24</v>
      </c>
      <c r="C99" s="113">
        <v>1414</v>
      </c>
      <c r="D99" s="113">
        <v>60</v>
      </c>
      <c r="E99" s="113">
        <v>341856</v>
      </c>
      <c r="F99" s="113">
        <v>8.76</v>
      </c>
      <c r="G99" s="113">
        <v>6868</v>
      </c>
    </row>
    <row r="100" spans="1:7" ht="15.75" customHeight="1">
      <c r="A100" s="111">
        <v>45670</v>
      </c>
      <c r="B100" s="112" t="s">
        <v>397</v>
      </c>
      <c r="C100" s="113">
        <v>685</v>
      </c>
      <c r="D100" s="113">
        <v>165</v>
      </c>
      <c r="E100" s="113">
        <v>175860</v>
      </c>
      <c r="F100" s="113">
        <v>6.26</v>
      </c>
      <c r="G100" s="113">
        <v>6027</v>
      </c>
    </row>
    <row r="101" spans="1:7" ht="15.75" customHeight="1">
      <c r="A101" s="111">
        <v>45677</v>
      </c>
      <c r="B101" s="112" t="s">
        <v>14</v>
      </c>
      <c r="C101" s="113">
        <v>601</v>
      </c>
      <c r="D101" s="113">
        <v>159</v>
      </c>
      <c r="E101" s="113">
        <v>327722</v>
      </c>
      <c r="F101" s="113">
        <v>3.33</v>
      </c>
      <c r="G101" s="113">
        <v>25267</v>
      </c>
    </row>
    <row r="102" spans="1:7" ht="15.75" customHeight="1">
      <c r="A102" s="111">
        <v>45677</v>
      </c>
      <c r="B102" s="112" t="s">
        <v>24</v>
      </c>
      <c r="C102" s="113">
        <v>841</v>
      </c>
      <c r="D102" s="113">
        <v>295</v>
      </c>
      <c r="E102" s="113">
        <v>271638</v>
      </c>
      <c r="F102" s="113">
        <v>9.15</v>
      </c>
      <c r="G102" s="113">
        <v>5900</v>
      </c>
    </row>
    <row r="103" spans="1:7" ht="15.75" customHeight="1">
      <c r="A103" s="111">
        <v>45677</v>
      </c>
      <c r="B103" s="112" t="s">
        <v>397</v>
      </c>
      <c r="C103" s="113">
        <v>1105</v>
      </c>
      <c r="D103" s="113">
        <v>261</v>
      </c>
      <c r="E103" s="113">
        <v>333851</v>
      </c>
      <c r="F103" s="113">
        <v>6.03</v>
      </c>
      <c r="G103" s="113">
        <v>11181</v>
      </c>
    </row>
    <row r="104" spans="1:7" ht="15.75" customHeight="1">
      <c r="A104" s="111">
        <v>45684</v>
      </c>
      <c r="B104" s="112" t="s">
        <v>14</v>
      </c>
      <c r="C104" s="113">
        <v>566</v>
      </c>
      <c r="D104" s="113">
        <v>225</v>
      </c>
      <c r="E104" s="113">
        <v>368984</v>
      </c>
      <c r="F104" s="113">
        <v>9.82</v>
      </c>
      <c r="G104" s="113">
        <v>9592</v>
      </c>
    </row>
    <row r="105" spans="1:7" ht="15.75" customHeight="1">
      <c r="A105" s="111">
        <v>45684</v>
      </c>
      <c r="B105" s="112" t="s">
        <v>24</v>
      </c>
      <c r="C105" s="113">
        <v>1149</v>
      </c>
      <c r="D105" s="113">
        <v>280</v>
      </c>
      <c r="E105" s="113">
        <v>167310</v>
      </c>
      <c r="F105" s="113">
        <v>3.7</v>
      </c>
      <c r="G105" s="113">
        <v>5291</v>
      </c>
    </row>
    <row r="106" spans="1:7" ht="15.75" customHeight="1">
      <c r="A106" s="111">
        <v>45684</v>
      </c>
      <c r="B106" s="112" t="s">
        <v>397</v>
      </c>
      <c r="C106" s="113">
        <v>819</v>
      </c>
      <c r="D106" s="113">
        <v>101</v>
      </c>
      <c r="E106" s="113">
        <v>194811</v>
      </c>
      <c r="F106" s="113">
        <v>3.35</v>
      </c>
      <c r="G106" s="113">
        <v>22244</v>
      </c>
    </row>
    <row r="107" spans="1:7" ht="15.75" customHeight="1">
      <c r="A107" s="111">
        <v>45691</v>
      </c>
      <c r="B107" s="112" t="s">
        <v>14</v>
      </c>
      <c r="C107" s="113">
        <v>795</v>
      </c>
      <c r="D107" s="113">
        <v>60</v>
      </c>
      <c r="E107" s="113">
        <v>314982</v>
      </c>
      <c r="F107" s="113">
        <v>7.31</v>
      </c>
      <c r="G107" s="113">
        <v>6824</v>
      </c>
    </row>
    <row r="108" spans="1:7" ht="15.75" customHeight="1">
      <c r="A108" s="111">
        <v>45691</v>
      </c>
      <c r="B108" s="112" t="s">
        <v>24</v>
      </c>
      <c r="C108" s="113">
        <v>681</v>
      </c>
      <c r="D108" s="113">
        <v>158</v>
      </c>
      <c r="E108" s="113">
        <v>75960</v>
      </c>
      <c r="F108" s="113">
        <v>3.13</v>
      </c>
      <c r="G108" s="113">
        <v>24112</v>
      </c>
    </row>
    <row r="109" spans="1:7" ht="15.75" customHeight="1">
      <c r="A109" s="111">
        <v>45691</v>
      </c>
      <c r="B109" s="112" t="s">
        <v>397</v>
      </c>
      <c r="C109" s="113">
        <v>534</v>
      </c>
      <c r="D109" s="113">
        <v>112</v>
      </c>
      <c r="E109" s="113">
        <v>360759</v>
      </c>
      <c r="F109" s="113">
        <v>4.8899999999999997</v>
      </c>
      <c r="G109" s="113">
        <v>25478</v>
      </c>
    </row>
    <row r="110" spans="1:7" ht="15.75" customHeight="1">
      <c r="A110" s="111">
        <v>45698</v>
      </c>
      <c r="B110" s="112" t="s">
        <v>14</v>
      </c>
      <c r="C110" s="113">
        <v>1066</v>
      </c>
      <c r="D110" s="113">
        <v>151</v>
      </c>
      <c r="E110" s="113">
        <v>297090</v>
      </c>
      <c r="F110" s="113">
        <v>8.6300000000000008</v>
      </c>
      <c r="G110" s="113">
        <v>11235</v>
      </c>
    </row>
    <row r="111" spans="1:7" ht="15.75" customHeight="1">
      <c r="A111" s="111">
        <v>45698</v>
      </c>
      <c r="B111" s="112" t="s">
        <v>24</v>
      </c>
      <c r="C111" s="113">
        <v>1270</v>
      </c>
      <c r="D111" s="113">
        <v>162</v>
      </c>
      <c r="E111" s="113">
        <v>92040</v>
      </c>
      <c r="F111" s="113">
        <v>8.0299999999999994</v>
      </c>
      <c r="G111" s="113">
        <v>6120</v>
      </c>
    </row>
    <row r="112" spans="1:7" ht="15.75" customHeight="1">
      <c r="A112" s="111">
        <v>45698</v>
      </c>
      <c r="B112" s="112" t="s">
        <v>397</v>
      </c>
      <c r="C112" s="113">
        <v>536</v>
      </c>
      <c r="D112" s="113">
        <v>198</v>
      </c>
      <c r="E112" s="113">
        <v>174610</v>
      </c>
      <c r="F112" s="113">
        <v>7.85</v>
      </c>
      <c r="G112" s="113">
        <v>20572</v>
      </c>
    </row>
    <row r="113" spans="1:7" ht="15.75" customHeight="1">
      <c r="A113" s="111">
        <v>45705</v>
      </c>
      <c r="B113" s="112" t="s">
        <v>14</v>
      </c>
      <c r="C113" s="113">
        <v>819</v>
      </c>
      <c r="D113" s="113">
        <v>95</v>
      </c>
      <c r="E113" s="113">
        <v>177376</v>
      </c>
      <c r="F113" s="113">
        <v>6.12</v>
      </c>
      <c r="G113" s="113">
        <v>14975</v>
      </c>
    </row>
    <row r="114" spans="1:7" ht="15.75" customHeight="1">
      <c r="A114" s="111">
        <v>45705</v>
      </c>
      <c r="B114" s="112" t="s">
        <v>24</v>
      </c>
      <c r="C114" s="113">
        <v>681</v>
      </c>
      <c r="D114" s="113">
        <v>218</v>
      </c>
      <c r="E114" s="113">
        <v>198882</v>
      </c>
      <c r="F114" s="113">
        <v>7.16</v>
      </c>
      <c r="G114" s="113">
        <v>22234</v>
      </c>
    </row>
    <row r="115" spans="1:7" ht="15.75" customHeight="1">
      <c r="A115" s="111">
        <v>45705</v>
      </c>
      <c r="B115" s="112" t="s">
        <v>397</v>
      </c>
      <c r="C115" s="113">
        <v>646</v>
      </c>
      <c r="D115" s="113">
        <v>290</v>
      </c>
      <c r="E115" s="113">
        <v>336383</v>
      </c>
      <c r="F115" s="113">
        <v>7.04</v>
      </c>
      <c r="G115" s="113">
        <v>6532</v>
      </c>
    </row>
    <row r="116" spans="1:7" ht="15.75" customHeight="1">
      <c r="A116" s="111">
        <v>45712</v>
      </c>
      <c r="B116" s="112" t="s">
        <v>14</v>
      </c>
      <c r="C116" s="113">
        <v>645</v>
      </c>
      <c r="D116" s="113">
        <v>267</v>
      </c>
      <c r="E116" s="113">
        <v>346890</v>
      </c>
      <c r="F116" s="113">
        <v>3.71</v>
      </c>
      <c r="G116" s="113">
        <v>24858</v>
      </c>
    </row>
    <row r="117" spans="1:7" ht="15.75" customHeight="1">
      <c r="A117" s="111">
        <v>45712</v>
      </c>
      <c r="B117" s="112" t="s">
        <v>24</v>
      </c>
      <c r="C117" s="113">
        <v>886</v>
      </c>
      <c r="D117" s="113">
        <v>250</v>
      </c>
      <c r="E117" s="113">
        <v>168170</v>
      </c>
      <c r="F117" s="113">
        <v>4.12</v>
      </c>
      <c r="G117" s="113">
        <v>13883</v>
      </c>
    </row>
    <row r="118" spans="1:7" ht="15.75" customHeight="1">
      <c r="A118" s="111">
        <v>45712</v>
      </c>
      <c r="B118" s="112" t="s">
        <v>397</v>
      </c>
      <c r="C118" s="113">
        <v>978</v>
      </c>
      <c r="D118" s="113">
        <v>279</v>
      </c>
      <c r="E118" s="113">
        <v>368872</v>
      </c>
      <c r="F118" s="113">
        <v>6.82</v>
      </c>
      <c r="G118" s="113">
        <v>18654</v>
      </c>
    </row>
    <row r="119" spans="1:7" ht="15.75" customHeight="1">
      <c r="A119" s="111">
        <v>45719</v>
      </c>
      <c r="B119" s="112" t="s">
        <v>14</v>
      </c>
      <c r="C119" s="113">
        <v>1444</v>
      </c>
      <c r="D119" s="113">
        <v>165</v>
      </c>
      <c r="E119" s="113">
        <v>116436</v>
      </c>
      <c r="F119" s="113">
        <v>8.2200000000000006</v>
      </c>
      <c r="G119" s="113">
        <v>25234</v>
      </c>
    </row>
    <row r="120" spans="1:7" ht="15.75" customHeight="1">
      <c r="A120" s="111">
        <v>45719</v>
      </c>
      <c r="B120" s="112" t="s">
        <v>24</v>
      </c>
      <c r="C120" s="113">
        <v>1234</v>
      </c>
      <c r="D120" s="113">
        <v>228</v>
      </c>
      <c r="E120" s="113">
        <v>127502</v>
      </c>
      <c r="F120" s="113">
        <v>7.71</v>
      </c>
      <c r="G120" s="113">
        <v>6772</v>
      </c>
    </row>
    <row r="121" spans="1:7" ht="15.75" customHeight="1">
      <c r="A121" s="111">
        <v>45719</v>
      </c>
      <c r="B121" s="112" t="s">
        <v>397</v>
      </c>
      <c r="C121" s="113">
        <v>665</v>
      </c>
      <c r="D121" s="113">
        <v>187</v>
      </c>
      <c r="E121" s="113">
        <v>274567</v>
      </c>
      <c r="F121" s="113">
        <v>7.39</v>
      </c>
      <c r="G121" s="113">
        <v>22428</v>
      </c>
    </row>
    <row r="122" spans="1:7" ht="15.75" customHeight="1">
      <c r="A122" s="111">
        <v>45726</v>
      </c>
      <c r="B122" s="112" t="s">
        <v>14</v>
      </c>
      <c r="C122" s="113">
        <v>631</v>
      </c>
      <c r="D122" s="113">
        <v>86</v>
      </c>
      <c r="E122" s="113">
        <v>295090</v>
      </c>
      <c r="F122" s="113">
        <v>7.89</v>
      </c>
      <c r="G122" s="113">
        <v>11911</v>
      </c>
    </row>
    <row r="123" spans="1:7" ht="15.75" customHeight="1">
      <c r="A123" s="111">
        <v>45726</v>
      </c>
      <c r="B123" s="112" t="s">
        <v>24</v>
      </c>
      <c r="C123" s="113">
        <v>1159</v>
      </c>
      <c r="D123" s="113">
        <v>154</v>
      </c>
      <c r="E123" s="113">
        <v>194994</v>
      </c>
      <c r="F123" s="113">
        <v>6.39</v>
      </c>
      <c r="G123" s="113">
        <v>21900</v>
      </c>
    </row>
    <row r="124" spans="1:7" ht="15.75" customHeight="1">
      <c r="A124" s="111">
        <v>45726</v>
      </c>
      <c r="B124" s="112" t="s">
        <v>397</v>
      </c>
      <c r="C124" s="113">
        <v>950</v>
      </c>
      <c r="D124" s="113">
        <v>185</v>
      </c>
      <c r="E124" s="113">
        <v>340750</v>
      </c>
      <c r="F124" s="113">
        <v>6.77</v>
      </c>
      <c r="G124" s="113">
        <v>25542</v>
      </c>
    </row>
    <row r="125" spans="1:7" ht="15.75" customHeight="1">
      <c r="A125" s="111">
        <v>45733</v>
      </c>
      <c r="B125" s="112" t="s">
        <v>14</v>
      </c>
      <c r="C125" s="113">
        <v>693</v>
      </c>
      <c r="D125" s="113">
        <v>129</v>
      </c>
      <c r="E125" s="113">
        <v>296031</v>
      </c>
      <c r="F125" s="113">
        <v>3.41</v>
      </c>
      <c r="G125" s="113">
        <v>7140</v>
      </c>
    </row>
    <row r="126" spans="1:7" ht="15.75" customHeight="1">
      <c r="A126" s="111">
        <v>45733</v>
      </c>
      <c r="B126" s="112" t="s">
        <v>24</v>
      </c>
      <c r="C126" s="113">
        <v>576</v>
      </c>
      <c r="D126" s="113">
        <v>80</v>
      </c>
      <c r="E126" s="113">
        <v>345688</v>
      </c>
      <c r="F126" s="113">
        <v>4.1100000000000003</v>
      </c>
      <c r="G126" s="113">
        <v>20474</v>
      </c>
    </row>
    <row r="127" spans="1:7" ht="15.75" customHeight="1">
      <c r="A127" s="111">
        <v>45733</v>
      </c>
      <c r="B127" s="112" t="s">
        <v>397</v>
      </c>
      <c r="C127" s="113">
        <v>1274</v>
      </c>
      <c r="D127" s="113">
        <v>146</v>
      </c>
      <c r="E127" s="113">
        <v>263488</v>
      </c>
      <c r="F127" s="113">
        <v>9.58</v>
      </c>
      <c r="G127" s="113">
        <v>8698</v>
      </c>
    </row>
    <row r="128" spans="1:7" ht="15.75" customHeight="1">
      <c r="A128" s="111">
        <v>45740</v>
      </c>
      <c r="B128" s="112" t="s">
        <v>14</v>
      </c>
      <c r="C128" s="113">
        <v>818</v>
      </c>
      <c r="D128" s="113">
        <v>253</v>
      </c>
      <c r="E128" s="113">
        <v>184911</v>
      </c>
      <c r="F128" s="113">
        <v>3.39</v>
      </c>
      <c r="G128" s="113">
        <v>10402</v>
      </c>
    </row>
    <row r="129" spans="1:7" ht="15.75" customHeight="1">
      <c r="A129" s="111">
        <v>45740</v>
      </c>
      <c r="B129" s="112" t="s">
        <v>24</v>
      </c>
      <c r="C129" s="113">
        <v>975</v>
      </c>
      <c r="D129" s="113">
        <v>162</v>
      </c>
      <c r="E129" s="113">
        <v>124497</v>
      </c>
      <c r="F129" s="113">
        <v>9.58</v>
      </c>
      <c r="G129" s="113">
        <v>26618</v>
      </c>
    </row>
    <row r="130" spans="1:7" ht="15.75" customHeight="1">
      <c r="A130" s="111">
        <v>45740</v>
      </c>
      <c r="B130" s="112" t="s">
        <v>397</v>
      </c>
      <c r="C130" s="113">
        <v>1398</v>
      </c>
      <c r="D130" s="113">
        <v>97</v>
      </c>
      <c r="E130" s="113">
        <v>397607</v>
      </c>
      <c r="F130" s="113">
        <v>5.09</v>
      </c>
      <c r="G130" s="113">
        <v>7975</v>
      </c>
    </row>
    <row r="131" spans="1:7" ht="15.75" customHeight="1">
      <c r="A131" s="111">
        <v>45747</v>
      </c>
      <c r="B131" s="112" t="s">
        <v>14</v>
      </c>
      <c r="C131" s="113">
        <v>591</v>
      </c>
      <c r="D131" s="113">
        <v>155</v>
      </c>
      <c r="E131" s="113">
        <v>138521</v>
      </c>
      <c r="F131" s="113">
        <v>7.85</v>
      </c>
      <c r="G131" s="113">
        <v>19054</v>
      </c>
    </row>
    <row r="132" spans="1:7" ht="15.75" customHeight="1">
      <c r="A132" s="111">
        <v>45747</v>
      </c>
      <c r="B132" s="112" t="s">
        <v>24</v>
      </c>
      <c r="C132" s="113">
        <v>1232</v>
      </c>
      <c r="D132" s="113">
        <v>254</v>
      </c>
      <c r="E132" s="113">
        <v>107718</v>
      </c>
      <c r="F132" s="113">
        <v>9.7100000000000009</v>
      </c>
      <c r="G132" s="113">
        <v>13740</v>
      </c>
    </row>
    <row r="133" spans="1:7" ht="15.75" customHeight="1">
      <c r="A133" s="111">
        <v>45747</v>
      </c>
      <c r="B133" s="112" t="s">
        <v>397</v>
      </c>
      <c r="C133" s="113">
        <v>1425</v>
      </c>
      <c r="D133" s="113">
        <v>58</v>
      </c>
      <c r="E133" s="113">
        <v>202234</v>
      </c>
      <c r="F133" s="113">
        <v>6.67</v>
      </c>
      <c r="G133" s="113">
        <v>18442</v>
      </c>
    </row>
    <row r="134" spans="1:7" ht="15.75" customHeight="1">
      <c r="A134" s="111">
        <v>45754</v>
      </c>
      <c r="B134" s="112" t="s">
        <v>14</v>
      </c>
      <c r="C134" s="113">
        <v>1417</v>
      </c>
      <c r="D134" s="113">
        <v>80</v>
      </c>
      <c r="E134" s="113">
        <v>340987</v>
      </c>
      <c r="F134" s="113">
        <v>6.13</v>
      </c>
      <c r="G134" s="113">
        <v>10104</v>
      </c>
    </row>
    <row r="135" spans="1:7" ht="15.75" customHeight="1">
      <c r="A135" s="111">
        <v>45754</v>
      </c>
      <c r="B135" s="112" t="s">
        <v>24</v>
      </c>
      <c r="C135" s="113">
        <v>1222</v>
      </c>
      <c r="D135" s="113">
        <v>208</v>
      </c>
      <c r="E135" s="113">
        <v>340098</v>
      </c>
      <c r="F135" s="113">
        <v>7.34</v>
      </c>
      <c r="G135" s="113">
        <v>21771</v>
      </c>
    </row>
    <row r="136" spans="1:7" ht="15.75" customHeight="1">
      <c r="A136" s="111">
        <v>45754</v>
      </c>
      <c r="B136" s="112" t="s">
        <v>397</v>
      </c>
      <c r="C136" s="113">
        <v>1071</v>
      </c>
      <c r="D136" s="113">
        <v>131</v>
      </c>
      <c r="E136" s="113">
        <v>254727</v>
      </c>
      <c r="F136" s="113">
        <v>6.87</v>
      </c>
      <c r="G136" s="113">
        <v>22191</v>
      </c>
    </row>
    <row r="137" spans="1:7" ht="15.75" customHeight="1">
      <c r="A137" s="111">
        <v>45761</v>
      </c>
      <c r="B137" s="112" t="s">
        <v>14</v>
      </c>
      <c r="C137" s="113">
        <v>772</v>
      </c>
      <c r="D137" s="113">
        <v>82</v>
      </c>
      <c r="E137" s="113">
        <v>345659</v>
      </c>
      <c r="F137" s="113">
        <v>3.52</v>
      </c>
      <c r="G137" s="113">
        <v>27753</v>
      </c>
    </row>
    <row r="138" spans="1:7" ht="15.75" customHeight="1">
      <c r="A138" s="111">
        <v>45761</v>
      </c>
      <c r="B138" s="112" t="s">
        <v>24</v>
      </c>
      <c r="C138" s="113">
        <v>1472</v>
      </c>
      <c r="D138" s="113">
        <v>137</v>
      </c>
      <c r="E138" s="113">
        <v>213950</v>
      </c>
      <c r="F138" s="113">
        <v>6.96</v>
      </c>
      <c r="G138" s="113">
        <v>23736</v>
      </c>
    </row>
    <row r="139" spans="1:7" ht="15.75" customHeight="1">
      <c r="A139" s="111">
        <v>45761</v>
      </c>
      <c r="B139" s="112" t="s">
        <v>397</v>
      </c>
      <c r="C139" s="113">
        <v>1472</v>
      </c>
      <c r="D139" s="113">
        <v>281</v>
      </c>
      <c r="E139" s="113">
        <v>258115</v>
      </c>
      <c r="F139" s="113">
        <v>7.23</v>
      </c>
      <c r="G139" s="113">
        <v>27393</v>
      </c>
    </row>
    <row r="140" spans="1:7" ht="15.75" customHeight="1">
      <c r="A140" s="111">
        <v>45768</v>
      </c>
      <c r="B140" s="112" t="s">
        <v>14</v>
      </c>
      <c r="C140" s="113">
        <v>585</v>
      </c>
      <c r="D140" s="113">
        <v>232</v>
      </c>
      <c r="E140" s="113">
        <v>321258</v>
      </c>
      <c r="F140" s="113">
        <v>7.42</v>
      </c>
      <c r="G140" s="113">
        <v>10343</v>
      </c>
    </row>
    <row r="141" spans="1:7" ht="15.75" customHeight="1">
      <c r="A141" s="111">
        <v>45768</v>
      </c>
      <c r="B141" s="112" t="s">
        <v>24</v>
      </c>
      <c r="C141" s="113">
        <v>747</v>
      </c>
      <c r="D141" s="113">
        <v>261</v>
      </c>
      <c r="E141" s="113">
        <v>338650</v>
      </c>
      <c r="F141" s="113">
        <v>7.73</v>
      </c>
      <c r="G141" s="113">
        <v>25259</v>
      </c>
    </row>
    <row r="142" spans="1:7" ht="15.75" customHeight="1">
      <c r="A142" s="111">
        <v>45768</v>
      </c>
      <c r="B142" s="112" t="s">
        <v>397</v>
      </c>
      <c r="C142" s="113">
        <v>1113</v>
      </c>
      <c r="D142" s="113">
        <v>224</v>
      </c>
      <c r="E142" s="113">
        <v>272989</v>
      </c>
      <c r="F142" s="113">
        <v>5.13</v>
      </c>
      <c r="G142" s="113">
        <v>24827</v>
      </c>
    </row>
    <row r="143" spans="1:7" ht="15.75" customHeight="1">
      <c r="A143" s="111">
        <v>45775</v>
      </c>
      <c r="B143" s="112" t="s">
        <v>14</v>
      </c>
      <c r="C143" s="113">
        <v>1100</v>
      </c>
      <c r="D143" s="113">
        <v>117</v>
      </c>
      <c r="E143" s="113">
        <v>260204</v>
      </c>
      <c r="F143" s="113">
        <v>4.4000000000000004</v>
      </c>
      <c r="G143" s="113">
        <v>11908</v>
      </c>
    </row>
    <row r="144" spans="1:7" ht="15.75" customHeight="1">
      <c r="A144" s="111">
        <v>45775</v>
      </c>
      <c r="B144" s="112" t="s">
        <v>24</v>
      </c>
      <c r="C144" s="113">
        <v>751</v>
      </c>
      <c r="D144" s="113">
        <v>170</v>
      </c>
      <c r="E144" s="113">
        <v>283278</v>
      </c>
      <c r="F144" s="113">
        <v>3.49</v>
      </c>
      <c r="G144" s="113">
        <v>11005</v>
      </c>
    </row>
    <row r="145" spans="1:7" ht="15.75" customHeight="1">
      <c r="A145" s="111">
        <v>45775</v>
      </c>
      <c r="B145" s="112" t="s">
        <v>397</v>
      </c>
      <c r="C145" s="113">
        <v>864</v>
      </c>
      <c r="D145" s="113">
        <v>50</v>
      </c>
      <c r="E145" s="113">
        <v>277445</v>
      </c>
      <c r="F145" s="113">
        <v>3.57</v>
      </c>
      <c r="G145" s="113">
        <v>26333</v>
      </c>
    </row>
    <row r="146" spans="1:7" ht="15.75" customHeight="1">
      <c r="A146" s="111">
        <v>45782</v>
      </c>
      <c r="B146" s="112" t="s">
        <v>14</v>
      </c>
      <c r="C146" s="113">
        <v>1146</v>
      </c>
      <c r="D146" s="113">
        <v>227</v>
      </c>
      <c r="E146" s="113">
        <v>353781</v>
      </c>
      <c r="F146" s="113">
        <v>6.41</v>
      </c>
      <c r="G146" s="113">
        <v>5495</v>
      </c>
    </row>
    <row r="147" spans="1:7" ht="15.75" customHeight="1">
      <c r="A147" s="111">
        <v>45782</v>
      </c>
      <c r="B147" s="112" t="s">
        <v>24</v>
      </c>
      <c r="C147" s="113">
        <v>883</v>
      </c>
      <c r="D147" s="113">
        <v>207</v>
      </c>
      <c r="E147" s="113">
        <v>265019</v>
      </c>
      <c r="F147" s="113">
        <v>6.04</v>
      </c>
      <c r="G147" s="113">
        <v>15655</v>
      </c>
    </row>
    <row r="148" spans="1:7" ht="15.75" customHeight="1">
      <c r="A148" s="111">
        <v>45782</v>
      </c>
      <c r="B148" s="112" t="s">
        <v>397</v>
      </c>
      <c r="C148" s="113">
        <v>622</v>
      </c>
      <c r="D148" s="113">
        <v>163</v>
      </c>
      <c r="E148" s="113">
        <v>231925</v>
      </c>
      <c r="F148" s="113">
        <v>9.18</v>
      </c>
      <c r="G148" s="113">
        <v>13763</v>
      </c>
    </row>
    <row r="149" spans="1:7" ht="15.75" customHeight="1">
      <c r="A149" s="111">
        <v>45789</v>
      </c>
      <c r="B149" s="112" t="s">
        <v>14</v>
      </c>
      <c r="C149" s="113">
        <v>837</v>
      </c>
      <c r="D149" s="113">
        <v>261</v>
      </c>
      <c r="E149" s="113">
        <v>366149</v>
      </c>
      <c r="F149" s="113">
        <v>6.54</v>
      </c>
      <c r="G149" s="113">
        <v>26073</v>
      </c>
    </row>
    <row r="150" spans="1:7" ht="15.75" customHeight="1">
      <c r="A150" s="111">
        <v>45789</v>
      </c>
      <c r="B150" s="112" t="s">
        <v>24</v>
      </c>
      <c r="C150" s="113">
        <v>544</v>
      </c>
      <c r="D150" s="113">
        <v>97</v>
      </c>
      <c r="E150" s="113">
        <v>168375</v>
      </c>
      <c r="F150" s="113">
        <v>8.66</v>
      </c>
      <c r="G150" s="113">
        <v>12774</v>
      </c>
    </row>
    <row r="151" spans="1:7" ht="15.75" customHeight="1">
      <c r="A151" s="111">
        <v>45789</v>
      </c>
      <c r="B151" s="112" t="s">
        <v>397</v>
      </c>
      <c r="C151" s="113">
        <v>624</v>
      </c>
      <c r="D151" s="113">
        <v>247</v>
      </c>
      <c r="E151" s="113">
        <v>252763</v>
      </c>
      <c r="F151" s="113">
        <v>3.89</v>
      </c>
      <c r="G151" s="113">
        <v>19000</v>
      </c>
    </row>
    <row r="152" spans="1:7" ht="15.75" customHeight="1">
      <c r="A152" s="111">
        <v>45796</v>
      </c>
      <c r="B152" s="112" t="s">
        <v>14</v>
      </c>
      <c r="C152" s="113">
        <v>1073</v>
      </c>
      <c r="D152" s="113">
        <v>141</v>
      </c>
      <c r="E152" s="113">
        <v>118393</v>
      </c>
      <c r="F152" s="113">
        <v>7.95</v>
      </c>
      <c r="G152" s="113">
        <v>14051</v>
      </c>
    </row>
    <row r="153" spans="1:7" ht="15.75" customHeight="1">
      <c r="A153" s="111">
        <v>45796</v>
      </c>
      <c r="B153" s="112" t="s">
        <v>24</v>
      </c>
      <c r="C153" s="113">
        <v>1430</v>
      </c>
      <c r="D153" s="113">
        <v>74</v>
      </c>
      <c r="E153" s="113">
        <v>327012</v>
      </c>
      <c r="F153" s="113">
        <v>6.66</v>
      </c>
      <c r="G153" s="113">
        <v>27782</v>
      </c>
    </row>
    <row r="154" spans="1:7" ht="15.75" customHeight="1">
      <c r="A154" s="111">
        <v>45796</v>
      </c>
      <c r="B154" s="112" t="s">
        <v>397</v>
      </c>
      <c r="C154" s="113">
        <v>1358</v>
      </c>
      <c r="D154" s="113">
        <v>77</v>
      </c>
      <c r="E154" s="113">
        <v>169688</v>
      </c>
      <c r="F154" s="113">
        <v>5.25</v>
      </c>
      <c r="G154" s="113">
        <v>7859</v>
      </c>
    </row>
    <row r="155" spans="1:7" ht="15.75" customHeight="1">
      <c r="A155" s="111">
        <v>45803</v>
      </c>
      <c r="B155" s="112" t="s">
        <v>14</v>
      </c>
      <c r="C155" s="113">
        <v>1242</v>
      </c>
      <c r="D155" s="113">
        <v>201</v>
      </c>
      <c r="E155" s="113">
        <v>271935</v>
      </c>
      <c r="F155" s="113">
        <v>5.07</v>
      </c>
      <c r="G155" s="113">
        <v>15773</v>
      </c>
    </row>
    <row r="156" spans="1:7" ht="15.75" customHeight="1">
      <c r="A156" s="111">
        <v>45803</v>
      </c>
      <c r="B156" s="112" t="s">
        <v>24</v>
      </c>
      <c r="C156" s="113">
        <v>1389</v>
      </c>
      <c r="D156" s="113">
        <v>205</v>
      </c>
      <c r="E156" s="113">
        <v>315981</v>
      </c>
      <c r="F156" s="113">
        <v>7.62</v>
      </c>
      <c r="G156" s="113">
        <v>20595</v>
      </c>
    </row>
    <row r="157" spans="1:7" ht="15.75" customHeight="1">
      <c r="A157" s="111">
        <v>45803</v>
      </c>
      <c r="B157" s="112" t="s">
        <v>397</v>
      </c>
      <c r="C157" s="113">
        <v>826</v>
      </c>
      <c r="D157" s="113">
        <v>142</v>
      </c>
      <c r="E157" s="113">
        <v>341016</v>
      </c>
      <c r="F157" s="113">
        <v>7.44</v>
      </c>
      <c r="G157" s="113">
        <v>12031</v>
      </c>
    </row>
    <row r="158" spans="1:7" ht="15.75" customHeight="1">
      <c r="A158" s="111">
        <v>45810</v>
      </c>
      <c r="B158" s="112" t="s">
        <v>14</v>
      </c>
      <c r="C158" s="113">
        <v>618</v>
      </c>
      <c r="D158" s="113">
        <v>264</v>
      </c>
      <c r="E158" s="113">
        <v>285164</v>
      </c>
      <c r="F158" s="113">
        <v>4.8600000000000003</v>
      </c>
      <c r="G158" s="113">
        <v>15128</v>
      </c>
    </row>
    <row r="159" spans="1:7" ht="15.75" customHeight="1">
      <c r="A159" s="111">
        <v>45810</v>
      </c>
      <c r="B159" s="112" t="s">
        <v>24</v>
      </c>
      <c r="C159" s="113">
        <v>1419</v>
      </c>
      <c r="D159" s="113">
        <v>293</v>
      </c>
      <c r="E159" s="113">
        <v>116632</v>
      </c>
      <c r="F159" s="113">
        <v>6.93</v>
      </c>
      <c r="G159" s="113">
        <v>11826</v>
      </c>
    </row>
    <row r="160" spans="1:7" ht="15.75" customHeight="1">
      <c r="A160" s="111">
        <v>45810</v>
      </c>
      <c r="B160" s="112" t="s">
        <v>397</v>
      </c>
      <c r="C160" s="113">
        <v>637</v>
      </c>
      <c r="D160" s="113">
        <v>68</v>
      </c>
      <c r="E160" s="113">
        <v>115694</v>
      </c>
      <c r="F160" s="113">
        <v>9.99</v>
      </c>
      <c r="G160" s="113">
        <v>12562</v>
      </c>
    </row>
    <row r="161" spans="1:7" ht="15.75" customHeight="1">
      <c r="A161" s="111">
        <v>45817</v>
      </c>
      <c r="B161" s="112" t="s">
        <v>14</v>
      </c>
      <c r="C161" s="113">
        <v>917</v>
      </c>
      <c r="D161" s="113">
        <v>187</v>
      </c>
      <c r="E161" s="113">
        <v>64444</v>
      </c>
      <c r="F161" s="113">
        <v>5.22</v>
      </c>
      <c r="G161" s="113">
        <v>13013</v>
      </c>
    </row>
    <row r="162" spans="1:7" ht="15.75" customHeight="1">
      <c r="A162" s="111">
        <v>45817</v>
      </c>
      <c r="B162" s="112" t="s">
        <v>24</v>
      </c>
      <c r="C162" s="113">
        <v>810</v>
      </c>
      <c r="D162" s="113">
        <v>232</v>
      </c>
      <c r="E162" s="113">
        <v>362559</v>
      </c>
      <c r="F162" s="113">
        <v>5.17</v>
      </c>
      <c r="G162" s="113">
        <v>12937</v>
      </c>
    </row>
    <row r="163" spans="1:7" ht="15.75" customHeight="1">
      <c r="A163" s="111">
        <v>45817</v>
      </c>
      <c r="B163" s="112" t="s">
        <v>397</v>
      </c>
      <c r="C163" s="113">
        <v>1183</v>
      </c>
      <c r="D163" s="113">
        <v>248</v>
      </c>
      <c r="E163" s="113">
        <v>226881</v>
      </c>
      <c r="F163" s="113">
        <v>5.17</v>
      </c>
      <c r="G163" s="113">
        <v>14534</v>
      </c>
    </row>
    <row r="164" spans="1:7" ht="15.75" customHeight="1">
      <c r="A164" s="111">
        <v>45824</v>
      </c>
      <c r="B164" s="112" t="s">
        <v>14</v>
      </c>
      <c r="C164" s="113">
        <v>765</v>
      </c>
      <c r="D164" s="113">
        <v>67</v>
      </c>
      <c r="E164" s="113">
        <v>283537</v>
      </c>
      <c r="F164" s="113">
        <v>6.18</v>
      </c>
      <c r="G164" s="113">
        <v>8182</v>
      </c>
    </row>
    <row r="165" spans="1:7" ht="15.75" customHeight="1">
      <c r="A165" s="111">
        <v>45824</v>
      </c>
      <c r="B165" s="112" t="s">
        <v>24</v>
      </c>
      <c r="C165" s="113">
        <v>540</v>
      </c>
      <c r="D165" s="113">
        <v>215</v>
      </c>
      <c r="E165" s="113">
        <v>62837</v>
      </c>
      <c r="F165" s="113">
        <v>5.3</v>
      </c>
      <c r="G165" s="113">
        <v>10615</v>
      </c>
    </row>
    <row r="166" spans="1:7" ht="15.75" customHeight="1">
      <c r="A166" s="111">
        <v>45824</v>
      </c>
      <c r="B166" s="112" t="s">
        <v>397</v>
      </c>
      <c r="C166" s="113">
        <v>1145</v>
      </c>
      <c r="D166" s="113">
        <v>151</v>
      </c>
      <c r="E166" s="113">
        <v>182759</v>
      </c>
      <c r="F166" s="113">
        <v>5.99</v>
      </c>
      <c r="G166" s="113">
        <v>20109</v>
      </c>
    </row>
    <row r="167" spans="1:7" ht="15.75" customHeight="1">
      <c r="A167" s="111">
        <v>45831</v>
      </c>
      <c r="B167" s="112" t="s">
        <v>14</v>
      </c>
      <c r="C167" s="113">
        <v>564</v>
      </c>
      <c r="D167" s="113">
        <v>244</v>
      </c>
      <c r="E167" s="113">
        <v>279405</v>
      </c>
      <c r="F167" s="113">
        <v>8.43</v>
      </c>
      <c r="G167" s="113">
        <v>26024</v>
      </c>
    </row>
    <row r="168" spans="1:7" ht="15.75" customHeight="1">
      <c r="A168" s="111">
        <v>45831</v>
      </c>
      <c r="B168" s="112" t="s">
        <v>24</v>
      </c>
      <c r="C168" s="113">
        <v>668</v>
      </c>
      <c r="D168" s="113">
        <v>124</v>
      </c>
      <c r="E168" s="113">
        <v>257485</v>
      </c>
      <c r="F168" s="113">
        <v>7.55</v>
      </c>
      <c r="G168" s="113">
        <v>26730</v>
      </c>
    </row>
    <row r="169" spans="1:7" ht="15.75" customHeight="1">
      <c r="A169" s="111">
        <v>45831</v>
      </c>
      <c r="B169" s="112" t="s">
        <v>397</v>
      </c>
      <c r="C169" s="113">
        <v>761</v>
      </c>
      <c r="D169" s="113">
        <v>241</v>
      </c>
      <c r="E169" s="113">
        <v>154977</v>
      </c>
      <c r="F169" s="113">
        <v>5.63</v>
      </c>
      <c r="G169" s="113">
        <v>10563</v>
      </c>
    </row>
    <row r="170" spans="1:7" ht="15.75" customHeight="1">
      <c r="A170" s="111">
        <v>45838</v>
      </c>
      <c r="B170" s="112" t="s">
        <v>14</v>
      </c>
      <c r="C170" s="113">
        <v>593</v>
      </c>
      <c r="D170" s="113">
        <v>108</v>
      </c>
      <c r="E170" s="113">
        <v>216500</v>
      </c>
      <c r="F170" s="113">
        <v>4.71</v>
      </c>
      <c r="G170" s="113">
        <v>27575</v>
      </c>
    </row>
    <row r="171" spans="1:7" ht="15.75" customHeight="1">
      <c r="A171" s="111">
        <v>45838</v>
      </c>
      <c r="B171" s="112" t="s">
        <v>24</v>
      </c>
      <c r="C171" s="113">
        <v>1349</v>
      </c>
      <c r="D171" s="113">
        <v>115</v>
      </c>
      <c r="E171" s="113">
        <v>102102</v>
      </c>
      <c r="F171" s="113">
        <v>5.28</v>
      </c>
      <c r="G171" s="113">
        <v>14479</v>
      </c>
    </row>
    <row r="172" spans="1:7" ht="15.75" customHeight="1">
      <c r="A172" s="111">
        <v>45838</v>
      </c>
      <c r="B172" s="112" t="s">
        <v>397</v>
      </c>
      <c r="C172" s="113">
        <v>693</v>
      </c>
      <c r="D172" s="113">
        <v>97</v>
      </c>
      <c r="E172" s="113">
        <v>92025</v>
      </c>
      <c r="F172" s="113">
        <v>5.95</v>
      </c>
      <c r="G172" s="113">
        <v>15915</v>
      </c>
    </row>
    <row r="173" spans="1:7" ht="15.75" customHeight="1">
      <c r="A173" s="111">
        <v>45845</v>
      </c>
      <c r="B173" s="112" t="s">
        <v>14</v>
      </c>
      <c r="C173" s="113">
        <v>974</v>
      </c>
      <c r="D173" s="113">
        <v>143</v>
      </c>
      <c r="E173" s="113">
        <v>247965</v>
      </c>
      <c r="F173" s="113">
        <v>9.98</v>
      </c>
      <c r="G173" s="113">
        <v>12767</v>
      </c>
    </row>
    <row r="174" spans="1:7" ht="15.75" customHeight="1">
      <c r="A174" s="111">
        <v>45845</v>
      </c>
      <c r="B174" s="112" t="s">
        <v>24</v>
      </c>
      <c r="C174" s="113">
        <v>1155</v>
      </c>
      <c r="D174" s="113">
        <v>122</v>
      </c>
      <c r="E174" s="113">
        <v>387352</v>
      </c>
      <c r="F174" s="113">
        <v>9.93</v>
      </c>
      <c r="G174" s="113">
        <v>12170</v>
      </c>
    </row>
    <row r="175" spans="1:7" ht="15.75" customHeight="1">
      <c r="A175" s="111">
        <v>45845</v>
      </c>
      <c r="B175" s="112" t="s">
        <v>397</v>
      </c>
      <c r="C175" s="113">
        <v>1051</v>
      </c>
      <c r="D175" s="113">
        <v>246</v>
      </c>
      <c r="E175" s="113">
        <v>253985</v>
      </c>
      <c r="F175" s="113">
        <v>9.08</v>
      </c>
      <c r="G175" s="113">
        <v>7245</v>
      </c>
    </row>
    <row r="176" spans="1:7" ht="15.75" customHeight="1">
      <c r="A176" s="111">
        <v>45852</v>
      </c>
      <c r="B176" s="112" t="s">
        <v>14</v>
      </c>
      <c r="C176" s="113">
        <v>1457</v>
      </c>
      <c r="D176" s="113">
        <v>183</v>
      </c>
      <c r="E176" s="113">
        <v>129640</v>
      </c>
      <c r="F176" s="113">
        <v>7.98</v>
      </c>
      <c r="G176" s="113">
        <v>12985</v>
      </c>
    </row>
    <row r="177" spans="1:7" ht="15.75" customHeight="1">
      <c r="A177" s="111">
        <v>45852</v>
      </c>
      <c r="B177" s="112" t="s">
        <v>24</v>
      </c>
      <c r="C177" s="113">
        <v>670</v>
      </c>
      <c r="D177" s="113">
        <v>242</v>
      </c>
      <c r="E177" s="113">
        <v>281913</v>
      </c>
      <c r="F177" s="113">
        <v>9.6199999999999992</v>
      </c>
      <c r="G177" s="113">
        <v>16377</v>
      </c>
    </row>
    <row r="178" spans="1:7" ht="15.75" customHeight="1">
      <c r="A178" s="111">
        <v>45852</v>
      </c>
      <c r="B178" s="112" t="s">
        <v>397</v>
      </c>
      <c r="C178" s="113">
        <v>1111</v>
      </c>
      <c r="D178" s="113">
        <v>159</v>
      </c>
      <c r="E178" s="113">
        <v>360770</v>
      </c>
      <c r="F178" s="113">
        <v>8.7100000000000009</v>
      </c>
      <c r="G178" s="113">
        <v>11453</v>
      </c>
    </row>
    <row r="179" spans="1:7" ht="15.75" customHeight="1">
      <c r="A179" s="111">
        <v>45859</v>
      </c>
      <c r="B179" s="112" t="s">
        <v>14</v>
      </c>
      <c r="C179" s="113">
        <v>1197</v>
      </c>
      <c r="D179" s="113">
        <v>246</v>
      </c>
      <c r="E179" s="113">
        <v>127273</v>
      </c>
      <c r="F179" s="113">
        <v>6.69</v>
      </c>
      <c r="G179" s="113">
        <v>12323</v>
      </c>
    </row>
    <row r="180" spans="1:7" ht="15.75" customHeight="1">
      <c r="A180" s="111">
        <v>45859</v>
      </c>
      <c r="B180" s="112" t="s">
        <v>24</v>
      </c>
      <c r="C180" s="113">
        <v>754</v>
      </c>
      <c r="D180" s="113">
        <v>150</v>
      </c>
      <c r="E180" s="113">
        <v>189622</v>
      </c>
      <c r="F180" s="113">
        <v>4.25</v>
      </c>
      <c r="G180" s="113">
        <v>11911</v>
      </c>
    </row>
    <row r="181" spans="1:7" ht="15.75" customHeight="1">
      <c r="A181" s="111">
        <v>45859</v>
      </c>
      <c r="B181" s="112" t="s">
        <v>397</v>
      </c>
      <c r="C181" s="113">
        <v>1246</v>
      </c>
      <c r="D181" s="113">
        <v>107</v>
      </c>
      <c r="E181" s="113">
        <v>350949</v>
      </c>
      <c r="F181" s="113">
        <v>4.9800000000000004</v>
      </c>
      <c r="G181" s="113">
        <v>27809</v>
      </c>
    </row>
    <row r="182" spans="1:7" ht="15.75" customHeight="1">
      <c r="A182" s="111">
        <v>45866</v>
      </c>
      <c r="B182" s="112" t="s">
        <v>14</v>
      </c>
      <c r="C182" s="113">
        <v>780</v>
      </c>
      <c r="D182" s="113">
        <v>213</v>
      </c>
      <c r="E182" s="113">
        <v>121431</v>
      </c>
      <c r="F182" s="113">
        <v>4.97</v>
      </c>
      <c r="G182" s="113">
        <v>21464</v>
      </c>
    </row>
    <row r="183" spans="1:7" ht="15.75" customHeight="1">
      <c r="A183" s="111">
        <v>45866</v>
      </c>
      <c r="B183" s="112" t="s">
        <v>24</v>
      </c>
      <c r="C183" s="113">
        <v>1425</v>
      </c>
      <c r="D183" s="113">
        <v>143</v>
      </c>
      <c r="E183" s="113">
        <v>116742</v>
      </c>
      <c r="F183" s="113">
        <v>3.71</v>
      </c>
      <c r="G183" s="113">
        <v>27126</v>
      </c>
    </row>
    <row r="184" spans="1:7" ht="15.75" customHeight="1">
      <c r="A184" s="111">
        <v>45866</v>
      </c>
      <c r="B184" s="112" t="s">
        <v>397</v>
      </c>
      <c r="C184" s="113">
        <v>1490</v>
      </c>
      <c r="D184" s="113">
        <v>103</v>
      </c>
      <c r="E184" s="113">
        <v>81184</v>
      </c>
      <c r="F184" s="113">
        <v>7.79</v>
      </c>
      <c r="G184" s="113">
        <v>10681</v>
      </c>
    </row>
    <row r="185" spans="1:7" ht="15.75" customHeight="1">
      <c r="A185" s="111">
        <v>45873</v>
      </c>
      <c r="B185" s="112" t="s">
        <v>14</v>
      </c>
      <c r="C185" s="113">
        <v>949</v>
      </c>
      <c r="D185" s="113">
        <v>282</v>
      </c>
      <c r="E185" s="113">
        <v>87126</v>
      </c>
      <c r="F185" s="113">
        <v>4.96</v>
      </c>
      <c r="G185" s="113">
        <v>5413</v>
      </c>
    </row>
    <row r="186" spans="1:7" ht="15.75" customHeight="1">
      <c r="A186" s="111">
        <v>45873</v>
      </c>
      <c r="B186" s="112" t="s">
        <v>24</v>
      </c>
      <c r="C186" s="113">
        <v>640</v>
      </c>
      <c r="D186" s="113">
        <v>141</v>
      </c>
      <c r="E186" s="113">
        <v>267546</v>
      </c>
      <c r="F186" s="113">
        <v>8.58</v>
      </c>
      <c r="G186" s="113">
        <v>25058</v>
      </c>
    </row>
    <row r="187" spans="1:7" ht="15.75" customHeight="1">
      <c r="A187" s="111">
        <v>45873</v>
      </c>
      <c r="B187" s="112" t="s">
        <v>397</v>
      </c>
      <c r="C187" s="113">
        <v>616</v>
      </c>
      <c r="D187" s="113">
        <v>93</v>
      </c>
      <c r="E187" s="113">
        <v>133082</v>
      </c>
      <c r="F187" s="113">
        <v>8.51</v>
      </c>
      <c r="G187" s="113">
        <v>18303</v>
      </c>
    </row>
    <row r="188" spans="1:7" ht="15.75" customHeight="1">
      <c r="A188" s="111">
        <v>45880</v>
      </c>
      <c r="B188" s="112" t="s">
        <v>14</v>
      </c>
      <c r="C188" s="113">
        <v>1080</v>
      </c>
      <c r="D188" s="113">
        <v>184</v>
      </c>
      <c r="E188" s="113">
        <v>340557</v>
      </c>
      <c r="F188" s="113">
        <v>5.41</v>
      </c>
      <c r="G188" s="113">
        <v>5526</v>
      </c>
    </row>
    <row r="189" spans="1:7" ht="15.75" customHeight="1">
      <c r="A189" s="111">
        <v>45880</v>
      </c>
      <c r="B189" s="112" t="s">
        <v>24</v>
      </c>
      <c r="C189" s="113">
        <v>938</v>
      </c>
      <c r="D189" s="113">
        <v>236</v>
      </c>
      <c r="E189" s="113">
        <v>116472</v>
      </c>
      <c r="F189" s="113">
        <v>8.7200000000000006</v>
      </c>
      <c r="G189" s="113">
        <v>17460</v>
      </c>
    </row>
    <row r="190" spans="1:7" ht="15.75" customHeight="1">
      <c r="A190" s="111">
        <v>45880</v>
      </c>
      <c r="B190" s="112" t="s">
        <v>397</v>
      </c>
      <c r="C190" s="113">
        <v>1007</v>
      </c>
      <c r="D190" s="113">
        <v>258</v>
      </c>
      <c r="E190" s="113">
        <v>113412</v>
      </c>
      <c r="F190" s="113">
        <v>7.71</v>
      </c>
      <c r="G190" s="113">
        <v>14475</v>
      </c>
    </row>
    <row r="191" spans="1:7" ht="15.75" customHeight="1">
      <c r="A191" s="111">
        <v>45887</v>
      </c>
      <c r="B191" s="112" t="s">
        <v>14</v>
      </c>
      <c r="C191" s="113">
        <v>541</v>
      </c>
      <c r="D191" s="113">
        <v>208</v>
      </c>
      <c r="E191" s="113">
        <v>157547</v>
      </c>
      <c r="F191" s="113">
        <v>8.35</v>
      </c>
      <c r="G191" s="113">
        <v>20162</v>
      </c>
    </row>
    <row r="192" spans="1:7" ht="15.75" customHeight="1">
      <c r="A192" s="111">
        <v>45887</v>
      </c>
      <c r="B192" s="112" t="s">
        <v>24</v>
      </c>
      <c r="C192" s="113">
        <v>745</v>
      </c>
      <c r="D192" s="113">
        <v>98</v>
      </c>
      <c r="E192" s="113">
        <v>354816</v>
      </c>
      <c r="F192" s="113">
        <v>4.03</v>
      </c>
      <c r="G192" s="113">
        <v>17103</v>
      </c>
    </row>
    <row r="193" spans="1:7" ht="15.75" customHeight="1">
      <c r="A193" s="111">
        <v>45887</v>
      </c>
      <c r="B193" s="112" t="s">
        <v>397</v>
      </c>
      <c r="C193" s="113">
        <v>936</v>
      </c>
      <c r="D193" s="113">
        <v>97</v>
      </c>
      <c r="E193" s="113">
        <v>151799</v>
      </c>
      <c r="F193" s="113">
        <v>9.3699999999999992</v>
      </c>
      <c r="G193" s="113">
        <v>15461</v>
      </c>
    </row>
    <row r="194" spans="1:7" ht="15.75" customHeight="1">
      <c r="A194" s="111">
        <v>45894</v>
      </c>
      <c r="B194" s="112" t="s">
        <v>14</v>
      </c>
      <c r="C194" s="113">
        <v>1183</v>
      </c>
      <c r="D194" s="113">
        <v>223</v>
      </c>
      <c r="E194" s="113">
        <v>143811</v>
      </c>
      <c r="F194" s="113">
        <v>6.07</v>
      </c>
      <c r="G194" s="113">
        <v>22103</v>
      </c>
    </row>
    <row r="195" spans="1:7" ht="15.75" customHeight="1">
      <c r="A195" s="111">
        <v>45894</v>
      </c>
      <c r="B195" s="112" t="s">
        <v>24</v>
      </c>
      <c r="C195" s="113">
        <v>1413</v>
      </c>
      <c r="D195" s="113">
        <v>245</v>
      </c>
      <c r="E195" s="113">
        <v>296450</v>
      </c>
      <c r="F195" s="113">
        <v>6.52</v>
      </c>
      <c r="G195" s="113">
        <v>11625</v>
      </c>
    </row>
    <row r="196" spans="1:7" ht="15.75" customHeight="1">
      <c r="A196" s="111">
        <v>45894</v>
      </c>
      <c r="B196" s="112" t="s">
        <v>397</v>
      </c>
      <c r="C196" s="113">
        <v>791</v>
      </c>
      <c r="D196" s="113">
        <v>273</v>
      </c>
      <c r="E196" s="113">
        <v>144049</v>
      </c>
      <c r="F196" s="113">
        <v>3.08</v>
      </c>
      <c r="G196" s="113">
        <v>5281</v>
      </c>
    </row>
    <row r="197" spans="1:7" ht="15.75" customHeight="1">
      <c r="A197" s="111">
        <v>45901</v>
      </c>
      <c r="B197" s="112" t="s">
        <v>14</v>
      </c>
      <c r="C197" s="113">
        <v>1052</v>
      </c>
      <c r="D197" s="113">
        <v>180</v>
      </c>
      <c r="E197" s="113">
        <v>272534</v>
      </c>
      <c r="F197" s="113">
        <v>5.34</v>
      </c>
      <c r="G197" s="113">
        <v>13424</v>
      </c>
    </row>
    <row r="198" spans="1:7" ht="15.75" customHeight="1">
      <c r="A198" s="111">
        <v>45901</v>
      </c>
      <c r="B198" s="112" t="s">
        <v>24</v>
      </c>
      <c r="C198" s="113">
        <v>572</v>
      </c>
      <c r="D198" s="113">
        <v>270</v>
      </c>
      <c r="E198" s="113">
        <v>82265</v>
      </c>
      <c r="F198" s="113">
        <v>3.65</v>
      </c>
      <c r="G198" s="113">
        <v>13140</v>
      </c>
    </row>
    <row r="199" spans="1:7" ht="15.75" customHeight="1">
      <c r="A199" s="111">
        <v>45901</v>
      </c>
      <c r="B199" s="112" t="s">
        <v>397</v>
      </c>
      <c r="C199" s="113">
        <v>503</v>
      </c>
      <c r="D199" s="113">
        <v>253</v>
      </c>
      <c r="E199" s="113">
        <v>313562</v>
      </c>
      <c r="F199" s="113">
        <v>4.18</v>
      </c>
      <c r="G199" s="113">
        <v>19538</v>
      </c>
    </row>
    <row r="200" spans="1:7" ht="15.75" customHeight="1">
      <c r="A200" s="111">
        <v>45908</v>
      </c>
      <c r="B200" s="112" t="s">
        <v>14</v>
      </c>
      <c r="C200" s="113">
        <v>1017</v>
      </c>
      <c r="D200" s="113">
        <v>197</v>
      </c>
      <c r="E200" s="113">
        <v>89918</v>
      </c>
      <c r="F200" s="113">
        <v>3.91</v>
      </c>
      <c r="G200" s="113">
        <v>7881</v>
      </c>
    </row>
    <row r="201" spans="1:7" ht="15.75" customHeight="1">
      <c r="A201" s="111">
        <v>45908</v>
      </c>
      <c r="B201" s="112" t="s">
        <v>24</v>
      </c>
      <c r="C201" s="113">
        <v>860</v>
      </c>
      <c r="D201" s="113">
        <v>244</v>
      </c>
      <c r="E201" s="113">
        <v>348686</v>
      </c>
      <c r="F201" s="113">
        <v>5.12</v>
      </c>
      <c r="G201" s="113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B2" sqref="B2"/>
    </sheetView>
  </sheetViews>
  <sheetFormatPr defaultColWidth="14.44140625" defaultRowHeight="15" customHeight="1"/>
  <cols>
    <col min="1" max="1" width="15.5546875" bestFit="1" customWidth="1"/>
    <col min="2" max="3" width="10.33203125" style="4" bestFit="1" customWidth="1"/>
    <col min="4" max="4" width="15.109375" bestFit="1" customWidth="1"/>
    <col min="5" max="5" width="12.21875" style="8" bestFit="1" customWidth="1"/>
    <col min="6" max="6" width="17.6640625" bestFit="1" customWidth="1"/>
    <col min="7" max="7" width="32.109375" bestFit="1" customWidth="1"/>
    <col min="8" max="26" width="8.6640625" customWidth="1"/>
  </cols>
  <sheetData>
    <row r="1" spans="1:7" ht="14.4">
      <c r="A1" s="117" t="s">
        <v>12</v>
      </c>
      <c r="B1" s="118" t="s">
        <v>347</v>
      </c>
      <c r="C1" s="118" t="s">
        <v>348</v>
      </c>
      <c r="D1" s="117" t="s">
        <v>349</v>
      </c>
      <c r="E1" s="119" t="s">
        <v>350</v>
      </c>
      <c r="F1" s="117" t="s">
        <v>351</v>
      </c>
      <c r="G1" s="117" t="s">
        <v>352</v>
      </c>
    </row>
    <row r="2" spans="1:7" ht="14.4">
      <c r="A2" s="120" t="s">
        <v>59</v>
      </c>
      <c r="B2" s="121" t="s">
        <v>353</v>
      </c>
      <c r="C2" s="121" t="s">
        <v>354</v>
      </c>
      <c r="D2" s="120" t="s">
        <v>355</v>
      </c>
      <c r="E2" s="122">
        <v>175000</v>
      </c>
      <c r="F2" s="120" t="s">
        <v>356</v>
      </c>
      <c r="G2" s="120" t="s">
        <v>357</v>
      </c>
    </row>
    <row r="3" spans="1:7" ht="14.4">
      <c r="A3" s="120" t="s">
        <v>55</v>
      </c>
      <c r="B3" s="121" t="s">
        <v>358</v>
      </c>
      <c r="C3" s="121" t="s">
        <v>359</v>
      </c>
      <c r="D3" s="120" t="s">
        <v>360</v>
      </c>
      <c r="E3" s="122">
        <v>225000</v>
      </c>
      <c r="F3" s="120" t="s">
        <v>361</v>
      </c>
      <c r="G3" s="120" t="s">
        <v>362</v>
      </c>
    </row>
    <row r="4" spans="1:7" ht="14.4">
      <c r="A4" s="120" t="s">
        <v>18</v>
      </c>
      <c r="B4" s="121" t="s">
        <v>363</v>
      </c>
      <c r="C4" s="121" t="s">
        <v>364</v>
      </c>
      <c r="D4" s="120" t="s">
        <v>365</v>
      </c>
      <c r="E4" s="122">
        <v>200000</v>
      </c>
      <c r="F4" s="120" t="s">
        <v>366</v>
      </c>
      <c r="G4" s="120" t="s">
        <v>367</v>
      </c>
    </row>
    <row r="5" spans="1:7" ht="14.4">
      <c r="A5" s="120" t="s">
        <v>22</v>
      </c>
      <c r="B5" s="121" t="s">
        <v>368</v>
      </c>
      <c r="C5" s="121" t="s">
        <v>369</v>
      </c>
      <c r="D5" s="120" t="s">
        <v>370</v>
      </c>
      <c r="E5" s="122">
        <v>160000</v>
      </c>
      <c r="F5" s="120" t="s">
        <v>371</v>
      </c>
      <c r="G5" s="120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D7FF-463F-481E-ADE6-D1642CDBF98C}">
  <dimension ref="A1:N484"/>
  <sheetViews>
    <sheetView workbookViewId="0">
      <selection activeCell="M12" sqref="M12"/>
    </sheetView>
  </sheetViews>
  <sheetFormatPr defaultRowHeight="14.4"/>
  <cols>
    <col min="1" max="1" width="7.88671875" bestFit="1" customWidth="1"/>
    <col min="2" max="2" width="9.6640625" bestFit="1" customWidth="1"/>
    <col min="3" max="3" width="15.44140625" style="4" bestFit="1" customWidth="1"/>
    <col min="4" max="4" width="14.21875" bestFit="1" customWidth="1"/>
    <col min="5" max="5" width="42.33203125" bestFit="1" customWidth="1"/>
    <col min="6" max="6" width="6.21875" bestFit="1" customWidth="1"/>
    <col min="7" max="7" width="7.77734375" bestFit="1" customWidth="1"/>
    <col min="8" max="8" width="11.6640625" bestFit="1" customWidth="1"/>
    <col min="9" max="9" width="13.109375" bestFit="1" customWidth="1"/>
    <col min="10" max="10" width="7.109375" bestFit="1" customWidth="1"/>
    <col min="11" max="11" width="6.88671875" bestFit="1" customWidth="1"/>
    <col min="12" max="12" width="19" bestFit="1" customWidth="1"/>
    <col min="13" max="13" width="17.77734375" bestFit="1" customWidth="1"/>
    <col min="14" max="14" width="0" hidden="1" customWidth="1"/>
  </cols>
  <sheetData>
    <row r="1" spans="1:14">
      <c r="A1" s="9" t="s">
        <v>0</v>
      </c>
      <c r="B1" s="10" t="s">
        <v>1</v>
      </c>
      <c r="C1" s="34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5" t="s">
        <v>12</v>
      </c>
      <c r="N1" t="s">
        <v>447</v>
      </c>
    </row>
    <row r="2" spans="1:14">
      <c r="A2" s="11" t="s">
        <v>13</v>
      </c>
      <c r="B2" s="12" t="s">
        <v>14</v>
      </c>
      <c r="C2" s="35">
        <v>45781</v>
      </c>
      <c r="D2" s="12" t="s">
        <v>15</v>
      </c>
      <c r="E2" s="12" t="s">
        <v>16</v>
      </c>
      <c r="F2" s="12">
        <v>2414</v>
      </c>
      <c r="G2" s="12">
        <v>245</v>
      </c>
      <c r="H2" s="12">
        <v>137</v>
      </c>
      <c r="I2" s="12">
        <v>21181</v>
      </c>
      <c r="J2" s="12">
        <v>45292</v>
      </c>
      <c r="K2" s="12">
        <v>133</v>
      </c>
      <c r="L2" s="12" t="s">
        <v>45</v>
      </c>
      <c r="M2" s="16" t="s">
        <v>18</v>
      </c>
      <c r="N2">
        <f>F2+G2+H2</f>
        <v>2796</v>
      </c>
    </row>
    <row r="3" spans="1:14">
      <c r="A3" s="13" t="s">
        <v>13</v>
      </c>
      <c r="B3" s="14" t="s">
        <v>14</v>
      </c>
      <c r="C3" s="36">
        <v>45781</v>
      </c>
      <c r="D3" s="14" t="s">
        <v>15</v>
      </c>
      <c r="E3" s="14" t="s">
        <v>16</v>
      </c>
      <c r="F3" s="14">
        <v>2414</v>
      </c>
      <c r="G3" s="14">
        <v>245</v>
      </c>
      <c r="H3" s="14">
        <v>137</v>
      </c>
      <c r="I3" s="14">
        <v>21181</v>
      </c>
      <c r="J3" s="14">
        <v>45292</v>
      </c>
      <c r="K3" s="14">
        <v>133</v>
      </c>
      <c r="L3" s="14" t="s">
        <v>42</v>
      </c>
      <c r="M3" s="17" t="s">
        <v>18</v>
      </c>
      <c r="N3">
        <f t="shared" ref="N3:N66" si="0">F3+G3+H3</f>
        <v>2796</v>
      </c>
    </row>
    <row r="4" spans="1:14">
      <c r="A4" s="11" t="s">
        <v>19</v>
      </c>
      <c r="B4" s="12" t="s">
        <v>14</v>
      </c>
      <c r="C4" s="35">
        <v>45689</v>
      </c>
      <c r="D4" s="12" t="s">
        <v>15</v>
      </c>
      <c r="E4" s="12" t="s">
        <v>20</v>
      </c>
      <c r="F4" s="12">
        <v>1934</v>
      </c>
      <c r="G4" s="12">
        <v>210</v>
      </c>
      <c r="H4" s="12">
        <v>393</v>
      </c>
      <c r="I4" s="12">
        <v>29129</v>
      </c>
      <c r="J4" s="12">
        <v>73287</v>
      </c>
      <c r="K4" s="12">
        <v>273</v>
      </c>
      <c r="L4" s="12" t="s">
        <v>21</v>
      </c>
      <c r="M4" s="16" t="s">
        <v>22</v>
      </c>
      <c r="N4">
        <f t="shared" si="0"/>
        <v>2537</v>
      </c>
    </row>
    <row r="5" spans="1:14">
      <c r="A5" s="13" t="s">
        <v>23</v>
      </c>
      <c r="B5" s="14" t="s">
        <v>24</v>
      </c>
      <c r="C5" s="36">
        <v>45629</v>
      </c>
      <c r="D5" s="14" t="s">
        <v>25</v>
      </c>
      <c r="E5" s="14" t="s">
        <v>26</v>
      </c>
      <c r="F5" s="14">
        <v>3092</v>
      </c>
      <c r="G5" s="14">
        <v>177</v>
      </c>
      <c r="H5" s="14">
        <v>81</v>
      </c>
      <c r="I5" s="14">
        <v>47533</v>
      </c>
      <c r="J5" s="14">
        <v>29220</v>
      </c>
      <c r="K5" s="14">
        <v>121</v>
      </c>
      <c r="L5" s="14" t="s">
        <v>398</v>
      </c>
      <c r="M5" s="17" t="s">
        <v>18</v>
      </c>
      <c r="N5">
        <f t="shared" si="0"/>
        <v>3350</v>
      </c>
    </row>
    <row r="6" spans="1:14">
      <c r="A6" s="11" t="s">
        <v>23</v>
      </c>
      <c r="B6" s="12" t="s">
        <v>24</v>
      </c>
      <c r="C6" s="35">
        <v>45629</v>
      </c>
      <c r="D6" s="12" t="s">
        <v>25</v>
      </c>
      <c r="E6" s="12" t="s">
        <v>26</v>
      </c>
      <c r="F6" s="12">
        <v>3092</v>
      </c>
      <c r="G6" s="12">
        <v>177</v>
      </c>
      <c r="H6" s="12">
        <v>81</v>
      </c>
      <c r="I6" s="12">
        <v>47533</v>
      </c>
      <c r="J6" s="12">
        <v>29220</v>
      </c>
      <c r="K6" s="12">
        <v>121</v>
      </c>
      <c r="L6" s="12" t="s">
        <v>42</v>
      </c>
      <c r="M6" s="16" t="s">
        <v>18</v>
      </c>
      <c r="N6">
        <f t="shared" si="0"/>
        <v>3350</v>
      </c>
    </row>
    <row r="7" spans="1:14">
      <c r="A7" s="13" t="s">
        <v>28</v>
      </c>
      <c r="B7" s="14" t="s">
        <v>14</v>
      </c>
      <c r="C7" s="36">
        <v>45629</v>
      </c>
      <c r="D7" s="14" t="s">
        <v>15</v>
      </c>
      <c r="E7" s="14" t="s">
        <v>29</v>
      </c>
      <c r="F7" s="14">
        <v>3173</v>
      </c>
      <c r="G7" s="14">
        <v>229</v>
      </c>
      <c r="H7" s="14">
        <v>197</v>
      </c>
      <c r="I7" s="14">
        <v>29604</v>
      </c>
      <c r="J7" s="14">
        <v>21809</v>
      </c>
      <c r="K7" s="14">
        <v>272</v>
      </c>
      <c r="L7" s="14" t="s">
        <v>45</v>
      </c>
      <c r="M7" s="17" t="s">
        <v>18</v>
      </c>
      <c r="N7">
        <f t="shared" si="0"/>
        <v>3599</v>
      </c>
    </row>
    <row r="8" spans="1:14">
      <c r="A8" s="11" t="s">
        <v>28</v>
      </c>
      <c r="B8" s="12" t="s">
        <v>14</v>
      </c>
      <c r="C8" s="35">
        <v>45629</v>
      </c>
      <c r="D8" s="12" t="s">
        <v>15</v>
      </c>
      <c r="E8" s="12" t="s">
        <v>29</v>
      </c>
      <c r="F8" s="12">
        <v>3173</v>
      </c>
      <c r="G8" s="12">
        <v>229</v>
      </c>
      <c r="H8" s="12">
        <v>197</v>
      </c>
      <c r="I8" s="12">
        <v>29604</v>
      </c>
      <c r="J8" s="12">
        <v>21809</v>
      </c>
      <c r="K8" s="12">
        <v>272</v>
      </c>
      <c r="L8" s="12" t="s">
        <v>42</v>
      </c>
      <c r="M8" s="16" t="s">
        <v>18</v>
      </c>
      <c r="N8">
        <f t="shared" si="0"/>
        <v>3599</v>
      </c>
    </row>
    <row r="9" spans="1:14">
      <c r="A9" s="13" t="s">
        <v>30</v>
      </c>
      <c r="B9" s="14" t="s">
        <v>31</v>
      </c>
      <c r="C9" s="36">
        <v>45388</v>
      </c>
      <c r="D9" s="14" t="s">
        <v>15</v>
      </c>
      <c r="E9" s="14" t="s">
        <v>32</v>
      </c>
      <c r="F9" s="14">
        <v>2748</v>
      </c>
      <c r="G9" s="14">
        <v>145</v>
      </c>
      <c r="H9" s="14">
        <v>315</v>
      </c>
      <c r="I9" s="14">
        <v>24401</v>
      </c>
      <c r="J9" s="14">
        <v>61182</v>
      </c>
      <c r="K9" s="14">
        <v>200</v>
      </c>
      <c r="L9" s="14" t="s">
        <v>21</v>
      </c>
      <c r="M9" s="17" t="s">
        <v>22</v>
      </c>
      <c r="N9">
        <f t="shared" si="0"/>
        <v>3208</v>
      </c>
    </row>
    <row r="10" spans="1:14">
      <c r="A10" s="11" t="s">
        <v>30</v>
      </c>
      <c r="B10" s="12" t="s">
        <v>31</v>
      </c>
      <c r="C10" s="35">
        <v>45388</v>
      </c>
      <c r="D10" s="12" t="s">
        <v>15</v>
      </c>
      <c r="E10" s="12" t="s">
        <v>32</v>
      </c>
      <c r="F10" s="12">
        <v>2748</v>
      </c>
      <c r="G10" s="12">
        <v>145</v>
      </c>
      <c r="H10" s="12">
        <v>315</v>
      </c>
      <c r="I10" s="12">
        <v>24401</v>
      </c>
      <c r="J10" s="12">
        <v>61182</v>
      </c>
      <c r="K10" s="12">
        <v>200</v>
      </c>
      <c r="L10" s="12" t="s">
        <v>399</v>
      </c>
      <c r="M10" s="16" t="s">
        <v>22</v>
      </c>
      <c r="N10">
        <f t="shared" si="0"/>
        <v>3208</v>
      </c>
    </row>
    <row r="11" spans="1:14">
      <c r="A11" s="13" t="s">
        <v>34</v>
      </c>
      <c r="B11" s="14" t="s">
        <v>31</v>
      </c>
      <c r="C11" s="36">
        <v>45456</v>
      </c>
      <c r="D11" s="14" t="s">
        <v>15</v>
      </c>
      <c r="E11" s="14" t="s">
        <v>35</v>
      </c>
      <c r="F11" s="14">
        <v>3882</v>
      </c>
      <c r="G11" s="14">
        <v>239</v>
      </c>
      <c r="H11" s="14">
        <v>275</v>
      </c>
      <c r="I11" s="14">
        <v>58748</v>
      </c>
      <c r="J11" s="14">
        <v>44646</v>
      </c>
      <c r="K11" s="14">
        <v>149</v>
      </c>
      <c r="L11" s="14" t="s">
        <v>21</v>
      </c>
      <c r="M11" s="17" t="s">
        <v>22</v>
      </c>
      <c r="N11">
        <f t="shared" si="0"/>
        <v>4396</v>
      </c>
    </row>
    <row r="12" spans="1:14">
      <c r="A12" s="11" t="s">
        <v>34</v>
      </c>
      <c r="B12" s="12" t="s">
        <v>31</v>
      </c>
      <c r="C12" s="35">
        <v>45456</v>
      </c>
      <c r="D12" s="12" t="s">
        <v>15</v>
      </c>
      <c r="E12" s="12" t="s">
        <v>35</v>
      </c>
      <c r="F12" s="12">
        <v>3882</v>
      </c>
      <c r="G12" s="12">
        <v>239</v>
      </c>
      <c r="H12" s="12">
        <v>275</v>
      </c>
      <c r="I12" s="12">
        <v>58748</v>
      </c>
      <c r="J12" s="12">
        <v>44646</v>
      </c>
      <c r="K12" s="12">
        <v>149</v>
      </c>
      <c r="L12" s="12" t="s">
        <v>399</v>
      </c>
      <c r="M12" s="16" t="s">
        <v>22</v>
      </c>
      <c r="N12">
        <f t="shared" si="0"/>
        <v>4396</v>
      </c>
    </row>
    <row r="13" spans="1:14">
      <c r="A13" s="13" t="s">
        <v>36</v>
      </c>
      <c r="B13" s="14" t="s">
        <v>24</v>
      </c>
      <c r="C13" s="36">
        <v>45645</v>
      </c>
      <c r="D13" s="14" t="s">
        <v>25</v>
      </c>
      <c r="E13" s="14" t="s">
        <v>37</v>
      </c>
      <c r="F13" s="14">
        <v>4674</v>
      </c>
      <c r="G13" s="14">
        <v>409</v>
      </c>
      <c r="H13" s="14">
        <v>327</v>
      </c>
      <c r="I13" s="14">
        <v>20756</v>
      </c>
      <c r="J13" s="14">
        <v>63599</v>
      </c>
      <c r="K13" s="14">
        <v>212</v>
      </c>
      <c r="L13" s="14" t="s">
        <v>45</v>
      </c>
      <c r="M13" s="17" t="s">
        <v>18</v>
      </c>
      <c r="N13">
        <f t="shared" si="0"/>
        <v>5410</v>
      </c>
    </row>
    <row r="14" spans="1:14">
      <c r="A14" s="11" t="s">
        <v>36</v>
      </c>
      <c r="B14" s="12" t="s">
        <v>24</v>
      </c>
      <c r="C14" s="35">
        <v>45645</v>
      </c>
      <c r="D14" s="12" t="s">
        <v>25</v>
      </c>
      <c r="E14" s="12" t="s">
        <v>37</v>
      </c>
      <c r="F14" s="12">
        <v>4674</v>
      </c>
      <c r="G14" s="12">
        <v>409</v>
      </c>
      <c r="H14" s="12">
        <v>327</v>
      </c>
      <c r="I14" s="12">
        <v>20756</v>
      </c>
      <c r="J14" s="12">
        <v>63599</v>
      </c>
      <c r="K14" s="12">
        <v>212</v>
      </c>
      <c r="L14" s="12" t="s">
        <v>42</v>
      </c>
      <c r="M14" s="16" t="s">
        <v>18</v>
      </c>
      <c r="N14">
        <f t="shared" si="0"/>
        <v>5410</v>
      </c>
    </row>
    <row r="15" spans="1:14">
      <c r="A15" s="13" t="s">
        <v>38</v>
      </c>
      <c r="B15" s="14" t="s">
        <v>24</v>
      </c>
      <c r="C15" s="36">
        <v>45421</v>
      </c>
      <c r="D15" s="14" t="s">
        <v>25</v>
      </c>
      <c r="E15" s="14" t="s">
        <v>29</v>
      </c>
      <c r="F15" s="14">
        <v>1428</v>
      </c>
      <c r="G15" s="14">
        <v>347</v>
      </c>
      <c r="H15" s="14">
        <v>67</v>
      </c>
      <c r="I15" s="14">
        <v>21148</v>
      </c>
      <c r="J15" s="14">
        <v>19712</v>
      </c>
      <c r="K15" s="14">
        <v>120</v>
      </c>
      <c r="L15" s="14" t="s">
        <v>21</v>
      </c>
      <c r="M15" s="17" t="s">
        <v>18</v>
      </c>
      <c r="N15">
        <f t="shared" si="0"/>
        <v>1842</v>
      </c>
    </row>
    <row r="16" spans="1:14">
      <c r="A16" s="11" t="s">
        <v>38</v>
      </c>
      <c r="B16" s="12" t="s">
        <v>24</v>
      </c>
      <c r="C16" s="35">
        <v>45421</v>
      </c>
      <c r="D16" s="12" t="s">
        <v>25</v>
      </c>
      <c r="E16" s="12" t="s">
        <v>29</v>
      </c>
      <c r="F16" s="12">
        <v>1428</v>
      </c>
      <c r="G16" s="12">
        <v>347</v>
      </c>
      <c r="H16" s="12">
        <v>67</v>
      </c>
      <c r="I16" s="12">
        <v>21148</v>
      </c>
      <c r="J16" s="12">
        <v>19712</v>
      </c>
      <c r="K16" s="12">
        <v>120</v>
      </c>
      <c r="L16" s="12" t="s">
        <v>398</v>
      </c>
      <c r="M16" s="16" t="s">
        <v>18</v>
      </c>
      <c r="N16">
        <f t="shared" si="0"/>
        <v>1842</v>
      </c>
    </row>
    <row r="17" spans="1:14">
      <c r="A17" s="13" t="s">
        <v>40</v>
      </c>
      <c r="B17" s="14" t="s">
        <v>24</v>
      </c>
      <c r="C17" s="36">
        <v>45823</v>
      </c>
      <c r="D17" s="14" t="s">
        <v>15</v>
      </c>
      <c r="E17" s="14" t="s">
        <v>41</v>
      </c>
      <c r="F17" s="14">
        <v>4432</v>
      </c>
      <c r="G17" s="14">
        <v>223</v>
      </c>
      <c r="H17" s="14">
        <v>299</v>
      </c>
      <c r="I17" s="14">
        <v>59016</v>
      </c>
      <c r="J17" s="14">
        <v>21742</v>
      </c>
      <c r="K17" s="14">
        <v>171</v>
      </c>
      <c r="L17" s="14" t="s">
        <v>42</v>
      </c>
      <c r="M17" s="17" t="s">
        <v>18</v>
      </c>
      <c r="N17">
        <f t="shared" si="0"/>
        <v>4954</v>
      </c>
    </row>
    <row r="18" spans="1:14">
      <c r="A18" s="11" t="s">
        <v>43</v>
      </c>
      <c r="B18" s="12" t="s">
        <v>24</v>
      </c>
      <c r="C18" s="35">
        <v>45630</v>
      </c>
      <c r="D18" s="12" t="s">
        <v>15</v>
      </c>
      <c r="E18" s="12" t="s">
        <v>29</v>
      </c>
      <c r="F18" s="12">
        <v>2357</v>
      </c>
      <c r="G18" s="12">
        <v>274</v>
      </c>
      <c r="H18" s="12">
        <v>172</v>
      </c>
      <c r="I18" s="12">
        <v>21566</v>
      </c>
      <c r="J18" s="12">
        <v>66829</v>
      </c>
      <c r="K18" s="12">
        <v>284</v>
      </c>
      <c r="L18" s="12" t="s">
        <v>42</v>
      </c>
      <c r="M18" s="16" t="s">
        <v>18</v>
      </c>
      <c r="N18">
        <f t="shared" si="0"/>
        <v>2803</v>
      </c>
    </row>
    <row r="19" spans="1:14">
      <c r="A19" s="13" t="s">
        <v>44</v>
      </c>
      <c r="B19" s="14" t="s">
        <v>24</v>
      </c>
      <c r="C19" s="36">
        <v>45357</v>
      </c>
      <c r="D19" s="14" t="s">
        <v>15</v>
      </c>
      <c r="E19" s="14" t="s">
        <v>16</v>
      </c>
      <c r="F19" s="14">
        <v>1971</v>
      </c>
      <c r="G19" s="14">
        <v>370</v>
      </c>
      <c r="H19" s="14">
        <v>306</v>
      </c>
      <c r="I19" s="14">
        <v>31316</v>
      </c>
      <c r="J19" s="14">
        <v>27897</v>
      </c>
      <c r="K19" s="14">
        <v>88</v>
      </c>
      <c r="L19" s="14" t="s">
        <v>45</v>
      </c>
      <c r="M19" s="17" t="s">
        <v>22</v>
      </c>
      <c r="N19">
        <f t="shared" si="0"/>
        <v>2647</v>
      </c>
    </row>
    <row r="20" spans="1:14">
      <c r="A20" s="11" t="s">
        <v>46</v>
      </c>
      <c r="B20" s="12" t="s">
        <v>14</v>
      </c>
      <c r="C20" s="35">
        <v>45426</v>
      </c>
      <c r="D20" s="12" t="s">
        <v>15</v>
      </c>
      <c r="E20" s="12" t="s">
        <v>16</v>
      </c>
      <c r="F20" s="12">
        <v>1485</v>
      </c>
      <c r="G20" s="12">
        <v>353</v>
      </c>
      <c r="H20" s="12">
        <v>244</v>
      </c>
      <c r="I20" s="12">
        <v>38419</v>
      </c>
      <c r="J20" s="12">
        <v>38556</v>
      </c>
      <c r="K20" s="12">
        <v>86</v>
      </c>
      <c r="L20" s="12" t="s">
        <v>45</v>
      </c>
      <c r="M20" s="16" t="s">
        <v>18</v>
      </c>
      <c r="N20">
        <f t="shared" si="0"/>
        <v>2082</v>
      </c>
    </row>
    <row r="21" spans="1:14">
      <c r="A21" s="13" t="s">
        <v>46</v>
      </c>
      <c r="B21" s="14" t="s">
        <v>14</v>
      </c>
      <c r="C21" s="36">
        <v>45426</v>
      </c>
      <c r="D21" s="14" t="s">
        <v>15</v>
      </c>
      <c r="E21" s="14" t="s">
        <v>16</v>
      </c>
      <c r="F21" s="14">
        <v>1485</v>
      </c>
      <c r="G21" s="14">
        <v>353</v>
      </c>
      <c r="H21" s="14">
        <v>244</v>
      </c>
      <c r="I21" s="14">
        <v>38419</v>
      </c>
      <c r="J21" s="14">
        <v>38556</v>
      </c>
      <c r="K21" s="14">
        <v>86</v>
      </c>
      <c r="L21" s="14" t="s">
        <v>42</v>
      </c>
      <c r="M21" s="17" t="s">
        <v>18</v>
      </c>
      <c r="N21">
        <f t="shared" si="0"/>
        <v>2082</v>
      </c>
    </row>
    <row r="22" spans="1:14">
      <c r="A22" s="11" t="s">
        <v>47</v>
      </c>
      <c r="B22" s="12" t="s">
        <v>24</v>
      </c>
      <c r="C22" s="35">
        <v>45826</v>
      </c>
      <c r="D22" s="12" t="s">
        <v>25</v>
      </c>
      <c r="E22" s="12" t="s">
        <v>16</v>
      </c>
      <c r="F22" s="12">
        <v>3956</v>
      </c>
      <c r="G22" s="12">
        <v>319</v>
      </c>
      <c r="H22" s="12">
        <v>61</v>
      </c>
      <c r="I22" s="12">
        <v>58162</v>
      </c>
      <c r="J22" s="12">
        <v>28720</v>
      </c>
      <c r="K22" s="12">
        <v>213</v>
      </c>
      <c r="L22" s="12" t="s">
        <v>398</v>
      </c>
      <c r="M22" s="16" t="s">
        <v>18</v>
      </c>
      <c r="N22">
        <f t="shared" si="0"/>
        <v>4336</v>
      </c>
    </row>
    <row r="23" spans="1:14">
      <c r="A23" s="13" t="s">
        <v>47</v>
      </c>
      <c r="B23" s="14" t="s">
        <v>24</v>
      </c>
      <c r="C23" s="36">
        <v>45826</v>
      </c>
      <c r="D23" s="14" t="s">
        <v>25</v>
      </c>
      <c r="E23" s="14" t="s">
        <v>16</v>
      </c>
      <c r="F23" s="14">
        <v>3956</v>
      </c>
      <c r="G23" s="14">
        <v>319</v>
      </c>
      <c r="H23" s="14">
        <v>61</v>
      </c>
      <c r="I23" s="14">
        <v>58162</v>
      </c>
      <c r="J23" s="14">
        <v>28720</v>
      </c>
      <c r="K23" s="14">
        <v>213</v>
      </c>
      <c r="L23" s="14" t="s">
        <v>42</v>
      </c>
      <c r="M23" s="17" t="s">
        <v>18</v>
      </c>
      <c r="N23">
        <f t="shared" si="0"/>
        <v>4336</v>
      </c>
    </row>
    <row r="24" spans="1:14">
      <c r="A24" s="11" t="s">
        <v>48</v>
      </c>
      <c r="B24" s="12" t="s">
        <v>24</v>
      </c>
      <c r="C24" s="35">
        <v>45573</v>
      </c>
      <c r="D24" s="12" t="s">
        <v>15</v>
      </c>
      <c r="E24" s="12" t="s">
        <v>49</v>
      </c>
      <c r="F24" s="12">
        <v>2460</v>
      </c>
      <c r="G24" s="12">
        <v>409</v>
      </c>
      <c r="H24" s="12">
        <v>253</v>
      </c>
      <c r="I24" s="12">
        <v>36702</v>
      </c>
      <c r="J24" s="12">
        <v>46122</v>
      </c>
      <c r="K24" s="12">
        <v>264</v>
      </c>
      <c r="L24" s="12" t="s">
        <v>42</v>
      </c>
      <c r="M24" s="16" t="s">
        <v>18</v>
      </c>
      <c r="N24">
        <f t="shared" si="0"/>
        <v>3122</v>
      </c>
    </row>
    <row r="25" spans="1:14">
      <c r="A25" s="13" t="s">
        <v>50</v>
      </c>
      <c r="B25" s="14" t="s">
        <v>24</v>
      </c>
      <c r="C25" s="36">
        <v>45418</v>
      </c>
      <c r="D25" s="14" t="s">
        <v>15</v>
      </c>
      <c r="E25" s="14" t="s">
        <v>51</v>
      </c>
      <c r="F25" s="14">
        <v>3476</v>
      </c>
      <c r="G25" s="14">
        <v>355</v>
      </c>
      <c r="H25" s="14">
        <v>396</v>
      </c>
      <c r="I25" s="14">
        <v>37492</v>
      </c>
      <c r="J25" s="14">
        <v>27285</v>
      </c>
      <c r="K25" s="14">
        <v>179</v>
      </c>
      <c r="L25" s="14" t="s">
        <v>42</v>
      </c>
      <c r="M25" s="17" t="s">
        <v>18</v>
      </c>
      <c r="N25">
        <f t="shared" si="0"/>
        <v>4227</v>
      </c>
    </row>
    <row r="26" spans="1:14">
      <c r="A26" s="11" t="s">
        <v>52</v>
      </c>
      <c r="B26" s="12" t="s">
        <v>24</v>
      </c>
      <c r="C26" s="35">
        <v>45655</v>
      </c>
      <c r="D26" s="12" t="s">
        <v>25</v>
      </c>
      <c r="E26" s="12" t="s">
        <v>26</v>
      </c>
      <c r="F26" s="12">
        <v>4049</v>
      </c>
      <c r="G26" s="12">
        <v>377</v>
      </c>
      <c r="H26" s="12">
        <v>94</v>
      </c>
      <c r="I26" s="12">
        <v>48182</v>
      </c>
      <c r="J26" s="12">
        <v>42875</v>
      </c>
      <c r="K26" s="12">
        <v>172</v>
      </c>
      <c r="L26" s="12" t="s">
        <v>398</v>
      </c>
      <c r="M26" s="16" t="s">
        <v>18</v>
      </c>
      <c r="N26">
        <f t="shared" si="0"/>
        <v>4520</v>
      </c>
    </row>
    <row r="27" spans="1:14">
      <c r="A27" s="13" t="s">
        <v>52</v>
      </c>
      <c r="B27" s="14" t="s">
        <v>24</v>
      </c>
      <c r="C27" s="36">
        <v>45655</v>
      </c>
      <c r="D27" s="14" t="s">
        <v>25</v>
      </c>
      <c r="E27" s="14" t="s">
        <v>26</v>
      </c>
      <c r="F27" s="14">
        <v>4049</v>
      </c>
      <c r="G27" s="14">
        <v>377</v>
      </c>
      <c r="H27" s="14">
        <v>94</v>
      </c>
      <c r="I27" s="14">
        <v>48182</v>
      </c>
      <c r="J27" s="14">
        <v>42875</v>
      </c>
      <c r="K27" s="14">
        <v>172</v>
      </c>
      <c r="L27" s="14" t="s">
        <v>42</v>
      </c>
      <c r="M27" s="17" t="s">
        <v>18</v>
      </c>
      <c r="N27">
        <f t="shared" si="0"/>
        <v>4520</v>
      </c>
    </row>
    <row r="28" spans="1:14">
      <c r="A28" s="11" t="s">
        <v>53</v>
      </c>
      <c r="B28" s="12" t="s">
        <v>24</v>
      </c>
      <c r="C28" s="35">
        <v>45453</v>
      </c>
      <c r="D28" s="12" t="s">
        <v>15</v>
      </c>
      <c r="E28" s="12" t="s">
        <v>35</v>
      </c>
      <c r="F28" s="12">
        <v>1514</v>
      </c>
      <c r="G28" s="12">
        <v>164</v>
      </c>
      <c r="H28" s="12">
        <v>275</v>
      </c>
      <c r="I28" s="12">
        <v>41364</v>
      </c>
      <c r="J28" s="12">
        <v>44389</v>
      </c>
      <c r="K28" s="12">
        <v>83</v>
      </c>
      <c r="L28" s="12" t="s">
        <v>42</v>
      </c>
      <c r="M28" s="16" t="s">
        <v>18</v>
      </c>
      <c r="N28">
        <f t="shared" si="0"/>
        <v>1953</v>
      </c>
    </row>
    <row r="29" spans="1:14">
      <c r="A29" s="13" t="s">
        <v>54</v>
      </c>
      <c r="B29" s="14" t="s">
        <v>14</v>
      </c>
      <c r="C29" s="36">
        <v>45325</v>
      </c>
      <c r="D29" s="14" t="s">
        <v>25</v>
      </c>
      <c r="E29" s="14" t="s">
        <v>32</v>
      </c>
      <c r="F29" s="14">
        <v>4281</v>
      </c>
      <c r="G29" s="14">
        <v>101</v>
      </c>
      <c r="H29" s="14">
        <v>163</v>
      </c>
      <c r="I29" s="14">
        <v>32278</v>
      </c>
      <c r="J29" s="14">
        <v>53382</v>
      </c>
      <c r="K29" s="14">
        <v>235</v>
      </c>
      <c r="L29" s="14" t="s">
        <v>42</v>
      </c>
      <c r="M29" s="17" t="s">
        <v>55</v>
      </c>
      <c r="N29">
        <f t="shared" si="0"/>
        <v>4545</v>
      </c>
    </row>
    <row r="30" spans="1:14">
      <c r="A30" s="11" t="s">
        <v>56</v>
      </c>
      <c r="B30" s="12" t="s">
        <v>31</v>
      </c>
      <c r="C30" s="35">
        <v>45458</v>
      </c>
      <c r="D30" s="12" t="s">
        <v>57</v>
      </c>
      <c r="E30" s="12" t="s">
        <v>37</v>
      </c>
      <c r="F30" s="12">
        <v>1751</v>
      </c>
      <c r="G30" s="12">
        <v>143</v>
      </c>
      <c r="H30" s="12">
        <v>151</v>
      </c>
      <c r="I30" s="12">
        <v>31826</v>
      </c>
      <c r="J30" s="12">
        <v>47729</v>
      </c>
      <c r="K30" s="12">
        <v>95</v>
      </c>
      <c r="L30" s="12" t="s">
        <v>21</v>
      </c>
      <c r="M30" s="16" t="s">
        <v>59</v>
      </c>
      <c r="N30">
        <f t="shared" si="0"/>
        <v>2045</v>
      </c>
    </row>
    <row r="31" spans="1:14">
      <c r="A31" s="13" t="s">
        <v>56</v>
      </c>
      <c r="B31" s="14" t="s">
        <v>31</v>
      </c>
      <c r="C31" s="36">
        <v>45458</v>
      </c>
      <c r="D31" s="14" t="s">
        <v>57</v>
      </c>
      <c r="E31" s="14" t="s">
        <v>37</v>
      </c>
      <c r="F31" s="14">
        <v>1751</v>
      </c>
      <c r="G31" s="14">
        <v>143</v>
      </c>
      <c r="H31" s="14">
        <v>151</v>
      </c>
      <c r="I31" s="14">
        <v>31826</v>
      </c>
      <c r="J31" s="14">
        <v>47729</v>
      </c>
      <c r="K31" s="14">
        <v>95</v>
      </c>
      <c r="L31" s="14" t="s">
        <v>45</v>
      </c>
      <c r="M31" s="17" t="s">
        <v>59</v>
      </c>
      <c r="N31">
        <f t="shared" si="0"/>
        <v>2045</v>
      </c>
    </row>
    <row r="32" spans="1:14">
      <c r="A32" s="11" t="s">
        <v>60</v>
      </c>
      <c r="B32" s="12" t="s">
        <v>14</v>
      </c>
      <c r="C32" s="35">
        <v>45478</v>
      </c>
      <c r="D32" s="12" t="s">
        <v>15</v>
      </c>
      <c r="E32" s="12" t="s">
        <v>51</v>
      </c>
      <c r="F32" s="12">
        <v>3753</v>
      </c>
      <c r="G32" s="12">
        <v>411</v>
      </c>
      <c r="H32" s="12">
        <v>308</v>
      </c>
      <c r="I32" s="12">
        <v>29138</v>
      </c>
      <c r="J32" s="12">
        <v>27678</v>
      </c>
      <c r="K32" s="12">
        <v>90</v>
      </c>
      <c r="L32" s="12" t="s">
        <v>21</v>
      </c>
      <c r="M32" s="16" t="s">
        <v>22</v>
      </c>
      <c r="N32">
        <f t="shared" si="0"/>
        <v>4472</v>
      </c>
    </row>
    <row r="33" spans="1:14">
      <c r="A33" s="13" t="s">
        <v>61</v>
      </c>
      <c r="B33" s="14" t="s">
        <v>14</v>
      </c>
      <c r="C33" s="36">
        <v>45603</v>
      </c>
      <c r="D33" s="14" t="s">
        <v>25</v>
      </c>
      <c r="E33" s="14" t="s">
        <v>29</v>
      </c>
      <c r="F33" s="14">
        <v>1678</v>
      </c>
      <c r="G33" s="14">
        <v>423</v>
      </c>
      <c r="H33" s="14">
        <v>323</v>
      </c>
      <c r="I33" s="14">
        <v>55668</v>
      </c>
      <c r="J33" s="14">
        <v>37945</v>
      </c>
      <c r="K33" s="14">
        <v>230</v>
      </c>
      <c r="L33" s="14" t="s">
        <v>42</v>
      </c>
      <c r="M33" s="17" t="s">
        <v>55</v>
      </c>
      <c r="N33">
        <f t="shared" si="0"/>
        <v>2424</v>
      </c>
    </row>
    <row r="34" spans="1:14">
      <c r="A34" s="11" t="s">
        <v>62</v>
      </c>
      <c r="B34" s="12" t="s">
        <v>14</v>
      </c>
      <c r="C34" s="35">
        <v>45823</v>
      </c>
      <c r="D34" s="12" t="s">
        <v>15</v>
      </c>
      <c r="E34" s="12" t="s">
        <v>35</v>
      </c>
      <c r="F34" s="12">
        <v>4896</v>
      </c>
      <c r="G34" s="12">
        <v>466</v>
      </c>
      <c r="H34" s="12">
        <v>233</v>
      </c>
      <c r="I34" s="12">
        <v>28621</v>
      </c>
      <c r="J34" s="12">
        <v>34270</v>
      </c>
      <c r="K34" s="12">
        <v>84</v>
      </c>
      <c r="L34" s="12" t="s">
        <v>45</v>
      </c>
      <c r="M34" s="16" t="s">
        <v>18</v>
      </c>
      <c r="N34">
        <f t="shared" si="0"/>
        <v>5595</v>
      </c>
    </row>
    <row r="35" spans="1:14">
      <c r="A35" s="13" t="s">
        <v>62</v>
      </c>
      <c r="B35" s="14" t="s">
        <v>14</v>
      </c>
      <c r="C35" s="36">
        <v>45823</v>
      </c>
      <c r="D35" s="14" t="s">
        <v>15</v>
      </c>
      <c r="E35" s="14" t="s">
        <v>35</v>
      </c>
      <c r="F35" s="14">
        <v>4896</v>
      </c>
      <c r="G35" s="14">
        <v>466</v>
      </c>
      <c r="H35" s="14">
        <v>233</v>
      </c>
      <c r="I35" s="14">
        <v>28621</v>
      </c>
      <c r="J35" s="14">
        <v>34270</v>
      </c>
      <c r="K35" s="14">
        <v>84</v>
      </c>
      <c r="L35" s="14" t="s">
        <v>42</v>
      </c>
      <c r="M35" s="17" t="s">
        <v>18</v>
      </c>
      <c r="N35">
        <f t="shared" si="0"/>
        <v>5595</v>
      </c>
    </row>
    <row r="36" spans="1:14">
      <c r="A36" s="11" t="s">
        <v>63</v>
      </c>
      <c r="B36" s="12" t="s">
        <v>31</v>
      </c>
      <c r="C36" s="35">
        <v>45452</v>
      </c>
      <c r="D36" s="12" t="s">
        <v>57</v>
      </c>
      <c r="E36" s="12" t="s">
        <v>49</v>
      </c>
      <c r="F36" s="12">
        <v>2786</v>
      </c>
      <c r="G36" s="12">
        <v>368</v>
      </c>
      <c r="H36" s="12">
        <v>208</v>
      </c>
      <c r="I36" s="12">
        <v>42000</v>
      </c>
      <c r="J36" s="12">
        <v>39967</v>
      </c>
      <c r="K36" s="12">
        <v>103</v>
      </c>
      <c r="L36" s="12" t="s">
        <v>21</v>
      </c>
      <c r="M36" s="16" t="s">
        <v>59</v>
      </c>
      <c r="N36">
        <f t="shared" si="0"/>
        <v>3362</v>
      </c>
    </row>
    <row r="37" spans="1:14">
      <c r="A37" s="13" t="s">
        <v>63</v>
      </c>
      <c r="B37" s="14" t="s">
        <v>31</v>
      </c>
      <c r="C37" s="36">
        <v>45452</v>
      </c>
      <c r="D37" s="14" t="s">
        <v>57</v>
      </c>
      <c r="E37" s="14" t="s">
        <v>49</v>
      </c>
      <c r="F37" s="14">
        <v>2786</v>
      </c>
      <c r="G37" s="14">
        <v>368</v>
      </c>
      <c r="H37" s="14">
        <v>208</v>
      </c>
      <c r="I37" s="14">
        <v>42000</v>
      </c>
      <c r="J37" s="14">
        <v>39967</v>
      </c>
      <c r="K37" s="14">
        <v>103</v>
      </c>
      <c r="L37" s="14" t="s">
        <v>45</v>
      </c>
      <c r="M37" s="17" t="s">
        <v>59</v>
      </c>
      <c r="N37">
        <f t="shared" si="0"/>
        <v>3362</v>
      </c>
    </row>
    <row r="38" spans="1:14">
      <c r="A38" s="11" t="s">
        <v>64</v>
      </c>
      <c r="B38" s="12" t="s">
        <v>24</v>
      </c>
      <c r="C38" s="35">
        <v>45583</v>
      </c>
      <c r="D38" s="12" t="s">
        <v>15</v>
      </c>
      <c r="E38" s="12" t="s">
        <v>26</v>
      </c>
      <c r="F38" s="12">
        <v>2607</v>
      </c>
      <c r="G38" s="12">
        <v>379</v>
      </c>
      <c r="H38" s="12">
        <v>180</v>
      </c>
      <c r="I38" s="12">
        <v>28712</v>
      </c>
      <c r="J38" s="12">
        <v>61620</v>
      </c>
      <c r="K38" s="12">
        <v>174</v>
      </c>
      <c r="L38" s="12" t="s">
        <v>45</v>
      </c>
      <c r="M38" s="16" t="s">
        <v>22</v>
      </c>
      <c r="N38">
        <f t="shared" si="0"/>
        <v>3166</v>
      </c>
    </row>
    <row r="39" spans="1:14">
      <c r="A39" s="13" t="s">
        <v>65</v>
      </c>
      <c r="B39" s="14" t="s">
        <v>31</v>
      </c>
      <c r="C39" s="36">
        <v>45575</v>
      </c>
      <c r="D39" s="14" t="s">
        <v>57</v>
      </c>
      <c r="E39" s="14" t="s">
        <v>49</v>
      </c>
      <c r="F39" s="14">
        <v>4013</v>
      </c>
      <c r="G39" s="14">
        <v>320</v>
      </c>
      <c r="H39" s="14">
        <v>92</v>
      </c>
      <c r="I39" s="14">
        <v>54605</v>
      </c>
      <c r="J39" s="14">
        <v>60169</v>
      </c>
      <c r="K39" s="14">
        <v>232</v>
      </c>
      <c r="L39" s="14" t="s">
        <v>21</v>
      </c>
      <c r="M39" s="17" t="s">
        <v>59</v>
      </c>
      <c r="N39">
        <f t="shared" si="0"/>
        <v>4425</v>
      </c>
    </row>
    <row r="40" spans="1:14">
      <c r="A40" s="11" t="s">
        <v>65</v>
      </c>
      <c r="B40" s="12" t="s">
        <v>31</v>
      </c>
      <c r="C40" s="35">
        <v>45575</v>
      </c>
      <c r="D40" s="12" t="s">
        <v>57</v>
      </c>
      <c r="E40" s="12" t="s">
        <v>49</v>
      </c>
      <c r="F40" s="12">
        <v>4013</v>
      </c>
      <c r="G40" s="12">
        <v>320</v>
      </c>
      <c r="H40" s="12">
        <v>92</v>
      </c>
      <c r="I40" s="12">
        <v>54605</v>
      </c>
      <c r="J40" s="12">
        <v>60169</v>
      </c>
      <c r="K40" s="12">
        <v>232</v>
      </c>
      <c r="L40" s="12" t="s">
        <v>45</v>
      </c>
      <c r="M40" s="16" t="s">
        <v>59</v>
      </c>
      <c r="N40">
        <f t="shared" si="0"/>
        <v>4425</v>
      </c>
    </row>
    <row r="41" spans="1:14">
      <c r="A41" s="13" t="s">
        <v>66</v>
      </c>
      <c r="B41" s="14" t="s">
        <v>24</v>
      </c>
      <c r="C41" s="36">
        <v>45791</v>
      </c>
      <c r="D41" s="14" t="s">
        <v>25</v>
      </c>
      <c r="E41" s="14" t="s">
        <v>49</v>
      </c>
      <c r="F41" s="14">
        <v>2707</v>
      </c>
      <c r="G41" s="14">
        <v>103</v>
      </c>
      <c r="H41" s="14">
        <v>51</v>
      </c>
      <c r="I41" s="14">
        <v>55302</v>
      </c>
      <c r="J41" s="14">
        <v>18801</v>
      </c>
      <c r="K41" s="14">
        <v>147</v>
      </c>
      <c r="L41" s="14" t="s">
        <v>21</v>
      </c>
      <c r="M41" s="17" t="s">
        <v>18</v>
      </c>
      <c r="N41">
        <f t="shared" si="0"/>
        <v>2861</v>
      </c>
    </row>
    <row r="42" spans="1:14">
      <c r="A42" s="11" t="s">
        <v>66</v>
      </c>
      <c r="B42" s="12" t="s">
        <v>24</v>
      </c>
      <c r="C42" s="35">
        <v>45791</v>
      </c>
      <c r="D42" s="12" t="s">
        <v>25</v>
      </c>
      <c r="E42" s="12" t="s">
        <v>49</v>
      </c>
      <c r="F42" s="12">
        <v>2707</v>
      </c>
      <c r="G42" s="12">
        <v>103</v>
      </c>
      <c r="H42" s="12">
        <v>51</v>
      </c>
      <c r="I42" s="12">
        <v>55302</v>
      </c>
      <c r="J42" s="12">
        <v>18801</v>
      </c>
      <c r="K42" s="12">
        <v>147</v>
      </c>
      <c r="L42" s="12" t="s">
        <v>398</v>
      </c>
      <c r="M42" s="16" t="s">
        <v>18</v>
      </c>
      <c r="N42">
        <f t="shared" si="0"/>
        <v>2861</v>
      </c>
    </row>
    <row r="43" spans="1:14">
      <c r="A43" s="13" t="s">
        <v>67</v>
      </c>
      <c r="B43" s="14" t="s">
        <v>14</v>
      </c>
      <c r="C43" s="36">
        <v>45625</v>
      </c>
      <c r="D43" s="14" t="s">
        <v>15</v>
      </c>
      <c r="E43" s="14" t="s">
        <v>35</v>
      </c>
      <c r="F43" s="14">
        <v>2824</v>
      </c>
      <c r="G43" s="14">
        <v>425</v>
      </c>
      <c r="H43" s="14">
        <v>274</v>
      </c>
      <c r="I43" s="14">
        <v>31004</v>
      </c>
      <c r="J43" s="14">
        <v>53488</v>
      </c>
      <c r="K43" s="14">
        <v>268</v>
      </c>
      <c r="L43" s="14" t="s">
        <v>45</v>
      </c>
      <c r="M43" s="17" t="s">
        <v>18</v>
      </c>
      <c r="N43">
        <f t="shared" si="0"/>
        <v>3523</v>
      </c>
    </row>
    <row r="44" spans="1:14">
      <c r="A44" s="11" t="s">
        <v>67</v>
      </c>
      <c r="B44" s="12" t="s">
        <v>14</v>
      </c>
      <c r="C44" s="35">
        <v>45625</v>
      </c>
      <c r="D44" s="12" t="s">
        <v>15</v>
      </c>
      <c r="E44" s="12" t="s">
        <v>35</v>
      </c>
      <c r="F44" s="12">
        <v>2824</v>
      </c>
      <c r="G44" s="12">
        <v>425</v>
      </c>
      <c r="H44" s="12">
        <v>274</v>
      </c>
      <c r="I44" s="12">
        <v>31004</v>
      </c>
      <c r="J44" s="12">
        <v>53488</v>
      </c>
      <c r="K44" s="12">
        <v>268</v>
      </c>
      <c r="L44" s="12" t="s">
        <v>42</v>
      </c>
      <c r="M44" s="16" t="s">
        <v>18</v>
      </c>
      <c r="N44">
        <f t="shared" si="0"/>
        <v>3523</v>
      </c>
    </row>
    <row r="45" spans="1:14">
      <c r="A45" s="13" t="s">
        <v>68</v>
      </c>
      <c r="B45" s="14" t="s">
        <v>31</v>
      </c>
      <c r="C45" s="36">
        <v>45356</v>
      </c>
      <c r="D45" s="14" t="s">
        <v>57</v>
      </c>
      <c r="E45" s="14" t="s">
        <v>20</v>
      </c>
      <c r="F45" s="14">
        <v>3558</v>
      </c>
      <c r="G45" s="14">
        <v>314</v>
      </c>
      <c r="H45" s="14">
        <v>199</v>
      </c>
      <c r="I45" s="14">
        <v>49612</v>
      </c>
      <c r="J45" s="14">
        <v>53929</v>
      </c>
      <c r="K45" s="14">
        <v>206</v>
      </c>
      <c r="L45" s="14" t="s">
        <v>21</v>
      </c>
      <c r="M45" s="17" t="s">
        <v>59</v>
      </c>
      <c r="N45">
        <f t="shared" si="0"/>
        <v>4071</v>
      </c>
    </row>
    <row r="46" spans="1:14">
      <c r="A46" s="11" t="s">
        <v>68</v>
      </c>
      <c r="B46" s="12" t="s">
        <v>31</v>
      </c>
      <c r="C46" s="35">
        <v>45356</v>
      </c>
      <c r="D46" s="12" t="s">
        <v>57</v>
      </c>
      <c r="E46" s="12" t="s">
        <v>20</v>
      </c>
      <c r="F46" s="12">
        <v>3558</v>
      </c>
      <c r="G46" s="12">
        <v>314</v>
      </c>
      <c r="H46" s="12">
        <v>199</v>
      </c>
      <c r="I46" s="12">
        <v>49612</v>
      </c>
      <c r="J46" s="12">
        <v>53929</v>
      </c>
      <c r="K46" s="12">
        <v>206</v>
      </c>
      <c r="L46" s="12" t="s">
        <v>45</v>
      </c>
      <c r="M46" s="16" t="s">
        <v>59</v>
      </c>
      <c r="N46">
        <f t="shared" si="0"/>
        <v>4071</v>
      </c>
    </row>
    <row r="47" spans="1:14">
      <c r="A47" s="13" t="s">
        <v>69</v>
      </c>
      <c r="B47" s="14" t="s">
        <v>24</v>
      </c>
      <c r="C47" s="36">
        <v>45734</v>
      </c>
      <c r="D47" s="14" t="s">
        <v>25</v>
      </c>
      <c r="E47" s="14" t="s">
        <v>20</v>
      </c>
      <c r="F47" s="14">
        <v>3418</v>
      </c>
      <c r="G47" s="14">
        <v>188</v>
      </c>
      <c r="H47" s="14">
        <v>387</v>
      </c>
      <c r="I47" s="14">
        <v>57431</v>
      </c>
      <c r="J47" s="14">
        <v>36933</v>
      </c>
      <c r="K47" s="14">
        <v>202</v>
      </c>
      <c r="L47" s="14" t="s">
        <v>398</v>
      </c>
      <c r="M47" s="17" t="s">
        <v>18</v>
      </c>
      <c r="N47">
        <f t="shared" si="0"/>
        <v>3993</v>
      </c>
    </row>
    <row r="48" spans="1:14">
      <c r="A48" s="11" t="s">
        <v>69</v>
      </c>
      <c r="B48" s="12" t="s">
        <v>24</v>
      </c>
      <c r="C48" s="35">
        <v>45734</v>
      </c>
      <c r="D48" s="12" t="s">
        <v>25</v>
      </c>
      <c r="E48" s="12" t="s">
        <v>20</v>
      </c>
      <c r="F48" s="12">
        <v>3418</v>
      </c>
      <c r="G48" s="12">
        <v>188</v>
      </c>
      <c r="H48" s="12">
        <v>387</v>
      </c>
      <c r="I48" s="12">
        <v>57431</v>
      </c>
      <c r="J48" s="12">
        <v>36933</v>
      </c>
      <c r="K48" s="12">
        <v>202</v>
      </c>
      <c r="L48" s="12" t="s">
        <v>42</v>
      </c>
      <c r="M48" s="16" t="s">
        <v>18</v>
      </c>
      <c r="N48">
        <f t="shared" si="0"/>
        <v>3993</v>
      </c>
    </row>
    <row r="49" spans="1:14">
      <c r="A49" s="13" t="s">
        <v>70</v>
      </c>
      <c r="B49" s="14" t="s">
        <v>24</v>
      </c>
      <c r="C49" s="36">
        <v>45773</v>
      </c>
      <c r="D49" s="14" t="s">
        <v>15</v>
      </c>
      <c r="E49" s="14" t="s">
        <v>16</v>
      </c>
      <c r="F49" s="14">
        <v>2411</v>
      </c>
      <c r="G49" s="14">
        <v>194</v>
      </c>
      <c r="H49" s="14">
        <v>168</v>
      </c>
      <c r="I49" s="14">
        <v>26665</v>
      </c>
      <c r="J49" s="14">
        <v>71699</v>
      </c>
      <c r="K49" s="14">
        <v>197</v>
      </c>
      <c r="L49" s="14" t="s">
        <v>42</v>
      </c>
      <c r="M49" s="17" t="s">
        <v>18</v>
      </c>
      <c r="N49">
        <f t="shared" si="0"/>
        <v>2773</v>
      </c>
    </row>
    <row r="50" spans="1:14">
      <c r="A50" s="11" t="s">
        <v>71</v>
      </c>
      <c r="B50" s="12" t="s">
        <v>14</v>
      </c>
      <c r="C50" s="35">
        <v>45658</v>
      </c>
      <c r="D50" s="12" t="s">
        <v>15</v>
      </c>
      <c r="E50" s="12" t="s">
        <v>26</v>
      </c>
      <c r="F50" s="12">
        <v>4036</v>
      </c>
      <c r="G50" s="12">
        <v>112</v>
      </c>
      <c r="H50" s="12">
        <v>382</v>
      </c>
      <c r="I50" s="12">
        <v>56284</v>
      </c>
      <c r="J50" s="12">
        <v>29440</v>
      </c>
      <c r="K50" s="12">
        <v>279</v>
      </c>
      <c r="L50" s="12" t="s">
        <v>45</v>
      </c>
      <c r="M50" s="16" t="s">
        <v>18</v>
      </c>
      <c r="N50">
        <f t="shared" si="0"/>
        <v>4530</v>
      </c>
    </row>
    <row r="51" spans="1:14">
      <c r="A51" s="13" t="s">
        <v>71</v>
      </c>
      <c r="B51" s="14" t="s">
        <v>14</v>
      </c>
      <c r="C51" s="36">
        <v>45658</v>
      </c>
      <c r="D51" s="14" t="s">
        <v>15</v>
      </c>
      <c r="E51" s="14" t="s">
        <v>26</v>
      </c>
      <c r="F51" s="14">
        <v>4036</v>
      </c>
      <c r="G51" s="14">
        <v>112</v>
      </c>
      <c r="H51" s="14">
        <v>382</v>
      </c>
      <c r="I51" s="14">
        <v>56284</v>
      </c>
      <c r="J51" s="14">
        <v>29440</v>
      </c>
      <c r="K51" s="14">
        <v>279</v>
      </c>
      <c r="L51" s="14" t="s">
        <v>42</v>
      </c>
      <c r="M51" s="17" t="s">
        <v>18</v>
      </c>
      <c r="N51">
        <f t="shared" si="0"/>
        <v>4530</v>
      </c>
    </row>
    <row r="52" spans="1:14">
      <c r="A52" s="11" t="s">
        <v>72</v>
      </c>
      <c r="B52" s="12" t="s">
        <v>24</v>
      </c>
      <c r="C52" s="35">
        <v>45419</v>
      </c>
      <c r="D52" s="12" t="s">
        <v>25</v>
      </c>
      <c r="E52" s="12" t="s">
        <v>20</v>
      </c>
      <c r="F52" s="12">
        <v>2776</v>
      </c>
      <c r="G52" s="12">
        <v>307</v>
      </c>
      <c r="H52" s="12">
        <v>178</v>
      </c>
      <c r="I52" s="12">
        <v>43365</v>
      </c>
      <c r="J52" s="12">
        <v>48408</v>
      </c>
      <c r="K52" s="12">
        <v>138</v>
      </c>
      <c r="L52" s="12" t="s">
        <v>45</v>
      </c>
      <c r="M52" s="16" t="s">
        <v>18</v>
      </c>
      <c r="N52">
        <f t="shared" si="0"/>
        <v>3261</v>
      </c>
    </row>
    <row r="53" spans="1:14">
      <c r="A53" s="13" t="s">
        <v>72</v>
      </c>
      <c r="B53" s="14" t="s">
        <v>24</v>
      </c>
      <c r="C53" s="36">
        <v>45419</v>
      </c>
      <c r="D53" s="14" t="s">
        <v>25</v>
      </c>
      <c r="E53" s="14" t="s">
        <v>20</v>
      </c>
      <c r="F53" s="14">
        <v>2776</v>
      </c>
      <c r="G53" s="14">
        <v>307</v>
      </c>
      <c r="H53" s="14">
        <v>178</v>
      </c>
      <c r="I53" s="14">
        <v>43365</v>
      </c>
      <c r="J53" s="14">
        <v>48408</v>
      </c>
      <c r="K53" s="14">
        <v>138</v>
      </c>
      <c r="L53" s="14" t="s">
        <v>42</v>
      </c>
      <c r="M53" s="17" t="s">
        <v>18</v>
      </c>
      <c r="N53">
        <f t="shared" si="0"/>
        <v>3261</v>
      </c>
    </row>
    <row r="54" spans="1:14">
      <c r="A54" s="11" t="s">
        <v>73</v>
      </c>
      <c r="B54" s="12" t="s">
        <v>24</v>
      </c>
      <c r="C54" s="35">
        <v>45574</v>
      </c>
      <c r="D54" s="12" t="s">
        <v>25</v>
      </c>
      <c r="E54" s="12" t="s">
        <v>16</v>
      </c>
      <c r="F54" s="12">
        <v>4929</v>
      </c>
      <c r="G54" s="12">
        <v>182</v>
      </c>
      <c r="H54" s="12">
        <v>95</v>
      </c>
      <c r="I54" s="12">
        <v>32181</v>
      </c>
      <c r="J54" s="12">
        <v>31084</v>
      </c>
      <c r="K54" s="12">
        <v>289</v>
      </c>
      <c r="L54" s="12" t="s">
        <v>21</v>
      </c>
      <c r="M54" s="16" t="s">
        <v>18</v>
      </c>
      <c r="N54">
        <f t="shared" si="0"/>
        <v>5206</v>
      </c>
    </row>
    <row r="55" spans="1:14">
      <c r="A55" s="13" t="s">
        <v>73</v>
      </c>
      <c r="B55" s="14" t="s">
        <v>24</v>
      </c>
      <c r="C55" s="36">
        <v>45574</v>
      </c>
      <c r="D55" s="14" t="s">
        <v>25</v>
      </c>
      <c r="E55" s="14" t="s">
        <v>16</v>
      </c>
      <c r="F55" s="14">
        <v>4929</v>
      </c>
      <c r="G55" s="14">
        <v>182</v>
      </c>
      <c r="H55" s="14">
        <v>95</v>
      </c>
      <c r="I55" s="14">
        <v>32181</v>
      </c>
      <c r="J55" s="14">
        <v>31084</v>
      </c>
      <c r="K55" s="14">
        <v>289</v>
      </c>
      <c r="L55" s="14" t="s">
        <v>398</v>
      </c>
      <c r="M55" s="17" t="s">
        <v>18</v>
      </c>
      <c r="N55">
        <f t="shared" si="0"/>
        <v>5206</v>
      </c>
    </row>
    <row r="56" spans="1:14">
      <c r="A56" s="11" t="s">
        <v>74</v>
      </c>
      <c r="B56" s="12" t="s">
        <v>14</v>
      </c>
      <c r="C56" s="35">
        <v>45666</v>
      </c>
      <c r="D56" s="12" t="s">
        <v>15</v>
      </c>
      <c r="E56" s="12" t="s">
        <v>26</v>
      </c>
      <c r="F56" s="12">
        <v>1015</v>
      </c>
      <c r="G56" s="12">
        <v>366</v>
      </c>
      <c r="H56" s="12">
        <v>308</v>
      </c>
      <c r="I56" s="12">
        <v>38127</v>
      </c>
      <c r="J56" s="12">
        <v>63790</v>
      </c>
      <c r="K56" s="12">
        <v>287</v>
      </c>
      <c r="L56" s="12" t="s">
        <v>45</v>
      </c>
      <c r="M56" s="16" t="s">
        <v>18</v>
      </c>
      <c r="N56">
        <f t="shared" si="0"/>
        <v>1689</v>
      </c>
    </row>
    <row r="57" spans="1:14">
      <c r="A57" s="13" t="s">
        <v>74</v>
      </c>
      <c r="B57" s="14" t="s">
        <v>14</v>
      </c>
      <c r="C57" s="36">
        <v>45666</v>
      </c>
      <c r="D57" s="14" t="s">
        <v>15</v>
      </c>
      <c r="E57" s="14" t="s">
        <v>26</v>
      </c>
      <c r="F57" s="14">
        <v>1015</v>
      </c>
      <c r="G57" s="14">
        <v>366</v>
      </c>
      <c r="H57" s="14">
        <v>308</v>
      </c>
      <c r="I57" s="14">
        <v>38127</v>
      </c>
      <c r="J57" s="14">
        <v>63790</v>
      </c>
      <c r="K57" s="14">
        <v>287</v>
      </c>
      <c r="L57" s="14" t="s">
        <v>42</v>
      </c>
      <c r="M57" s="17" t="s">
        <v>18</v>
      </c>
      <c r="N57">
        <f t="shared" si="0"/>
        <v>1689</v>
      </c>
    </row>
    <row r="58" spans="1:14">
      <c r="A58" s="11" t="s">
        <v>75</v>
      </c>
      <c r="B58" s="12" t="s">
        <v>24</v>
      </c>
      <c r="C58" s="35">
        <v>45785</v>
      </c>
      <c r="D58" s="12" t="s">
        <v>25</v>
      </c>
      <c r="E58" s="12" t="s">
        <v>51</v>
      </c>
      <c r="F58" s="12">
        <v>3316</v>
      </c>
      <c r="G58" s="12">
        <v>332</v>
      </c>
      <c r="H58" s="12">
        <v>268</v>
      </c>
      <c r="I58" s="12">
        <v>40095</v>
      </c>
      <c r="J58" s="12">
        <v>36913</v>
      </c>
      <c r="K58" s="12">
        <v>265</v>
      </c>
      <c r="L58" s="12" t="s">
        <v>398</v>
      </c>
      <c r="M58" s="16" t="s">
        <v>18</v>
      </c>
      <c r="N58">
        <f t="shared" si="0"/>
        <v>3916</v>
      </c>
    </row>
    <row r="59" spans="1:14">
      <c r="A59" s="13" t="s">
        <v>75</v>
      </c>
      <c r="B59" s="14" t="s">
        <v>24</v>
      </c>
      <c r="C59" s="36">
        <v>45785</v>
      </c>
      <c r="D59" s="14" t="s">
        <v>25</v>
      </c>
      <c r="E59" s="14" t="s">
        <v>51</v>
      </c>
      <c r="F59" s="14">
        <v>3316</v>
      </c>
      <c r="G59" s="14">
        <v>332</v>
      </c>
      <c r="H59" s="14">
        <v>268</v>
      </c>
      <c r="I59" s="14">
        <v>40095</v>
      </c>
      <c r="J59" s="14">
        <v>36913</v>
      </c>
      <c r="K59" s="14">
        <v>265</v>
      </c>
      <c r="L59" s="14" t="s">
        <v>42</v>
      </c>
      <c r="M59" s="17" t="s">
        <v>18</v>
      </c>
      <c r="N59">
        <f t="shared" si="0"/>
        <v>3916</v>
      </c>
    </row>
    <row r="60" spans="1:14">
      <c r="A60" s="11" t="s">
        <v>76</v>
      </c>
      <c r="B60" s="12" t="s">
        <v>14</v>
      </c>
      <c r="C60" s="35">
        <v>45416</v>
      </c>
      <c r="D60" s="12" t="s">
        <v>15</v>
      </c>
      <c r="E60" s="12" t="s">
        <v>29</v>
      </c>
      <c r="F60" s="12">
        <v>2274</v>
      </c>
      <c r="G60" s="12">
        <v>243</v>
      </c>
      <c r="H60" s="12">
        <v>222</v>
      </c>
      <c r="I60" s="12">
        <v>43066</v>
      </c>
      <c r="J60" s="12">
        <v>59174</v>
      </c>
      <c r="K60" s="12">
        <v>80</v>
      </c>
      <c r="L60" s="12" t="s">
        <v>21</v>
      </c>
      <c r="M60" s="16" t="s">
        <v>22</v>
      </c>
      <c r="N60">
        <f t="shared" si="0"/>
        <v>2739</v>
      </c>
    </row>
    <row r="61" spans="1:14">
      <c r="A61" s="13" t="s">
        <v>77</v>
      </c>
      <c r="B61" s="14" t="s">
        <v>24</v>
      </c>
      <c r="C61" s="36">
        <v>45804</v>
      </c>
      <c r="D61" s="14" t="s">
        <v>25</v>
      </c>
      <c r="E61" s="14" t="s">
        <v>20</v>
      </c>
      <c r="F61" s="14">
        <v>4095</v>
      </c>
      <c r="G61" s="14">
        <v>385</v>
      </c>
      <c r="H61" s="14">
        <v>400</v>
      </c>
      <c r="I61" s="14">
        <v>45300</v>
      </c>
      <c r="J61" s="14">
        <v>31795</v>
      </c>
      <c r="K61" s="14">
        <v>80</v>
      </c>
      <c r="L61" s="14" t="s">
        <v>398</v>
      </c>
      <c r="M61" s="17" t="s">
        <v>18</v>
      </c>
      <c r="N61">
        <f t="shared" si="0"/>
        <v>4880</v>
      </c>
    </row>
    <row r="62" spans="1:14">
      <c r="A62" s="11" t="s">
        <v>77</v>
      </c>
      <c r="B62" s="12" t="s">
        <v>24</v>
      </c>
      <c r="C62" s="35">
        <v>45804</v>
      </c>
      <c r="D62" s="12" t="s">
        <v>25</v>
      </c>
      <c r="E62" s="12" t="s">
        <v>20</v>
      </c>
      <c r="F62" s="12">
        <v>4095</v>
      </c>
      <c r="G62" s="12">
        <v>385</v>
      </c>
      <c r="H62" s="12">
        <v>400</v>
      </c>
      <c r="I62" s="12">
        <v>45300</v>
      </c>
      <c r="J62" s="12">
        <v>31795</v>
      </c>
      <c r="K62" s="12">
        <v>80</v>
      </c>
      <c r="L62" s="12" t="s">
        <v>42</v>
      </c>
      <c r="M62" s="16" t="s">
        <v>18</v>
      </c>
      <c r="N62">
        <f t="shared" si="0"/>
        <v>4880</v>
      </c>
    </row>
    <row r="63" spans="1:14">
      <c r="A63" s="13" t="s">
        <v>78</v>
      </c>
      <c r="B63" s="14" t="s">
        <v>14</v>
      </c>
      <c r="C63" s="36">
        <v>45545</v>
      </c>
      <c r="D63" s="14" t="s">
        <v>25</v>
      </c>
      <c r="E63" s="14" t="s">
        <v>26</v>
      </c>
      <c r="F63" s="14">
        <v>1230</v>
      </c>
      <c r="G63" s="14">
        <v>309</v>
      </c>
      <c r="H63" s="14">
        <v>207</v>
      </c>
      <c r="I63" s="14">
        <v>44629</v>
      </c>
      <c r="J63" s="14">
        <v>40699</v>
      </c>
      <c r="K63" s="14">
        <v>195</v>
      </c>
      <c r="L63" s="14" t="s">
        <v>42</v>
      </c>
      <c r="M63" s="17" t="s">
        <v>55</v>
      </c>
      <c r="N63">
        <f t="shared" si="0"/>
        <v>1746</v>
      </c>
    </row>
    <row r="64" spans="1:14">
      <c r="A64" s="11" t="s">
        <v>79</v>
      </c>
      <c r="B64" s="12" t="s">
        <v>14</v>
      </c>
      <c r="C64" s="35">
        <v>45621</v>
      </c>
      <c r="D64" s="12" t="s">
        <v>15</v>
      </c>
      <c r="E64" s="12" t="s">
        <v>49</v>
      </c>
      <c r="F64" s="12">
        <v>1341</v>
      </c>
      <c r="G64" s="12">
        <v>472</v>
      </c>
      <c r="H64" s="12">
        <v>238</v>
      </c>
      <c r="I64" s="12">
        <v>51386</v>
      </c>
      <c r="J64" s="12">
        <v>51706</v>
      </c>
      <c r="K64" s="12">
        <v>133</v>
      </c>
      <c r="L64" s="12" t="s">
        <v>21</v>
      </c>
      <c r="M64" s="16" t="s">
        <v>22</v>
      </c>
      <c r="N64">
        <f t="shared" si="0"/>
        <v>2051</v>
      </c>
    </row>
    <row r="65" spans="1:14">
      <c r="A65" s="13" t="s">
        <v>80</v>
      </c>
      <c r="B65" s="14" t="s">
        <v>24</v>
      </c>
      <c r="C65" s="36">
        <v>45818</v>
      </c>
      <c r="D65" s="14" t="s">
        <v>15</v>
      </c>
      <c r="E65" s="14" t="s">
        <v>20</v>
      </c>
      <c r="F65" s="14">
        <v>3615</v>
      </c>
      <c r="G65" s="14">
        <v>192</v>
      </c>
      <c r="H65" s="14">
        <v>162</v>
      </c>
      <c r="I65" s="14">
        <v>27492</v>
      </c>
      <c r="J65" s="14">
        <v>35341</v>
      </c>
      <c r="K65" s="14">
        <v>125</v>
      </c>
      <c r="L65" s="14" t="s">
        <v>42</v>
      </c>
      <c r="M65" s="17" t="s">
        <v>18</v>
      </c>
      <c r="N65">
        <f t="shared" si="0"/>
        <v>3969</v>
      </c>
    </row>
    <row r="66" spans="1:14">
      <c r="A66" s="11" t="s">
        <v>81</v>
      </c>
      <c r="B66" s="12" t="s">
        <v>14</v>
      </c>
      <c r="C66" s="35">
        <v>45401</v>
      </c>
      <c r="D66" s="12" t="s">
        <v>15</v>
      </c>
      <c r="E66" s="12" t="s">
        <v>26</v>
      </c>
      <c r="F66" s="12">
        <v>4001</v>
      </c>
      <c r="G66" s="12">
        <v>353</v>
      </c>
      <c r="H66" s="12">
        <v>129</v>
      </c>
      <c r="I66" s="12">
        <v>41265</v>
      </c>
      <c r="J66" s="12">
        <v>37279</v>
      </c>
      <c r="K66" s="12">
        <v>275</v>
      </c>
      <c r="L66" s="12" t="s">
        <v>45</v>
      </c>
      <c r="M66" s="16" t="s">
        <v>18</v>
      </c>
      <c r="N66">
        <f t="shared" si="0"/>
        <v>4483</v>
      </c>
    </row>
    <row r="67" spans="1:14">
      <c r="A67" s="13" t="s">
        <v>81</v>
      </c>
      <c r="B67" s="14" t="s">
        <v>14</v>
      </c>
      <c r="C67" s="36">
        <v>45401</v>
      </c>
      <c r="D67" s="14" t="s">
        <v>15</v>
      </c>
      <c r="E67" s="14" t="s">
        <v>26</v>
      </c>
      <c r="F67" s="14">
        <v>4001</v>
      </c>
      <c r="G67" s="14">
        <v>353</v>
      </c>
      <c r="H67" s="14">
        <v>129</v>
      </c>
      <c r="I67" s="14">
        <v>41265</v>
      </c>
      <c r="J67" s="14">
        <v>37279</v>
      </c>
      <c r="K67" s="14">
        <v>275</v>
      </c>
      <c r="L67" s="14" t="s">
        <v>42</v>
      </c>
      <c r="M67" s="17" t="s">
        <v>18</v>
      </c>
      <c r="N67">
        <f t="shared" ref="N67:N130" si="1">F67+G67+H67</f>
        <v>4483</v>
      </c>
    </row>
    <row r="68" spans="1:14">
      <c r="A68" s="11" t="s">
        <v>82</v>
      </c>
      <c r="B68" s="12" t="s">
        <v>14</v>
      </c>
      <c r="C68" s="35">
        <v>45683</v>
      </c>
      <c r="D68" s="12" t="s">
        <v>25</v>
      </c>
      <c r="E68" s="12" t="s">
        <v>35</v>
      </c>
      <c r="F68" s="12">
        <v>3451</v>
      </c>
      <c r="G68" s="12">
        <v>363</v>
      </c>
      <c r="H68" s="12">
        <v>393</v>
      </c>
      <c r="I68" s="12">
        <v>44853</v>
      </c>
      <c r="J68" s="12">
        <v>69032</v>
      </c>
      <c r="K68" s="12">
        <v>211</v>
      </c>
      <c r="L68" s="12" t="s">
        <v>42</v>
      </c>
      <c r="M68" s="16" t="s">
        <v>55</v>
      </c>
      <c r="N68">
        <f t="shared" si="1"/>
        <v>4207</v>
      </c>
    </row>
    <row r="69" spans="1:14">
      <c r="A69" s="13" t="s">
        <v>83</v>
      </c>
      <c r="B69" s="14" t="s">
        <v>14</v>
      </c>
      <c r="C69" s="36">
        <v>45702</v>
      </c>
      <c r="D69" s="14" t="s">
        <v>15</v>
      </c>
      <c r="E69" s="14" t="s">
        <v>41</v>
      </c>
      <c r="F69" s="14">
        <v>4891</v>
      </c>
      <c r="G69" s="14">
        <v>450</v>
      </c>
      <c r="H69" s="14">
        <v>387</v>
      </c>
      <c r="I69" s="14">
        <v>48746</v>
      </c>
      <c r="J69" s="14">
        <v>37312</v>
      </c>
      <c r="K69" s="14">
        <v>154</v>
      </c>
      <c r="L69" s="14" t="s">
        <v>45</v>
      </c>
      <c r="M69" s="17" t="s">
        <v>18</v>
      </c>
      <c r="N69">
        <f t="shared" si="1"/>
        <v>5728</v>
      </c>
    </row>
    <row r="70" spans="1:14">
      <c r="A70" s="11" t="s">
        <v>83</v>
      </c>
      <c r="B70" s="12" t="s">
        <v>14</v>
      </c>
      <c r="C70" s="35">
        <v>45702</v>
      </c>
      <c r="D70" s="12" t="s">
        <v>15</v>
      </c>
      <c r="E70" s="12" t="s">
        <v>41</v>
      </c>
      <c r="F70" s="12">
        <v>4891</v>
      </c>
      <c r="G70" s="12">
        <v>450</v>
      </c>
      <c r="H70" s="12">
        <v>387</v>
      </c>
      <c r="I70" s="12">
        <v>48746</v>
      </c>
      <c r="J70" s="12">
        <v>37312</v>
      </c>
      <c r="K70" s="12">
        <v>154</v>
      </c>
      <c r="L70" s="12" t="s">
        <v>42</v>
      </c>
      <c r="M70" s="16" t="s">
        <v>18</v>
      </c>
      <c r="N70">
        <f t="shared" si="1"/>
        <v>5728</v>
      </c>
    </row>
    <row r="71" spans="1:14">
      <c r="A71" s="13" t="s">
        <v>84</v>
      </c>
      <c r="B71" s="14" t="s">
        <v>14</v>
      </c>
      <c r="C71" s="36">
        <v>45541</v>
      </c>
      <c r="D71" s="14" t="s">
        <v>15</v>
      </c>
      <c r="E71" s="14" t="s">
        <v>26</v>
      </c>
      <c r="F71" s="14">
        <v>1452</v>
      </c>
      <c r="G71" s="14">
        <v>281</v>
      </c>
      <c r="H71" s="14">
        <v>326</v>
      </c>
      <c r="I71" s="14">
        <v>51556</v>
      </c>
      <c r="J71" s="14">
        <v>62599</v>
      </c>
      <c r="K71" s="14">
        <v>290</v>
      </c>
      <c r="L71" s="14" t="s">
        <v>21</v>
      </c>
      <c r="M71" s="17" t="s">
        <v>22</v>
      </c>
      <c r="N71">
        <f t="shared" si="1"/>
        <v>2059</v>
      </c>
    </row>
    <row r="72" spans="1:14">
      <c r="A72" s="11" t="s">
        <v>85</v>
      </c>
      <c r="B72" s="12" t="s">
        <v>31</v>
      </c>
      <c r="C72" s="35">
        <v>45487</v>
      </c>
      <c r="D72" s="12" t="s">
        <v>15</v>
      </c>
      <c r="E72" s="12" t="s">
        <v>51</v>
      </c>
      <c r="F72" s="12">
        <v>3806</v>
      </c>
      <c r="G72" s="12">
        <v>114</v>
      </c>
      <c r="H72" s="12">
        <v>278</v>
      </c>
      <c r="I72" s="12">
        <v>36148</v>
      </c>
      <c r="J72" s="12">
        <v>24209</v>
      </c>
      <c r="K72" s="12">
        <v>201</v>
      </c>
      <c r="L72" s="12" t="s">
        <v>21</v>
      </c>
      <c r="M72" s="16" t="s">
        <v>22</v>
      </c>
      <c r="N72">
        <f t="shared" si="1"/>
        <v>4198</v>
      </c>
    </row>
    <row r="73" spans="1:14">
      <c r="A73" s="13" t="s">
        <v>85</v>
      </c>
      <c r="B73" s="14" t="s">
        <v>31</v>
      </c>
      <c r="C73" s="36">
        <v>45487</v>
      </c>
      <c r="D73" s="14" t="s">
        <v>15</v>
      </c>
      <c r="E73" s="14" t="s">
        <v>51</v>
      </c>
      <c r="F73" s="14">
        <v>3806</v>
      </c>
      <c r="G73" s="14">
        <v>114</v>
      </c>
      <c r="H73" s="14">
        <v>278</v>
      </c>
      <c r="I73" s="14">
        <v>36148</v>
      </c>
      <c r="J73" s="14">
        <v>24209</v>
      </c>
      <c r="K73" s="14">
        <v>201</v>
      </c>
      <c r="L73" s="14" t="s">
        <v>399</v>
      </c>
      <c r="M73" s="17" t="s">
        <v>22</v>
      </c>
      <c r="N73">
        <f t="shared" si="1"/>
        <v>4198</v>
      </c>
    </row>
    <row r="74" spans="1:14">
      <c r="A74" s="11" t="s">
        <v>86</v>
      </c>
      <c r="B74" s="12" t="s">
        <v>14</v>
      </c>
      <c r="C74" s="35">
        <v>45334</v>
      </c>
      <c r="D74" s="12" t="s">
        <v>15</v>
      </c>
      <c r="E74" s="12" t="s">
        <v>20</v>
      </c>
      <c r="F74" s="12">
        <v>2923</v>
      </c>
      <c r="G74" s="12">
        <v>330</v>
      </c>
      <c r="H74" s="12">
        <v>250</v>
      </c>
      <c r="I74" s="12">
        <v>23993</v>
      </c>
      <c r="J74" s="12">
        <v>74590</v>
      </c>
      <c r="K74" s="12">
        <v>92</v>
      </c>
      <c r="L74" s="12" t="s">
        <v>21</v>
      </c>
      <c r="M74" s="16" t="s">
        <v>22</v>
      </c>
      <c r="N74">
        <f t="shared" si="1"/>
        <v>3503</v>
      </c>
    </row>
    <row r="75" spans="1:14">
      <c r="A75" s="13" t="s">
        <v>87</v>
      </c>
      <c r="B75" s="14" t="s">
        <v>31</v>
      </c>
      <c r="C75" s="36">
        <v>45365</v>
      </c>
      <c r="D75" s="14" t="s">
        <v>57</v>
      </c>
      <c r="E75" s="14" t="s">
        <v>49</v>
      </c>
      <c r="F75" s="14">
        <v>3361</v>
      </c>
      <c r="G75" s="14">
        <v>188</v>
      </c>
      <c r="H75" s="14">
        <v>358</v>
      </c>
      <c r="I75" s="14">
        <v>39838</v>
      </c>
      <c r="J75" s="14">
        <v>24536</v>
      </c>
      <c r="K75" s="14">
        <v>120</v>
      </c>
      <c r="L75" s="14" t="s">
        <v>21</v>
      </c>
      <c r="M75" s="17" t="s">
        <v>59</v>
      </c>
      <c r="N75">
        <f t="shared" si="1"/>
        <v>3907</v>
      </c>
    </row>
    <row r="76" spans="1:14">
      <c r="A76" s="11" t="s">
        <v>87</v>
      </c>
      <c r="B76" s="12" t="s">
        <v>31</v>
      </c>
      <c r="C76" s="35">
        <v>45365</v>
      </c>
      <c r="D76" s="12" t="s">
        <v>57</v>
      </c>
      <c r="E76" s="12" t="s">
        <v>49</v>
      </c>
      <c r="F76" s="12">
        <v>3361</v>
      </c>
      <c r="G76" s="12">
        <v>188</v>
      </c>
      <c r="H76" s="12">
        <v>358</v>
      </c>
      <c r="I76" s="12">
        <v>39838</v>
      </c>
      <c r="J76" s="12">
        <v>24536</v>
      </c>
      <c r="K76" s="12">
        <v>120</v>
      </c>
      <c r="L76" s="12" t="s">
        <v>45</v>
      </c>
      <c r="M76" s="16" t="s">
        <v>59</v>
      </c>
      <c r="N76">
        <f t="shared" si="1"/>
        <v>3907</v>
      </c>
    </row>
    <row r="77" spans="1:14">
      <c r="A77" s="13" t="s">
        <v>88</v>
      </c>
      <c r="B77" s="14" t="s">
        <v>14</v>
      </c>
      <c r="C77" s="36">
        <v>45693</v>
      </c>
      <c r="D77" s="14" t="s">
        <v>25</v>
      </c>
      <c r="E77" s="14" t="s">
        <v>32</v>
      </c>
      <c r="F77" s="14">
        <v>3074</v>
      </c>
      <c r="G77" s="14">
        <v>371</v>
      </c>
      <c r="H77" s="14">
        <v>348</v>
      </c>
      <c r="I77" s="14">
        <v>24104</v>
      </c>
      <c r="J77" s="14">
        <v>57803</v>
      </c>
      <c r="K77" s="14">
        <v>213</v>
      </c>
      <c r="L77" s="14" t="s">
        <v>42</v>
      </c>
      <c r="M77" s="17" t="s">
        <v>55</v>
      </c>
      <c r="N77">
        <f t="shared" si="1"/>
        <v>3793</v>
      </c>
    </row>
    <row r="78" spans="1:14">
      <c r="A78" s="11" t="s">
        <v>89</v>
      </c>
      <c r="B78" s="12" t="s">
        <v>24</v>
      </c>
      <c r="C78" s="35">
        <v>45533</v>
      </c>
      <c r="D78" s="12" t="s">
        <v>25</v>
      </c>
      <c r="E78" s="12" t="s">
        <v>37</v>
      </c>
      <c r="F78" s="12">
        <v>4276</v>
      </c>
      <c r="G78" s="12">
        <v>227</v>
      </c>
      <c r="H78" s="12">
        <v>223</v>
      </c>
      <c r="I78" s="12">
        <v>43443</v>
      </c>
      <c r="J78" s="12">
        <v>41005</v>
      </c>
      <c r="K78" s="12">
        <v>191</v>
      </c>
      <c r="L78" s="12" t="s">
        <v>21</v>
      </c>
      <c r="M78" s="16" t="s">
        <v>18</v>
      </c>
      <c r="N78">
        <f t="shared" si="1"/>
        <v>4726</v>
      </c>
    </row>
    <row r="79" spans="1:14">
      <c r="A79" s="13" t="s">
        <v>89</v>
      </c>
      <c r="B79" s="14" t="s">
        <v>24</v>
      </c>
      <c r="C79" s="36">
        <v>45533</v>
      </c>
      <c r="D79" s="14" t="s">
        <v>25</v>
      </c>
      <c r="E79" s="14" t="s">
        <v>37</v>
      </c>
      <c r="F79" s="14">
        <v>4276</v>
      </c>
      <c r="G79" s="14">
        <v>227</v>
      </c>
      <c r="H79" s="14">
        <v>223</v>
      </c>
      <c r="I79" s="14">
        <v>43443</v>
      </c>
      <c r="J79" s="14">
        <v>41005</v>
      </c>
      <c r="K79" s="14">
        <v>191</v>
      </c>
      <c r="L79" s="14" t="s">
        <v>398</v>
      </c>
      <c r="M79" s="17" t="s">
        <v>18</v>
      </c>
      <c r="N79">
        <f t="shared" si="1"/>
        <v>4726</v>
      </c>
    </row>
    <row r="80" spans="1:14">
      <c r="A80" s="11" t="s">
        <v>90</v>
      </c>
      <c r="B80" s="12" t="s">
        <v>24</v>
      </c>
      <c r="C80" s="35">
        <v>45769</v>
      </c>
      <c r="D80" s="12" t="s">
        <v>15</v>
      </c>
      <c r="E80" s="12" t="s">
        <v>16</v>
      </c>
      <c r="F80" s="12">
        <v>4401</v>
      </c>
      <c r="G80" s="12">
        <v>421</v>
      </c>
      <c r="H80" s="12">
        <v>216</v>
      </c>
      <c r="I80" s="12">
        <v>24890</v>
      </c>
      <c r="J80" s="12">
        <v>54361</v>
      </c>
      <c r="K80" s="12">
        <v>148</v>
      </c>
      <c r="L80" s="12" t="s">
        <v>42</v>
      </c>
      <c r="M80" s="16" t="s">
        <v>18</v>
      </c>
      <c r="N80">
        <f t="shared" si="1"/>
        <v>5038</v>
      </c>
    </row>
    <row r="81" spans="1:14">
      <c r="A81" s="13" t="s">
        <v>91</v>
      </c>
      <c r="B81" s="14" t="s">
        <v>31</v>
      </c>
      <c r="C81" s="36">
        <v>45425</v>
      </c>
      <c r="D81" s="14" t="s">
        <v>57</v>
      </c>
      <c r="E81" s="14" t="s">
        <v>20</v>
      </c>
      <c r="F81" s="14">
        <v>4161</v>
      </c>
      <c r="G81" s="14">
        <v>481</v>
      </c>
      <c r="H81" s="14">
        <v>61</v>
      </c>
      <c r="I81" s="14">
        <v>45884</v>
      </c>
      <c r="J81" s="14">
        <v>48955</v>
      </c>
      <c r="K81" s="14">
        <v>215</v>
      </c>
      <c r="L81" s="14" t="s">
        <v>21</v>
      </c>
      <c r="M81" s="17" t="s">
        <v>59</v>
      </c>
      <c r="N81">
        <f t="shared" si="1"/>
        <v>4703</v>
      </c>
    </row>
    <row r="82" spans="1:14">
      <c r="A82" s="11" t="s">
        <v>91</v>
      </c>
      <c r="B82" s="12" t="s">
        <v>31</v>
      </c>
      <c r="C82" s="35">
        <v>45425</v>
      </c>
      <c r="D82" s="12" t="s">
        <v>57</v>
      </c>
      <c r="E82" s="12" t="s">
        <v>20</v>
      </c>
      <c r="F82" s="12">
        <v>4161</v>
      </c>
      <c r="G82" s="12">
        <v>481</v>
      </c>
      <c r="H82" s="12">
        <v>61</v>
      </c>
      <c r="I82" s="12">
        <v>45884</v>
      </c>
      <c r="J82" s="12">
        <v>48955</v>
      </c>
      <c r="K82" s="12">
        <v>215</v>
      </c>
      <c r="L82" s="12" t="s">
        <v>45</v>
      </c>
      <c r="M82" s="16" t="s">
        <v>59</v>
      </c>
      <c r="N82">
        <f t="shared" si="1"/>
        <v>4703</v>
      </c>
    </row>
    <row r="83" spans="1:14">
      <c r="A83" s="13" t="s">
        <v>92</v>
      </c>
      <c r="B83" s="14" t="s">
        <v>24</v>
      </c>
      <c r="C83" s="36">
        <v>45539</v>
      </c>
      <c r="D83" s="14" t="s">
        <v>25</v>
      </c>
      <c r="E83" s="14" t="s">
        <v>26</v>
      </c>
      <c r="F83" s="14">
        <v>2613</v>
      </c>
      <c r="G83" s="14">
        <v>455</v>
      </c>
      <c r="H83" s="14">
        <v>228</v>
      </c>
      <c r="I83" s="14">
        <v>21645</v>
      </c>
      <c r="J83" s="14">
        <v>61334</v>
      </c>
      <c r="K83" s="14">
        <v>261</v>
      </c>
      <c r="L83" s="14" t="s">
        <v>21</v>
      </c>
      <c r="M83" s="17" t="s">
        <v>18</v>
      </c>
      <c r="N83">
        <f t="shared" si="1"/>
        <v>3296</v>
      </c>
    </row>
    <row r="84" spans="1:14">
      <c r="A84" s="11" t="s">
        <v>92</v>
      </c>
      <c r="B84" s="12" t="s">
        <v>24</v>
      </c>
      <c r="C84" s="35">
        <v>45539</v>
      </c>
      <c r="D84" s="12" t="s">
        <v>25</v>
      </c>
      <c r="E84" s="12" t="s">
        <v>26</v>
      </c>
      <c r="F84" s="12">
        <v>2613</v>
      </c>
      <c r="G84" s="12">
        <v>455</v>
      </c>
      <c r="H84" s="12">
        <v>228</v>
      </c>
      <c r="I84" s="12">
        <v>21645</v>
      </c>
      <c r="J84" s="12">
        <v>61334</v>
      </c>
      <c r="K84" s="12">
        <v>261</v>
      </c>
      <c r="L84" s="12" t="s">
        <v>398</v>
      </c>
      <c r="M84" s="16" t="s">
        <v>18</v>
      </c>
      <c r="N84">
        <f t="shared" si="1"/>
        <v>3296</v>
      </c>
    </row>
    <row r="85" spans="1:14">
      <c r="A85" s="13" t="s">
        <v>93</v>
      </c>
      <c r="B85" s="14" t="s">
        <v>24</v>
      </c>
      <c r="C85" s="36">
        <v>45516</v>
      </c>
      <c r="D85" s="14" t="s">
        <v>25</v>
      </c>
      <c r="E85" s="14" t="s">
        <v>35</v>
      </c>
      <c r="F85" s="14">
        <v>2842</v>
      </c>
      <c r="G85" s="14">
        <v>213</v>
      </c>
      <c r="H85" s="14">
        <v>331</v>
      </c>
      <c r="I85" s="14">
        <v>57660</v>
      </c>
      <c r="J85" s="14">
        <v>68606</v>
      </c>
      <c r="K85" s="14">
        <v>87</v>
      </c>
      <c r="L85" s="14" t="s">
        <v>398</v>
      </c>
      <c r="M85" s="17" t="s">
        <v>18</v>
      </c>
      <c r="N85">
        <f t="shared" si="1"/>
        <v>3386</v>
      </c>
    </row>
    <row r="86" spans="1:14">
      <c r="A86" s="11" t="s">
        <v>93</v>
      </c>
      <c r="B86" s="12" t="s">
        <v>24</v>
      </c>
      <c r="C86" s="35">
        <v>45516</v>
      </c>
      <c r="D86" s="12" t="s">
        <v>25</v>
      </c>
      <c r="E86" s="12" t="s">
        <v>35</v>
      </c>
      <c r="F86" s="12">
        <v>2842</v>
      </c>
      <c r="G86" s="12">
        <v>213</v>
      </c>
      <c r="H86" s="12">
        <v>331</v>
      </c>
      <c r="I86" s="12">
        <v>57660</v>
      </c>
      <c r="J86" s="12">
        <v>68606</v>
      </c>
      <c r="K86" s="12">
        <v>87</v>
      </c>
      <c r="L86" s="12" t="s">
        <v>42</v>
      </c>
      <c r="M86" s="16" t="s">
        <v>18</v>
      </c>
      <c r="N86">
        <f t="shared" si="1"/>
        <v>3386</v>
      </c>
    </row>
    <row r="87" spans="1:14">
      <c r="A87" s="13" t="s">
        <v>94</v>
      </c>
      <c r="B87" s="14" t="s">
        <v>14</v>
      </c>
      <c r="C87" s="36">
        <v>45722</v>
      </c>
      <c r="D87" s="14" t="s">
        <v>15</v>
      </c>
      <c r="E87" s="14" t="s">
        <v>37</v>
      </c>
      <c r="F87" s="14">
        <v>4851</v>
      </c>
      <c r="G87" s="14">
        <v>460</v>
      </c>
      <c r="H87" s="14">
        <v>212</v>
      </c>
      <c r="I87" s="14">
        <v>58075</v>
      </c>
      <c r="J87" s="14">
        <v>59574</v>
      </c>
      <c r="K87" s="14">
        <v>239</v>
      </c>
      <c r="L87" s="14" t="s">
        <v>21</v>
      </c>
      <c r="M87" s="17" t="s">
        <v>22</v>
      </c>
      <c r="N87">
        <f t="shared" si="1"/>
        <v>5523</v>
      </c>
    </row>
    <row r="88" spans="1:14">
      <c r="A88" s="11" t="s">
        <v>95</v>
      </c>
      <c r="B88" s="12" t="s">
        <v>24</v>
      </c>
      <c r="C88" s="35">
        <v>45420</v>
      </c>
      <c r="D88" s="12" t="s">
        <v>15</v>
      </c>
      <c r="E88" s="12" t="s">
        <v>20</v>
      </c>
      <c r="F88" s="12">
        <v>1828</v>
      </c>
      <c r="G88" s="12">
        <v>450</v>
      </c>
      <c r="H88" s="12">
        <v>214</v>
      </c>
      <c r="I88" s="12">
        <v>52115</v>
      </c>
      <c r="J88" s="12">
        <v>19166</v>
      </c>
      <c r="K88" s="12">
        <v>190</v>
      </c>
      <c r="L88" s="12" t="s">
        <v>42</v>
      </c>
      <c r="M88" s="16" t="s">
        <v>18</v>
      </c>
      <c r="N88">
        <f t="shared" si="1"/>
        <v>2492</v>
      </c>
    </row>
    <row r="89" spans="1:14">
      <c r="A89" s="13" t="s">
        <v>96</v>
      </c>
      <c r="B89" s="14" t="s">
        <v>14</v>
      </c>
      <c r="C89" s="36">
        <v>45707</v>
      </c>
      <c r="D89" s="14" t="s">
        <v>25</v>
      </c>
      <c r="E89" s="14" t="s">
        <v>49</v>
      </c>
      <c r="F89" s="14">
        <v>2422</v>
      </c>
      <c r="G89" s="14">
        <v>455</v>
      </c>
      <c r="H89" s="14">
        <v>376</v>
      </c>
      <c r="I89" s="14">
        <v>23428</v>
      </c>
      <c r="J89" s="14">
        <v>46775</v>
      </c>
      <c r="K89" s="14">
        <v>259</v>
      </c>
      <c r="L89" s="14" t="s">
        <v>42</v>
      </c>
      <c r="M89" s="17" t="s">
        <v>55</v>
      </c>
      <c r="N89">
        <f t="shared" si="1"/>
        <v>3253</v>
      </c>
    </row>
    <row r="90" spans="1:14">
      <c r="A90" s="11" t="s">
        <v>97</v>
      </c>
      <c r="B90" s="12" t="s">
        <v>14</v>
      </c>
      <c r="C90" s="35">
        <v>45299</v>
      </c>
      <c r="D90" s="12" t="s">
        <v>15</v>
      </c>
      <c r="E90" s="12" t="s">
        <v>41</v>
      </c>
      <c r="F90" s="12">
        <v>2683</v>
      </c>
      <c r="G90" s="12">
        <v>405</v>
      </c>
      <c r="H90" s="12">
        <v>223</v>
      </c>
      <c r="I90" s="12">
        <v>31233</v>
      </c>
      <c r="J90" s="12">
        <v>58106</v>
      </c>
      <c r="K90" s="12">
        <v>291</v>
      </c>
      <c r="L90" s="12" t="s">
        <v>21</v>
      </c>
      <c r="M90" s="16" t="s">
        <v>22</v>
      </c>
      <c r="N90">
        <f t="shared" si="1"/>
        <v>3311</v>
      </c>
    </row>
    <row r="91" spans="1:14">
      <c r="A91" s="13" t="s">
        <v>98</v>
      </c>
      <c r="B91" s="14" t="s">
        <v>31</v>
      </c>
      <c r="C91" s="36">
        <v>45490</v>
      </c>
      <c r="D91" s="14" t="s">
        <v>15</v>
      </c>
      <c r="E91" s="14" t="s">
        <v>41</v>
      </c>
      <c r="F91" s="14">
        <v>3135</v>
      </c>
      <c r="G91" s="14">
        <v>110</v>
      </c>
      <c r="H91" s="14">
        <v>215</v>
      </c>
      <c r="I91" s="14">
        <v>39192</v>
      </c>
      <c r="J91" s="14">
        <v>24744</v>
      </c>
      <c r="K91" s="14">
        <v>177</v>
      </c>
      <c r="L91" s="14" t="s">
        <v>21</v>
      </c>
      <c r="M91" s="17" t="s">
        <v>22</v>
      </c>
      <c r="N91">
        <f t="shared" si="1"/>
        <v>3460</v>
      </c>
    </row>
    <row r="92" spans="1:14">
      <c r="A92" s="11" t="s">
        <v>98</v>
      </c>
      <c r="B92" s="12" t="s">
        <v>31</v>
      </c>
      <c r="C92" s="35">
        <v>45490</v>
      </c>
      <c r="D92" s="12" t="s">
        <v>15</v>
      </c>
      <c r="E92" s="12" t="s">
        <v>41</v>
      </c>
      <c r="F92" s="12">
        <v>3135</v>
      </c>
      <c r="G92" s="12">
        <v>110</v>
      </c>
      <c r="H92" s="12">
        <v>215</v>
      </c>
      <c r="I92" s="12">
        <v>39192</v>
      </c>
      <c r="J92" s="12">
        <v>24744</v>
      </c>
      <c r="K92" s="12">
        <v>177</v>
      </c>
      <c r="L92" s="12" t="s">
        <v>399</v>
      </c>
      <c r="M92" s="16" t="s">
        <v>22</v>
      </c>
      <c r="N92">
        <f t="shared" si="1"/>
        <v>3460</v>
      </c>
    </row>
    <row r="93" spans="1:14">
      <c r="A93" s="13" t="s">
        <v>99</v>
      </c>
      <c r="B93" s="14" t="s">
        <v>31</v>
      </c>
      <c r="C93" s="36">
        <v>45514</v>
      </c>
      <c r="D93" s="14" t="s">
        <v>15</v>
      </c>
      <c r="E93" s="14" t="s">
        <v>49</v>
      </c>
      <c r="F93" s="14">
        <v>1105</v>
      </c>
      <c r="G93" s="14">
        <v>181</v>
      </c>
      <c r="H93" s="14">
        <v>55</v>
      </c>
      <c r="I93" s="14">
        <v>53581</v>
      </c>
      <c r="J93" s="14">
        <v>74048</v>
      </c>
      <c r="K93" s="14">
        <v>220</v>
      </c>
      <c r="L93" s="14" t="s">
        <v>21</v>
      </c>
      <c r="M93" s="17" t="s">
        <v>22</v>
      </c>
      <c r="N93">
        <f t="shared" si="1"/>
        <v>1341</v>
      </c>
    </row>
    <row r="94" spans="1:14">
      <c r="A94" s="11" t="s">
        <v>99</v>
      </c>
      <c r="B94" s="12" t="s">
        <v>31</v>
      </c>
      <c r="C94" s="35">
        <v>45514</v>
      </c>
      <c r="D94" s="12" t="s">
        <v>15</v>
      </c>
      <c r="E94" s="12" t="s">
        <v>49</v>
      </c>
      <c r="F94" s="12">
        <v>1105</v>
      </c>
      <c r="G94" s="12">
        <v>181</v>
      </c>
      <c r="H94" s="12">
        <v>55</v>
      </c>
      <c r="I94" s="12">
        <v>53581</v>
      </c>
      <c r="J94" s="12">
        <v>74048</v>
      </c>
      <c r="K94" s="12">
        <v>220</v>
      </c>
      <c r="L94" s="12" t="s">
        <v>399</v>
      </c>
      <c r="M94" s="16" t="s">
        <v>22</v>
      </c>
      <c r="N94">
        <f t="shared" si="1"/>
        <v>1341</v>
      </c>
    </row>
    <row r="95" spans="1:14">
      <c r="A95" s="13" t="s">
        <v>100</v>
      </c>
      <c r="B95" s="14" t="s">
        <v>31</v>
      </c>
      <c r="C95" s="36">
        <v>45398</v>
      </c>
      <c r="D95" s="14" t="s">
        <v>15</v>
      </c>
      <c r="E95" s="14" t="s">
        <v>16</v>
      </c>
      <c r="F95" s="14">
        <v>4674</v>
      </c>
      <c r="G95" s="14">
        <v>326</v>
      </c>
      <c r="H95" s="14">
        <v>62</v>
      </c>
      <c r="I95" s="14">
        <v>45503</v>
      </c>
      <c r="J95" s="14">
        <v>46814</v>
      </c>
      <c r="K95" s="14">
        <v>116</v>
      </c>
      <c r="L95" s="14" t="s">
        <v>21</v>
      </c>
      <c r="M95" s="17" t="s">
        <v>22</v>
      </c>
      <c r="N95">
        <f t="shared" si="1"/>
        <v>5062</v>
      </c>
    </row>
    <row r="96" spans="1:14">
      <c r="A96" s="11" t="s">
        <v>100</v>
      </c>
      <c r="B96" s="12" t="s">
        <v>31</v>
      </c>
      <c r="C96" s="35">
        <v>45398</v>
      </c>
      <c r="D96" s="12" t="s">
        <v>15</v>
      </c>
      <c r="E96" s="12" t="s">
        <v>16</v>
      </c>
      <c r="F96" s="12">
        <v>4674</v>
      </c>
      <c r="G96" s="12">
        <v>326</v>
      </c>
      <c r="H96" s="12">
        <v>62</v>
      </c>
      <c r="I96" s="12">
        <v>45503</v>
      </c>
      <c r="J96" s="12">
        <v>46814</v>
      </c>
      <c r="K96" s="12">
        <v>116</v>
      </c>
      <c r="L96" s="12" t="s">
        <v>399</v>
      </c>
      <c r="M96" s="16" t="s">
        <v>22</v>
      </c>
      <c r="N96">
        <f t="shared" si="1"/>
        <v>5062</v>
      </c>
    </row>
    <row r="97" spans="1:14">
      <c r="A97" s="13" t="s">
        <v>101</v>
      </c>
      <c r="B97" s="14" t="s">
        <v>31</v>
      </c>
      <c r="C97" s="36">
        <v>45292</v>
      </c>
      <c r="D97" s="14" t="s">
        <v>57</v>
      </c>
      <c r="E97" s="14" t="s">
        <v>20</v>
      </c>
      <c r="F97" s="14">
        <v>3437</v>
      </c>
      <c r="G97" s="14">
        <v>129</v>
      </c>
      <c r="H97" s="14">
        <v>359</v>
      </c>
      <c r="I97" s="14">
        <v>44558</v>
      </c>
      <c r="J97" s="14">
        <v>30854</v>
      </c>
      <c r="K97" s="14">
        <v>171</v>
      </c>
      <c r="L97" s="14" t="s">
        <v>21</v>
      </c>
      <c r="M97" s="17" t="s">
        <v>59</v>
      </c>
      <c r="N97">
        <f t="shared" si="1"/>
        <v>3925</v>
      </c>
    </row>
    <row r="98" spans="1:14">
      <c r="A98" s="11" t="s">
        <v>101</v>
      </c>
      <c r="B98" s="12" t="s">
        <v>31</v>
      </c>
      <c r="C98" s="35">
        <v>45292</v>
      </c>
      <c r="D98" s="12" t="s">
        <v>57</v>
      </c>
      <c r="E98" s="12" t="s">
        <v>20</v>
      </c>
      <c r="F98" s="12">
        <v>3437</v>
      </c>
      <c r="G98" s="12">
        <v>129</v>
      </c>
      <c r="H98" s="12">
        <v>359</v>
      </c>
      <c r="I98" s="12">
        <v>44558</v>
      </c>
      <c r="J98" s="12">
        <v>30854</v>
      </c>
      <c r="K98" s="12">
        <v>171</v>
      </c>
      <c r="L98" s="12" t="s">
        <v>45</v>
      </c>
      <c r="M98" s="16" t="s">
        <v>59</v>
      </c>
      <c r="N98">
        <f t="shared" si="1"/>
        <v>3925</v>
      </c>
    </row>
    <row r="99" spans="1:14">
      <c r="A99" s="13" t="s">
        <v>102</v>
      </c>
      <c r="B99" s="14" t="s">
        <v>24</v>
      </c>
      <c r="C99" s="36">
        <v>45599</v>
      </c>
      <c r="D99" s="14" t="s">
        <v>25</v>
      </c>
      <c r="E99" s="14" t="s">
        <v>29</v>
      </c>
      <c r="F99" s="14">
        <v>1959</v>
      </c>
      <c r="G99" s="14">
        <v>316</v>
      </c>
      <c r="H99" s="14">
        <v>82</v>
      </c>
      <c r="I99" s="14">
        <v>54036</v>
      </c>
      <c r="J99" s="14">
        <v>69015</v>
      </c>
      <c r="K99" s="14">
        <v>182</v>
      </c>
      <c r="L99" s="14" t="s">
        <v>398</v>
      </c>
      <c r="M99" s="17" t="s">
        <v>18</v>
      </c>
      <c r="N99">
        <f t="shared" si="1"/>
        <v>2357</v>
      </c>
    </row>
    <row r="100" spans="1:14">
      <c r="A100" s="11" t="s">
        <v>102</v>
      </c>
      <c r="B100" s="12" t="s">
        <v>24</v>
      </c>
      <c r="C100" s="35">
        <v>45599</v>
      </c>
      <c r="D100" s="12" t="s">
        <v>25</v>
      </c>
      <c r="E100" s="12" t="s">
        <v>29</v>
      </c>
      <c r="F100" s="12">
        <v>1959</v>
      </c>
      <c r="G100" s="12">
        <v>316</v>
      </c>
      <c r="H100" s="12">
        <v>82</v>
      </c>
      <c r="I100" s="12">
        <v>54036</v>
      </c>
      <c r="J100" s="12">
        <v>69015</v>
      </c>
      <c r="K100" s="12">
        <v>182</v>
      </c>
      <c r="L100" s="12" t="s">
        <v>42</v>
      </c>
      <c r="M100" s="16" t="s">
        <v>18</v>
      </c>
      <c r="N100">
        <f t="shared" si="1"/>
        <v>2357</v>
      </c>
    </row>
    <row r="101" spans="1:14">
      <c r="A101" s="13" t="s">
        <v>103</v>
      </c>
      <c r="B101" s="14" t="s">
        <v>24</v>
      </c>
      <c r="C101" s="36">
        <v>45480</v>
      </c>
      <c r="D101" s="14" t="s">
        <v>15</v>
      </c>
      <c r="E101" s="14" t="s">
        <v>26</v>
      </c>
      <c r="F101" s="14">
        <v>1035</v>
      </c>
      <c r="G101" s="14">
        <v>137</v>
      </c>
      <c r="H101" s="14">
        <v>184</v>
      </c>
      <c r="I101" s="14">
        <v>37302</v>
      </c>
      <c r="J101" s="14">
        <v>68953</v>
      </c>
      <c r="K101" s="14">
        <v>237</v>
      </c>
      <c r="L101" s="14" t="s">
        <v>45</v>
      </c>
      <c r="M101" s="17" t="s">
        <v>22</v>
      </c>
      <c r="N101">
        <f t="shared" si="1"/>
        <v>1356</v>
      </c>
    </row>
    <row r="102" spans="1:14">
      <c r="A102" s="11" t="s">
        <v>104</v>
      </c>
      <c r="B102" s="12" t="s">
        <v>24</v>
      </c>
      <c r="C102" s="35">
        <v>45679</v>
      </c>
      <c r="D102" s="12" t="s">
        <v>25</v>
      </c>
      <c r="E102" s="12" t="s">
        <v>26</v>
      </c>
      <c r="F102" s="12">
        <v>4478</v>
      </c>
      <c r="G102" s="12">
        <v>101</v>
      </c>
      <c r="H102" s="12">
        <v>121</v>
      </c>
      <c r="I102" s="12">
        <v>51035</v>
      </c>
      <c r="J102" s="12">
        <v>58207</v>
      </c>
      <c r="K102" s="12">
        <v>205</v>
      </c>
      <c r="L102" s="12" t="s">
        <v>398</v>
      </c>
      <c r="M102" s="16" t="s">
        <v>18</v>
      </c>
      <c r="N102">
        <f t="shared" si="1"/>
        <v>4700</v>
      </c>
    </row>
    <row r="103" spans="1:14">
      <c r="A103" s="13" t="s">
        <v>104</v>
      </c>
      <c r="B103" s="14" t="s">
        <v>24</v>
      </c>
      <c r="C103" s="36">
        <v>45679</v>
      </c>
      <c r="D103" s="14" t="s">
        <v>25</v>
      </c>
      <c r="E103" s="14" t="s">
        <v>26</v>
      </c>
      <c r="F103" s="14">
        <v>4478</v>
      </c>
      <c r="G103" s="14">
        <v>101</v>
      </c>
      <c r="H103" s="14">
        <v>121</v>
      </c>
      <c r="I103" s="14">
        <v>51035</v>
      </c>
      <c r="J103" s="14">
        <v>58207</v>
      </c>
      <c r="K103" s="14">
        <v>205</v>
      </c>
      <c r="L103" s="14" t="s">
        <v>42</v>
      </c>
      <c r="M103" s="17" t="s">
        <v>18</v>
      </c>
      <c r="N103">
        <f t="shared" si="1"/>
        <v>4700</v>
      </c>
    </row>
    <row r="104" spans="1:14">
      <c r="A104" s="11" t="s">
        <v>105</v>
      </c>
      <c r="B104" s="12" t="s">
        <v>31</v>
      </c>
      <c r="C104" s="35">
        <v>45438</v>
      </c>
      <c r="D104" s="12" t="s">
        <v>15</v>
      </c>
      <c r="E104" s="12" t="s">
        <v>49</v>
      </c>
      <c r="F104" s="12">
        <v>1488</v>
      </c>
      <c r="G104" s="12">
        <v>327</v>
      </c>
      <c r="H104" s="12">
        <v>110</v>
      </c>
      <c r="I104" s="12">
        <v>53805</v>
      </c>
      <c r="J104" s="12">
        <v>30239</v>
      </c>
      <c r="K104" s="12">
        <v>109</v>
      </c>
      <c r="L104" s="12" t="s">
        <v>21</v>
      </c>
      <c r="M104" s="16" t="s">
        <v>22</v>
      </c>
      <c r="N104">
        <f t="shared" si="1"/>
        <v>1925</v>
      </c>
    </row>
    <row r="105" spans="1:14">
      <c r="A105" s="13" t="s">
        <v>105</v>
      </c>
      <c r="B105" s="14" t="s">
        <v>31</v>
      </c>
      <c r="C105" s="36">
        <v>45438</v>
      </c>
      <c r="D105" s="14" t="s">
        <v>15</v>
      </c>
      <c r="E105" s="14" t="s">
        <v>49</v>
      </c>
      <c r="F105" s="14">
        <v>1488</v>
      </c>
      <c r="G105" s="14">
        <v>327</v>
      </c>
      <c r="H105" s="14">
        <v>110</v>
      </c>
      <c r="I105" s="14">
        <v>53805</v>
      </c>
      <c r="J105" s="14">
        <v>30239</v>
      </c>
      <c r="K105" s="14">
        <v>109</v>
      </c>
      <c r="L105" s="14" t="s">
        <v>399</v>
      </c>
      <c r="M105" s="17" t="s">
        <v>22</v>
      </c>
      <c r="N105">
        <f t="shared" si="1"/>
        <v>1925</v>
      </c>
    </row>
    <row r="106" spans="1:14">
      <c r="A106" s="11" t="s">
        <v>106</v>
      </c>
      <c r="B106" s="12" t="s">
        <v>14</v>
      </c>
      <c r="C106" s="35">
        <v>45763</v>
      </c>
      <c r="D106" s="12" t="s">
        <v>15</v>
      </c>
      <c r="E106" s="12" t="s">
        <v>29</v>
      </c>
      <c r="F106" s="12">
        <v>4836</v>
      </c>
      <c r="G106" s="12">
        <v>331</v>
      </c>
      <c r="H106" s="12">
        <v>140</v>
      </c>
      <c r="I106" s="12">
        <v>58792</v>
      </c>
      <c r="J106" s="12">
        <v>47711</v>
      </c>
      <c r="K106" s="12">
        <v>227</v>
      </c>
      <c r="L106" s="12" t="s">
        <v>45</v>
      </c>
      <c r="M106" s="16" t="s">
        <v>18</v>
      </c>
      <c r="N106">
        <f t="shared" si="1"/>
        <v>5307</v>
      </c>
    </row>
    <row r="107" spans="1:14">
      <c r="A107" s="13" t="s">
        <v>106</v>
      </c>
      <c r="B107" s="14" t="s">
        <v>14</v>
      </c>
      <c r="C107" s="36">
        <v>45763</v>
      </c>
      <c r="D107" s="14" t="s">
        <v>15</v>
      </c>
      <c r="E107" s="14" t="s">
        <v>29</v>
      </c>
      <c r="F107" s="14">
        <v>4836</v>
      </c>
      <c r="G107" s="14">
        <v>331</v>
      </c>
      <c r="H107" s="14">
        <v>140</v>
      </c>
      <c r="I107" s="14">
        <v>58792</v>
      </c>
      <c r="J107" s="14">
        <v>47711</v>
      </c>
      <c r="K107" s="14">
        <v>227</v>
      </c>
      <c r="L107" s="14" t="s">
        <v>42</v>
      </c>
      <c r="M107" s="17" t="s">
        <v>18</v>
      </c>
      <c r="N107">
        <f t="shared" si="1"/>
        <v>5307</v>
      </c>
    </row>
    <row r="108" spans="1:14">
      <c r="A108" s="11" t="s">
        <v>107</v>
      </c>
      <c r="B108" s="12" t="s">
        <v>31</v>
      </c>
      <c r="C108" s="35">
        <v>45384</v>
      </c>
      <c r="D108" s="12" t="s">
        <v>57</v>
      </c>
      <c r="E108" s="12" t="s">
        <v>51</v>
      </c>
      <c r="F108" s="12">
        <v>4563</v>
      </c>
      <c r="G108" s="12">
        <v>488</v>
      </c>
      <c r="H108" s="12">
        <v>356</v>
      </c>
      <c r="I108" s="12">
        <v>30619</v>
      </c>
      <c r="J108" s="12">
        <v>23328</v>
      </c>
      <c r="K108" s="12">
        <v>267</v>
      </c>
      <c r="L108" s="12" t="s">
        <v>21</v>
      </c>
      <c r="M108" s="16" t="s">
        <v>59</v>
      </c>
      <c r="N108">
        <f t="shared" si="1"/>
        <v>5407</v>
      </c>
    </row>
    <row r="109" spans="1:14">
      <c r="A109" s="13" t="s">
        <v>107</v>
      </c>
      <c r="B109" s="14" t="s">
        <v>31</v>
      </c>
      <c r="C109" s="36">
        <v>45384</v>
      </c>
      <c r="D109" s="14" t="s">
        <v>57</v>
      </c>
      <c r="E109" s="14" t="s">
        <v>51</v>
      </c>
      <c r="F109" s="14">
        <v>4563</v>
      </c>
      <c r="G109" s="14">
        <v>488</v>
      </c>
      <c r="H109" s="14">
        <v>356</v>
      </c>
      <c r="I109" s="14">
        <v>30619</v>
      </c>
      <c r="J109" s="14">
        <v>23328</v>
      </c>
      <c r="K109" s="14">
        <v>267</v>
      </c>
      <c r="L109" s="14" t="s">
        <v>45</v>
      </c>
      <c r="M109" s="17" t="s">
        <v>59</v>
      </c>
      <c r="N109">
        <f t="shared" si="1"/>
        <v>5407</v>
      </c>
    </row>
    <row r="110" spans="1:14">
      <c r="A110" s="11" t="s">
        <v>108</v>
      </c>
      <c r="B110" s="12" t="s">
        <v>24</v>
      </c>
      <c r="C110" s="35">
        <v>45379</v>
      </c>
      <c r="D110" s="12" t="s">
        <v>15</v>
      </c>
      <c r="E110" s="12" t="s">
        <v>32</v>
      </c>
      <c r="F110" s="12">
        <v>3276</v>
      </c>
      <c r="G110" s="12">
        <v>421</v>
      </c>
      <c r="H110" s="12">
        <v>114</v>
      </c>
      <c r="I110" s="12">
        <v>20580</v>
      </c>
      <c r="J110" s="12">
        <v>30324</v>
      </c>
      <c r="K110" s="12">
        <v>221</v>
      </c>
      <c r="L110" s="12" t="s">
        <v>45</v>
      </c>
      <c r="M110" s="16" t="s">
        <v>22</v>
      </c>
      <c r="N110">
        <f t="shared" si="1"/>
        <v>3811</v>
      </c>
    </row>
    <row r="111" spans="1:14">
      <c r="A111" s="13" t="s">
        <v>109</v>
      </c>
      <c r="B111" s="14" t="s">
        <v>24</v>
      </c>
      <c r="C111" s="36">
        <v>45643</v>
      </c>
      <c r="D111" s="14" t="s">
        <v>25</v>
      </c>
      <c r="E111" s="14" t="s">
        <v>32</v>
      </c>
      <c r="F111" s="14">
        <v>1316</v>
      </c>
      <c r="G111" s="14">
        <v>472</v>
      </c>
      <c r="H111" s="14">
        <v>286</v>
      </c>
      <c r="I111" s="14">
        <v>44692</v>
      </c>
      <c r="J111" s="14">
        <v>53343</v>
      </c>
      <c r="K111" s="14">
        <v>227</v>
      </c>
      <c r="L111" s="14" t="s">
        <v>21</v>
      </c>
      <c r="M111" s="17" t="s">
        <v>18</v>
      </c>
      <c r="N111">
        <f t="shared" si="1"/>
        <v>2074</v>
      </c>
    </row>
    <row r="112" spans="1:14">
      <c r="A112" s="11" t="s">
        <v>109</v>
      </c>
      <c r="B112" s="12" t="s">
        <v>24</v>
      </c>
      <c r="C112" s="35">
        <v>45643</v>
      </c>
      <c r="D112" s="12" t="s">
        <v>25</v>
      </c>
      <c r="E112" s="12" t="s">
        <v>32</v>
      </c>
      <c r="F112" s="12">
        <v>1316</v>
      </c>
      <c r="G112" s="12">
        <v>472</v>
      </c>
      <c r="H112" s="12">
        <v>286</v>
      </c>
      <c r="I112" s="12">
        <v>44692</v>
      </c>
      <c r="J112" s="12">
        <v>53343</v>
      </c>
      <c r="K112" s="12">
        <v>227</v>
      </c>
      <c r="L112" s="12" t="s">
        <v>398</v>
      </c>
      <c r="M112" s="16" t="s">
        <v>18</v>
      </c>
      <c r="N112">
        <f t="shared" si="1"/>
        <v>2074</v>
      </c>
    </row>
    <row r="113" spans="1:14">
      <c r="A113" s="13" t="s">
        <v>110</v>
      </c>
      <c r="B113" s="14" t="s">
        <v>24</v>
      </c>
      <c r="C113" s="36">
        <v>45662</v>
      </c>
      <c r="D113" s="14" t="s">
        <v>15</v>
      </c>
      <c r="E113" s="14" t="s">
        <v>29</v>
      </c>
      <c r="F113" s="14">
        <v>4811</v>
      </c>
      <c r="G113" s="14">
        <v>473</v>
      </c>
      <c r="H113" s="14">
        <v>254</v>
      </c>
      <c r="I113" s="14">
        <v>51964</v>
      </c>
      <c r="J113" s="14">
        <v>68795</v>
      </c>
      <c r="K113" s="14">
        <v>107</v>
      </c>
      <c r="L113" s="14" t="s">
        <v>42</v>
      </c>
      <c r="M113" s="17" t="s">
        <v>18</v>
      </c>
      <c r="N113">
        <f t="shared" si="1"/>
        <v>5538</v>
      </c>
    </row>
    <row r="114" spans="1:14">
      <c r="A114" s="11" t="s">
        <v>111</v>
      </c>
      <c r="B114" s="12" t="s">
        <v>24</v>
      </c>
      <c r="C114" s="35">
        <v>45302</v>
      </c>
      <c r="D114" s="12" t="s">
        <v>15</v>
      </c>
      <c r="E114" s="12" t="s">
        <v>35</v>
      </c>
      <c r="F114" s="12">
        <v>4218</v>
      </c>
      <c r="G114" s="12">
        <v>247</v>
      </c>
      <c r="H114" s="12">
        <v>183</v>
      </c>
      <c r="I114" s="12">
        <v>28914</v>
      </c>
      <c r="J114" s="12">
        <v>18310</v>
      </c>
      <c r="K114" s="12">
        <v>135</v>
      </c>
      <c r="L114" s="12" t="s">
        <v>45</v>
      </c>
      <c r="M114" s="16" t="s">
        <v>22</v>
      </c>
      <c r="N114">
        <f t="shared" si="1"/>
        <v>4648</v>
      </c>
    </row>
    <row r="115" spans="1:14">
      <c r="A115" s="13" t="s">
        <v>112</v>
      </c>
      <c r="B115" s="14" t="s">
        <v>14</v>
      </c>
      <c r="C115" s="36">
        <v>45576</v>
      </c>
      <c r="D115" s="14" t="s">
        <v>15</v>
      </c>
      <c r="E115" s="14" t="s">
        <v>49</v>
      </c>
      <c r="F115" s="14">
        <v>1360</v>
      </c>
      <c r="G115" s="14">
        <v>249</v>
      </c>
      <c r="H115" s="14">
        <v>52</v>
      </c>
      <c r="I115" s="14">
        <v>20368</v>
      </c>
      <c r="J115" s="14">
        <v>42152</v>
      </c>
      <c r="K115" s="14">
        <v>193</v>
      </c>
      <c r="L115" s="14" t="s">
        <v>21</v>
      </c>
      <c r="M115" s="17" t="s">
        <v>22</v>
      </c>
      <c r="N115">
        <f t="shared" si="1"/>
        <v>1661</v>
      </c>
    </row>
    <row r="116" spans="1:14">
      <c r="A116" s="11" t="s">
        <v>113</v>
      </c>
      <c r="B116" s="12" t="s">
        <v>31</v>
      </c>
      <c r="C116" s="35">
        <v>45783</v>
      </c>
      <c r="D116" s="12" t="s">
        <v>57</v>
      </c>
      <c r="E116" s="12" t="s">
        <v>16</v>
      </c>
      <c r="F116" s="12">
        <v>1085</v>
      </c>
      <c r="G116" s="12">
        <v>496</v>
      </c>
      <c r="H116" s="12">
        <v>320</v>
      </c>
      <c r="I116" s="12">
        <v>36528</v>
      </c>
      <c r="J116" s="12">
        <v>38599</v>
      </c>
      <c r="K116" s="12">
        <v>270</v>
      </c>
      <c r="L116" s="12" t="s">
        <v>21</v>
      </c>
      <c r="M116" s="16" t="s">
        <v>59</v>
      </c>
      <c r="N116">
        <f t="shared" si="1"/>
        <v>1901</v>
      </c>
    </row>
    <row r="117" spans="1:14">
      <c r="A117" s="13" t="s">
        <v>113</v>
      </c>
      <c r="B117" s="14" t="s">
        <v>31</v>
      </c>
      <c r="C117" s="36">
        <v>45783</v>
      </c>
      <c r="D117" s="14" t="s">
        <v>57</v>
      </c>
      <c r="E117" s="14" t="s">
        <v>16</v>
      </c>
      <c r="F117" s="14">
        <v>1085</v>
      </c>
      <c r="G117" s="14">
        <v>496</v>
      </c>
      <c r="H117" s="14">
        <v>320</v>
      </c>
      <c r="I117" s="14">
        <v>36528</v>
      </c>
      <c r="J117" s="14">
        <v>38599</v>
      </c>
      <c r="K117" s="14">
        <v>270</v>
      </c>
      <c r="L117" s="14" t="s">
        <v>45</v>
      </c>
      <c r="M117" s="17" t="s">
        <v>59</v>
      </c>
      <c r="N117">
        <f t="shared" si="1"/>
        <v>1901</v>
      </c>
    </row>
    <row r="118" spans="1:14">
      <c r="A118" s="11" t="s">
        <v>114</v>
      </c>
      <c r="B118" s="12" t="s">
        <v>24</v>
      </c>
      <c r="C118" s="35">
        <v>45431</v>
      </c>
      <c r="D118" s="12" t="s">
        <v>25</v>
      </c>
      <c r="E118" s="12" t="s">
        <v>37</v>
      </c>
      <c r="F118" s="12">
        <v>1763</v>
      </c>
      <c r="G118" s="12">
        <v>206</v>
      </c>
      <c r="H118" s="12">
        <v>187</v>
      </c>
      <c r="I118" s="12">
        <v>53342</v>
      </c>
      <c r="J118" s="12">
        <v>25095</v>
      </c>
      <c r="K118" s="12">
        <v>88</v>
      </c>
      <c r="L118" s="12" t="s">
        <v>21</v>
      </c>
      <c r="M118" s="16" t="s">
        <v>18</v>
      </c>
      <c r="N118">
        <f t="shared" si="1"/>
        <v>2156</v>
      </c>
    </row>
    <row r="119" spans="1:14">
      <c r="A119" s="13" t="s">
        <v>114</v>
      </c>
      <c r="B119" s="14" t="s">
        <v>24</v>
      </c>
      <c r="C119" s="36">
        <v>45431</v>
      </c>
      <c r="D119" s="14" t="s">
        <v>25</v>
      </c>
      <c r="E119" s="14" t="s">
        <v>37</v>
      </c>
      <c r="F119" s="14">
        <v>1763</v>
      </c>
      <c r="G119" s="14">
        <v>206</v>
      </c>
      <c r="H119" s="14">
        <v>187</v>
      </c>
      <c r="I119" s="14">
        <v>53342</v>
      </c>
      <c r="J119" s="14">
        <v>25095</v>
      </c>
      <c r="K119" s="14">
        <v>88</v>
      </c>
      <c r="L119" s="14" t="s">
        <v>398</v>
      </c>
      <c r="M119" s="17" t="s">
        <v>18</v>
      </c>
      <c r="N119">
        <f t="shared" si="1"/>
        <v>2156</v>
      </c>
    </row>
    <row r="120" spans="1:14">
      <c r="A120" s="11" t="s">
        <v>115</v>
      </c>
      <c r="B120" s="12" t="s">
        <v>24</v>
      </c>
      <c r="C120" s="35">
        <v>45313</v>
      </c>
      <c r="D120" s="12" t="s">
        <v>25</v>
      </c>
      <c r="E120" s="12" t="s">
        <v>49</v>
      </c>
      <c r="F120" s="12">
        <v>1554</v>
      </c>
      <c r="G120" s="12">
        <v>455</v>
      </c>
      <c r="H120" s="12">
        <v>158</v>
      </c>
      <c r="I120" s="12">
        <v>41947</v>
      </c>
      <c r="J120" s="12">
        <v>48578</v>
      </c>
      <c r="K120" s="12">
        <v>101</v>
      </c>
      <c r="L120" s="12" t="s">
        <v>45</v>
      </c>
      <c r="M120" s="16" t="s">
        <v>18</v>
      </c>
      <c r="N120">
        <f t="shared" si="1"/>
        <v>2167</v>
      </c>
    </row>
    <row r="121" spans="1:14">
      <c r="A121" s="13" t="s">
        <v>115</v>
      </c>
      <c r="B121" s="14" t="s">
        <v>24</v>
      </c>
      <c r="C121" s="36">
        <v>45313</v>
      </c>
      <c r="D121" s="14" t="s">
        <v>25</v>
      </c>
      <c r="E121" s="14" t="s">
        <v>49</v>
      </c>
      <c r="F121" s="14">
        <v>1554</v>
      </c>
      <c r="G121" s="14">
        <v>455</v>
      </c>
      <c r="H121" s="14">
        <v>158</v>
      </c>
      <c r="I121" s="14">
        <v>41947</v>
      </c>
      <c r="J121" s="14">
        <v>48578</v>
      </c>
      <c r="K121" s="14">
        <v>101</v>
      </c>
      <c r="L121" s="14" t="s">
        <v>42</v>
      </c>
      <c r="M121" s="17" t="s">
        <v>18</v>
      </c>
      <c r="N121">
        <f t="shared" si="1"/>
        <v>2167</v>
      </c>
    </row>
    <row r="122" spans="1:14">
      <c r="A122" s="11" t="s">
        <v>116</v>
      </c>
      <c r="B122" s="12" t="s">
        <v>14</v>
      </c>
      <c r="C122" s="35">
        <v>45487</v>
      </c>
      <c r="D122" s="12" t="s">
        <v>15</v>
      </c>
      <c r="E122" s="12" t="s">
        <v>29</v>
      </c>
      <c r="F122" s="12">
        <v>2464</v>
      </c>
      <c r="G122" s="12">
        <v>401</v>
      </c>
      <c r="H122" s="12">
        <v>78</v>
      </c>
      <c r="I122" s="12">
        <v>38665</v>
      </c>
      <c r="J122" s="12">
        <v>73593</v>
      </c>
      <c r="K122" s="12">
        <v>207</v>
      </c>
      <c r="L122" s="12" t="s">
        <v>21</v>
      </c>
      <c r="M122" s="16" t="s">
        <v>22</v>
      </c>
      <c r="N122">
        <f t="shared" si="1"/>
        <v>2943</v>
      </c>
    </row>
    <row r="123" spans="1:14">
      <c r="A123" s="13" t="s">
        <v>117</v>
      </c>
      <c r="B123" s="14" t="s">
        <v>24</v>
      </c>
      <c r="C123" s="36">
        <v>45805</v>
      </c>
      <c r="D123" s="14" t="s">
        <v>15</v>
      </c>
      <c r="E123" s="14" t="s">
        <v>49</v>
      </c>
      <c r="F123" s="14">
        <v>2418</v>
      </c>
      <c r="G123" s="14">
        <v>161</v>
      </c>
      <c r="H123" s="14">
        <v>360</v>
      </c>
      <c r="I123" s="14">
        <v>30589</v>
      </c>
      <c r="J123" s="14">
        <v>41383</v>
      </c>
      <c r="K123" s="14">
        <v>88</v>
      </c>
      <c r="L123" s="14" t="s">
        <v>42</v>
      </c>
      <c r="M123" s="17" t="s">
        <v>18</v>
      </c>
      <c r="N123">
        <f t="shared" si="1"/>
        <v>2939</v>
      </c>
    </row>
    <row r="124" spans="1:14">
      <c r="A124" s="11" t="s">
        <v>118</v>
      </c>
      <c r="B124" s="12" t="s">
        <v>24</v>
      </c>
      <c r="C124" s="35">
        <v>45678</v>
      </c>
      <c r="D124" s="12" t="s">
        <v>25</v>
      </c>
      <c r="E124" s="12" t="s">
        <v>16</v>
      </c>
      <c r="F124" s="12">
        <v>2494</v>
      </c>
      <c r="G124" s="12">
        <v>494</v>
      </c>
      <c r="H124" s="12">
        <v>55</v>
      </c>
      <c r="I124" s="12">
        <v>22580</v>
      </c>
      <c r="J124" s="12">
        <v>22214</v>
      </c>
      <c r="K124" s="12">
        <v>109</v>
      </c>
      <c r="L124" s="12" t="s">
        <v>398</v>
      </c>
      <c r="M124" s="16" t="s">
        <v>18</v>
      </c>
      <c r="N124">
        <f t="shared" si="1"/>
        <v>3043</v>
      </c>
    </row>
    <row r="125" spans="1:14">
      <c r="A125" s="13" t="s">
        <v>118</v>
      </c>
      <c r="B125" s="14" t="s">
        <v>24</v>
      </c>
      <c r="C125" s="36">
        <v>45678</v>
      </c>
      <c r="D125" s="14" t="s">
        <v>25</v>
      </c>
      <c r="E125" s="14" t="s">
        <v>16</v>
      </c>
      <c r="F125" s="14">
        <v>2494</v>
      </c>
      <c r="G125" s="14">
        <v>494</v>
      </c>
      <c r="H125" s="14">
        <v>55</v>
      </c>
      <c r="I125" s="14">
        <v>22580</v>
      </c>
      <c r="J125" s="14">
        <v>22214</v>
      </c>
      <c r="K125" s="14">
        <v>109</v>
      </c>
      <c r="L125" s="14" t="s">
        <v>42</v>
      </c>
      <c r="M125" s="17" t="s">
        <v>18</v>
      </c>
      <c r="N125">
        <f t="shared" si="1"/>
        <v>3043</v>
      </c>
    </row>
    <row r="126" spans="1:14">
      <c r="A126" s="11" t="s">
        <v>119</v>
      </c>
      <c r="B126" s="12" t="s">
        <v>31</v>
      </c>
      <c r="C126" s="35">
        <v>45304</v>
      </c>
      <c r="D126" s="12" t="s">
        <v>57</v>
      </c>
      <c r="E126" s="12" t="s">
        <v>26</v>
      </c>
      <c r="F126" s="12">
        <v>4781</v>
      </c>
      <c r="G126" s="12">
        <v>191</v>
      </c>
      <c r="H126" s="12">
        <v>122</v>
      </c>
      <c r="I126" s="12">
        <v>35535</v>
      </c>
      <c r="J126" s="12">
        <v>50777</v>
      </c>
      <c r="K126" s="12">
        <v>128</v>
      </c>
      <c r="L126" s="12" t="s">
        <v>21</v>
      </c>
      <c r="M126" s="16" t="s">
        <v>59</v>
      </c>
      <c r="N126">
        <f t="shared" si="1"/>
        <v>5094</v>
      </c>
    </row>
    <row r="127" spans="1:14">
      <c r="A127" s="13" t="s">
        <v>119</v>
      </c>
      <c r="B127" s="14" t="s">
        <v>31</v>
      </c>
      <c r="C127" s="36">
        <v>45304</v>
      </c>
      <c r="D127" s="14" t="s">
        <v>57</v>
      </c>
      <c r="E127" s="14" t="s">
        <v>26</v>
      </c>
      <c r="F127" s="14">
        <v>4781</v>
      </c>
      <c r="G127" s="14">
        <v>191</v>
      </c>
      <c r="H127" s="14">
        <v>122</v>
      </c>
      <c r="I127" s="14">
        <v>35535</v>
      </c>
      <c r="J127" s="14">
        <v>50777</v>
      </c>
      <c r="K127" s="14">
        <v>128</v>
      </c>
      <c r="L127" s="14" t="s">
        <v>45</v>
      </c>
      <c r="M127" s="17" t="s">
        <v>59</v>
      </c>
      <c r="N127">
        <f t="shared" si="1"/>
        <v>5094</v>
      </c>
    </row>
    <row r="128" spans="1:14">
      <c r="A128" s="11" t="s">
        <v>120</v>
      </c>
      <c r="B128" s="12" t="s">
        <v>14</v>
      </c>
      <c r="C128" s="35">
        <v>45825</v>
      </c>
      <c r="D128" s="12" t="s">
        <v>15</v>
      </c>
      <c r="E128" s="12" t="s">
        <v>32</v>
      </c>
      <c r="F128" s="12">
        <v>2284</v>
      </c>
      <c r="G128" s="12">
        <v>187</v>
      </c>
      <c r="H128" s="12">
        <v>260</v>
      </c>
      <c r="I128" s="12">
        <v>37400</v>
      </c>
      <c r="J128" s="12">
        <v>65014</v>
      </c>
      <c r="K128" s="12">
        <v>157</v>
      </c>
      <c r="L128" s="12" t="s">
        <v>45</v>
      </c>
      <c r="M128" s="16" t="s">
        <v>18</v>
      </c>
      <c r="N128">
        <f t="shared" si="1"/>
        <v>2731</v>
      </c>
    </row>
    <row r="129" spans="1:14">
      <c r="A129" s="13" t="s">
        <v>120</v>
      </c>
      <c r="B129" s="14" t="s">
        <v>14</v>
      </c>
      <c r="C129" s="36">
        <v>45825</v>
      </c>
      <c r="D129" s="14" t="s">
        <v>15</v>
      </c>
      <c r="E129" s="14" t="s">
        <v>32</v>
      </c>
      <c r="F129" s="14">
        <v>2284</v>
      </c>
      <c r="G129" s="14">
        <v>187</v>
      </c>
      <c r="H129" s="14">
        <v>260</v>
      </c>
      <c r="I129" s="14">
        <v>37400</v>
      </c>
      <c r="J129" s="14">
        <v>65014</v>
      </c>
      <c r="K129" s="14">
        <v>157</v>
      </c>
      <c r="L129" s="14" t="s">
        <v>42</v>
      </c>
      <c r="M129" s="17" t="s">
        <v>18</v>
      </c>
      <c r="N129">
        <f t="shared" si="1"/>
        <v>2731</v>
      </c>
    </row>
    <row r="130" spans="1:14">
      <c r="A130" s="11" t="s">
        <v>121</v>
      </c>
      <c r="B130" s="12" t="s">
        <v>24</v>
      </c>
      <c r="C130" s="35">
        <v>45723</v>
      </c>
      <c r="D130" s="12" t="s">
        <v>15</v>
      </c>
      <c r="E130" s="12" t="s">
        <v>37</v>
      </c>
      <c r="F130" s="12">
        <v>4234</v>
      </c>
      <c r="G130" s="12">
        <v>486</v>
      </c>
      <c r="H130" s="12">
        <v>276</v>
      </c>
      <c r="I130" s="12">
        <v>56623</v>
      </c>
      <c r="J130" s="12">
        <v>41343</v>
      </c>
      <c r="K130" s="12">
        <v>184</v>
      </c>
      <c r="L130" s="12" t="s">
        <v>45</v>
      </c>
      <c r="M130" s="16" t="s">
        <v>22</v>
      </c>
      <c r="N130">
        <f t="shared" si="1"/>
        <v>4996</v>
      </c>
    </row>
    <row r="131" spans="1:14">
      <c r="A131" s="13" t="s">
        <v>122</v>
      </c>
      <c r="B131" s="14" t="s">
        <v>14</v>
      </c>
      <c r="C131" s="36">
        <v>45530</v>
      </c>
      <c r="D131" s="14" t="s">
        <v>15</v>
      </c>
      <c r="E131" s="14" t="s">
        <v>51</v>
      </c>
      <c r="F131" s="14">
        <v>2102</v>
      </c>
      <c r="G131" s="14">
        <v>181</v>
      </c>
      <c r="H131" s="14">
        <v>306</v>
      </c>
      <c r="I131" s="14">
        <v>43650</v>
      </c>
      <c r="J131" s="14">
        <v>50079</v>
      </c>
      <c r="K131" s="14">
        <v>182</v>
      </c>
      <c r="L131" s="14" t="s">
        <v>21</v>
      </c>
      <c r="M131" s="17" t="s">
        <v>22</v>
      </c>
      <c r="N131">
        <f t="shared" ref="N131:N194" si="2">F131+G131+H131</f>
        <v>2589</v>
      </c>
    </row>
    <row r="132" spans="1:14">
      <c r="A132" s="11" t="s">
        <v>123</v>
      </c>
      <c r="B132" s="12" t="s">
        <v>24</v>
      </c>
      <c r="C132" s="35">
        <v>45660</v>
      </c>
      <c r="D132" s="12" t="s">
        <v>25</v>
      </c>
      <c r="E132" s="12" t="s">
        <v>37</v>
      </c>
      <c r="F132" s="12">
        <v>4845</v>
      </c>
      <c r="G132" s="12">
        <v>158</v>
      </c>
      <c r="H132" s="12">
        <v>84</v>
      </c>
      <c r="I132" s="12">
        <v>34578</v>
      </c>
      <c r="J132" s="12">
        <v>51480</v>
      </c>
      <c r="K132" s="12">
        <v>180</v>
      </c>
      <c r="L132" s="12" t="s">
        <v>45</v>
      </c>
      <c r="M132" s="16" t="s">
        <v>18</v>
      </c>
      <c r="N132">
        <f t="shared" si="2"/>
        <v>5087</v>
      </c>
    </row>
    <row r="133" spans="1:14">
      <c r="A133" s="13" t="s">
        <v>123</v>
      </c>
      <c r="B133" s="14" t="s">
        <v>24</v>
      </c>
      <c r="C133" s="36">
        <v>45660</v>
      </c>
      <c r="D133" s="14" t="s">
        <v>25</v>
      </c>
      <c r="E133" s="14" t="s">
        <v>37</v>
      </c>
      <c r="F133" s="14">
        <v>4845</v>
      </c>
      <c r="G133" s="14">
        <v>158</v>
      </c>
      <c r="H133" s="14">
        <v>84</v>
      </c>
      <c r="I133" s="14">
        <v>34578</v>
      </c>
      <c r="J133" s="14">
        <v>51480</v>
      </c>
      <c r="K133" s="14">
        <v>180</v>
      </c>
      <c r="L133" s="14" t="s">
        <v>42</v>
      </c>
      <c r="M133" s="17" t="s">
        <v>18</v>
      </c>
      <c r="N133">
        <f t="shared" si="2"/>
        <v>5087</v>
      </c>
    </row>
    <row r="134" spans="1:14">
      <c r="A134" s="11" t="s">
        <v>124</v>
      </c>
      <c r="B134" s="12" t="s">
        <v>24</v>
      </c>
      <c r="C134" s="35">
        <v>45507</v>
      </c>
      <c r="D134" s="12" t="s">
        <v>15</v>
      </c>
      <c r="E134" s="12" t="s">
        <v>51</v>
      </c>
      <c r="F134" s="12">
        <v>4247</v>
      </c>
      <c r="G134" s="12">
        <v>390</v>
      </c>
      <c r="H134" s="12">
        <v>213</v>
      </c>
      <c r="I134" s="12">
        <v>29785</v>
      </c>
      <c r="J134" s="12">
        <v>57768</v>
      </c>
      <c r="K134" s="12">
        <v>122</v>
      </c>
      <c r="L134" s="12" t="s">
        <v>42</v>
      </c>
      <c r="M134" s="16" t="s">
        <v>18</v>
      </c>
      <c r="N134">
        <f t="shared" si="2"/>
        <v>4850</v>
      </c>
    </row>
    <row r="135" spans="1:14">
      <c r="A135" s="13" t="s">
        <v>125</v>
      </c>
      <c r="B135" s="14" t="s">
        <v>14</v>
      </c>
      <c r="C135" s="36">
        <v>45522</v>
      </c>
      <c r="D135" s="14" t="s">
        <v>15</v>
      </c>
      <c r="E135" s="14" t="s">
        <v>20</v>
      </c>
      <c r="F135" s="14">
        <v>2965</v>
      </c>
      <c r="G135" s="14">
        <v>328</v>
      </c>
      <c r="H135" s="14">
        <v>171</v>
      </c>
      <c r="I135" s="14">
        <v>57685</v>
      </c>
      <c r="J135" s="14">
        <v>67536</v>
      </c>
      <c r="K135" s="14">
        <v>264</v>
      </c>
      <c r="L135" s="14" t="s">
        <v>45</v>
      </c>
      <c r="M135" s="17" t="s">
        <v>18</v>
      </c>
      <c r="N135">
        <f t="shared" si="2"/>
        <v>3464</v>
      </c>
    </row>
    <row r="136" spans="1:14">
      <c r="A136" s="11" t="s">
        <v>125</v>
      </c>
      <c r="B136" s="12" t="s">
        <v>14</v>
      </c>
      <c r="C136" s="35">
        <v>45522</v>
      </c>
      <c r="D136" s="12" t="s">
        <v>15</v>
      </c>
      <c r="E136" s="12" t="s">
        <v>20</v>
      </c>
      <c r="F136" s="12">
        <v>2965</v>
      </c>
      <c r="G136" s="12">
        <v>328</v>
      </c>
      <c r="H136" s="12">
        <v>171</v>
      </c>
      <c r="I136" s="12">
        <v>57685</v>
      </c>
      <c r="J136" s="12">
        <v>67536</v>
      </c>
      <c r="K136" s="12">
        <v>264</v>
      </c>
      <c r="L136" s="12" t="s">
        <v>42</v>
      </c>
      <c r="M136" s="16" t="s">
        <v>18</v>
      </c>
      <c r="N136">
        <f t="shared" si="2"/>
        <v>3464</v>
      </c>
    </row>
    <row r="137" spans="1:14">
      <c r="A137" s="13" t="s">
        <v>126</v>
      </c>
      <c r="B137" s="14" t="s">
        <v>24</v>
      </c>
      <c r="C137" s="36">
        <v>45791</v>
      </c>
      <c r="D137" s="14" t="s">
        <v>25</v>
      </c>
      <c r="E137" s="14" t="s">
        <v>29</v>
      </c>
      <c r="F137" s="14">
        <v>1371</v>
      </c>
      <c r="G137" s="14">
        <v>139</v>
      </c>
      <c r="H137" s="14">
        <v>96</v>
      </c>
      <c r="I137" s="14">
        <v>36140</v>
      </c>
      <c r="J137" s="14">
        <v>39395</v>
      </c>
      <c r="K137" s="14">
        <v>169</v>
      </c>
      <c r="L137" s="14" t="s">
        <v>45</v>
      </c>
      <c r="M137" s="17" t="s">
        <v>18</v>
      </c>
      <c r="N137">
        <f t="shared" si="2"/>
        <v>1606</v>
      </c>
    </row>
    <row r="138" spans="1:14">
      <c r="A138" s="11" t="s">
        <v>126</v>
      </c>
      <c r="B138" s="12" t="s">
        <v>24</v>
      </c>
      <c r="C138" s="35">
        <v>45791</v>
      </c>
      <c r="D138" s="12" t="s">
        <v>25</v>
      </c>
      <c r="E138" s="12" t="s">
        <v>29</v>
      </c>
      <c r="F138" s="12">
        <v>1371</v>
      </c>
      <c r="G138" s="12">
        <v>139</v>
      </c>
      <c r="H138" s="12">
        <v>96</v>
      </c>
      <c r="I138" s="12">
        <v>36140</v>
      </c>
      <c r="J138" s="12">
        <v>39395</v>
      </c>
      <c r="K138" s="12">
        <v>169</v>
      </c>
      <c r="L138" s="12" t="s">
        <v>42</v>
      </c>
      <c r="M138" s="16" t="s">
        <v>18</v>
      </c>
      <c r="N138">
        <f t="shared" si="2"/>
        <v>1606</v>
      </c>
    </row>
    <row r="139" spans="1:14">
      <c r="A139" s="13" t="s">
        <v>127</v>
      </c>
      <c r="B139" s="14" t="s">
        <v>24</v>
      </c>
      <c r="C139" s="36">
        <v>45405</v>
      </c>
      <c r="D139" s="14" t="s">
        <v>25</v>
      </c>
      <c r="E139" s="14" t="s">
        <v>16</v>
      </c>
      <c r="F139" s="14">
        <v>2683</v>
      </c>
      <c r="G139" s="14">
        <v>496</v>
      </c>
      <c r="H139" s="14">
        <v>89</v>
      </c>
      <c r="I139" s="14">
        <v>53435</v>
      </c>
      <c r="J139" s="14">
        <v>30334</v>
      </c>
      <c r="K139" s="14">
        <v>160</v>
      </c>
      <c r="L139" s="14" t="s">
        <v>45</v>
      </c>
      <c r="M139" s="17" t="s">
        <v>18</v>
      </c>
      <c r="N139">
        <f t="shared" si="2"/>
        <v>3268</v>
      </c>
    </row>
    <row r="140" spans="1:14">
      <c r="A140" s="11" t="s">
        <v>127</v>
      </c>
      <c r="B140" s="12" t="s">
        <v>24</v>
      </c>
      <c r="C140" s="35">
        <v>45405</v>
      </c>
      <c r="D140" s="12" t="s">
        <v>25</v>
      </c>
      <c r="E140" s="12" t="s">
        <v>16</v>
      </c>
      <c r="F140" s="12">
        <v>2683</v>
      </c>
      <c r="G140" s="12">
        <v>496</v>
      </c>
      <c r="H140" s="12">
        <v>89</v>
      </c>
      <c r="I140" s="12">
        <v>53435</v>
      </c>
      <c r="J140" s="12">
        <v>30334</v>
      </c>
      <c r="K140" s="12">
        <v>160</v>
      </c>
      <c r="L140" s="12" t="s">
        <v>42</v>
      </c>
      <c r="M140" s="16" t="s">
        <v>18</v>
      </c>
      <c r="N140">
        <f t="shared" si="2"/>
        <v>3268</v>
      </c>
    </row>
    <row r="141" spans="1:14">
      <c r="A141" s="13" t="s">
        <v>128</v>
      </c>
      <c r="B141" s="14" t="s">
        <v>24</v>
      </c>
      <c r="C141" s="36">
        <v>45705</v>
      </c>
      <c r="D141" s="14" t="s">
        <v>25</v>
      </c>
      <c r="E141" s="14" t="s">
        <v>35</v>
      </c>
      <c r="F141" s="14">
        <v>4796</v>
      </c>
      <c r="G141" s="14">
        <v>427</v>
      </c>
      <c r="H141" s="14">
        <v>339</v>
      </c>
      <c r="I141" s="14">
        <v>30752</v>
      </c>
      <c r="J141" s="14">
        <v>33870</v>
      </c>
      <c r="K141" s="14">
        <v>298</v>
      </c>
      <c r="L141" s="14" t="s">
        <v>45</v>
      </c>
      <c r="M141" s="17" t="s">
        <v>18</v>
      </c>
      <c r="N141">
        <f t="shared" si="2"/>
        <v>5562</v>
      </c>
    </row>
    <row r="142" spans="1:14">
      <c r="A142" s="11" t="s">
        <v>128</v>
      </c>
      <c r="B142" s="12" t="s">
        <v>24</v>
      </c>
      <c r="C142" s="35">
        <v>45705</v>
      </c>
      <c r="D142" s="12" t="s">
        <v>25</v>
      </c>
      <c r="E142" s="12" t="s">
        <v>35</v>
      </c>
      <c r="F142" s="12">
        <v>4796</v>
      </c>
      <c r="G142" s="12">
        <v>427</v>
      </c>
      <c r="H142" s="12">
        <v>339</v>
      </c>
      <c r="I142" s="12">
        <v>30752</v>
      </c>
      <c r="J142" s="12">
        <v>33870</v>
      </c>
      <c r="K142" s="12">
        <v>298</v>
      </c>
      <c r="L142" s="12" t="s">
        <v>42</v>
      </c>
      <c r="M142" s="16" t="s">
        <v>18</v>
      </c>
      <c r="N142">
        <f t="shared" si="2"/>
        <v>5562</v>
      </c>
    </row>
    <row r="143" spans="1:14">
      <c r="A143" s="13" t="s">
        <v>129</v>
      </c>
      <c r="B143" s="14" t="s">
        <v>14</v>
      </c>
      <c r="C143" s="36">
        <v>45630</v>
      </c>
      <c r="D143" s="14" t="s">
        <v>15</v>
      </c>
      <c r="E143" s="14" t="s">
        <v>29</v>
      </c>
      <c r="F143" s="14">
        <v>2601</v>
      </c>
      <c r="G143" s="14">
        <v>336</v>
      </c>
      <c r="H143" s="14">
        <v>260</v>
      </c>
      <c r="I143" s="14">
        <v>32368</v>
      </c>
      <c r="J143" s="14">
        <v>49028</v>
      </c>
      <c r="K143" s="14">
        <v>120</v>
      </c>
      <c r="L143" s="14" t="s">
        <v>45</v>
      </c>
      <c r="M143" s="17" t="s">
        <v>18</v>
      </c>
      <c r="N143">
        <f t="shared" si="2"/>
        <v>3197</v>
      </c>
    </row>
    <row r="144" spans="1:14">
      <c r="A144" s="11" t="s">
        <v>129</v>
      </c>
      <c r="B144" s="12" t="s">
        <v>14</v>
      </c>
      <c r="C144" s="35">
        <v>45630</v>
      </c>
      <c r="D144" s="12" t="s">
        <v>15</v>
      </c>
      <c r="E144" s="12" t="s">
        <v>29</v>
      </c>
      <c r="F144" s="12">
        <v>2601</v>
      </c>
      <c r="G144" s="12">
        <v>336</v>
      </c>
      <c r="H144" s="12">
        <v>260</v>
      </c>
      <c r="I144" s="12">
        <v>32368</v>
      </c>
      <c r="J144" s="12">
        <v>49028</v>
      </c>
      <c r="K144" s="12">
        <v>120</v>
      </c>
      <c r="L144" s="12" t="s">
        <v>42</v>
      </c>
      <c r="M144" s="16" t="s">
        <v>18</v>
      </c>
      <c r="N144">
        <f t="shared" si="2"/>
        <v>3197</v>
      </c>
    </row>
    <row r="145" spans="1:14">
      <c r="A145" s="13" t="s">
        <v>130</v>
      </c>
      <c r="B145" s="14" t="s">
        <v>24</v>
      </c>
      <c r="C145" s="36">
        <v>45495</v>
      </c>
      <c r="D145" s="14" t="s">
        <v>25</v>
      </c>
      <c r="E145" s="14" t="s">
        <v>29</v>
      </c>
      <c r="F145" s="14">
        <v>3336</v>
      </c>
      <c r="G145" s="14">
        <v>229</v>
      </c>
      <c r="H145" s="14">
        <v>337</v>
      </c>
      <c r="I145" s="14">
        <v>22117</v>
      </c>
      <c r="J145" s="14">
        <v>26205</v>
      </c>
      <c r="K145" s="14">
        <v>160</v>
      </c>
      <c r="L145" s="14" t="s">
        <v>398</v>
      </c>
      <c r="M145" s="17" t="s">
        <v>18</v>
      </c>
      <c r="N145">
        <f t="shared" si="2"/>
        <v>3902</v>
      </c>
    </row>
    <row r="146" spans="1:14">
      <c r="A146" s="11" t="s">
        <v>130</v>
      </c>
      <c r="B146" s="12" t="s">
        <v>24</v>
      </c>
      <c r="C146" s="35">
        <v>45495</v>
      </c>
      <c r="D146" s="12" t="s">
        <v>25</v>
      </c>
      <c r="E146" s="12" t="s">
        <v>29</v>
      </c>
      <c r="F146" s="12">
        <v>3336</v>
      </c>
      <c r="G146" s="12">
        <v>229</v>
      </c>
      <c r="H146" s="12">
        <v>337</v>
      </c>
      <c r="I146" s="12">
        <v>22117</v>
      </c>
      <c r="J146" s="12">
        <v>26205</v>
      </c>
      <c r="K146" s="12">
        <v>160</v>
      </c>
      <c r="L146" s="12" t="s">
        <v>42</v>
      </c>
      <c r="M146" s="16" t="s">
        <v>18</v>
      </c>
      <c r="N146">
        <f t="shared" si="2"/>
        <v>3902</v>
      </c>
    </row>
    <row r="147" spans="1:14">
      <c r="A147" s="13" t="s">
        <v>131</v>
      </c>
      <c r="B147" s="14" t="s">
        <v>24</v>
      </c>
      <c r="C147" s="36">
        <v>45774</v>
      </c>
      <c r="D147" s="14" t="s">
        <v>15</v>
      </c>
      <c r="E147" s="14" t="s">
        <v>20</v>
      </c>
      <c r="F147" s="14">
        <v>1165</v>
      </c>
      <c r="G147" s="14">
        <v>294</v>
      </c>
      <c r="H147" s="14">
        <v>163</v>
      </c>
      <c r="I147" s="14">
        <v>20659</v>
      </c>
      <c r="J147" s="14">
        <v>45926</v>
      </c>
      <c r="K147" s="14">
        <v>111</v>
      </c>
      <c r="L147" s="14" t="s">
        <v>45</v>
      </c>
      <c r="M147" s="17" t="s">
        <v>22</v>
      </c>
      <c r="N147">
        <f t="shared" si="2"/>
        <v>1622</v>
      </c>
    </row>
    <row r="148" spans="1:14">
      <c r="A148" s="11" t="s">
        <v>132</v>
      </c>
      <c r="B148" s="12" t="s">
        <v>31</v>
      </c>
      <c r="C148" s="35">
        <v>45376</v>
      </c>
      <c r="D148" s="12" t="s">
        <v>57</v>
      </c>
      <c r="E148" s="12" t="s">
        <v>20</v>
      </c>
      <c r="F148" s="12">
        <v>1948</v>
      </c>
      <c r="G148" s="12">
        <v>155</v>
      </c>
      <c r="H148" s="12">
        <v>315</v>
      </c>
      <c r="I148" s="12">
        <v>30321</v>
      </c>
      <c r="J148" s="12">
        <v>57121</v>
      </c>
      <c r="K148" s="12">
        <v>82</v>
      </c>
      <c r="L148" s="12" t="s">
        <v>21</v>
      </c>
      <c r="M148" s="16" t="s">
        <v>59</v>
      </c>
      <c r="N148">
        <f t="shared" si="2"/>
        <v>2418</v>
      </c>
    </row>
    <row r="149" spans="1:14">
      <c r="A149" s="13" t="s">
        <v>132</v>
      </c>
      <c r="B149" s="14" t="s">
        <v>31</v>
      </c>
      <c r="C149" s="36">
        <v>45376</v>
      </c>
      <c r="D149" s="14" t="s">
        <v>57</v>
      </c>
      <c r="E149" s="14" t="s">
        <v>20</v>
      </c>
      <c r="F149" s="14">
        <v>1948</v>
      </c>
      <c r="G149" s="14">
        <v>155</v>
      </c>
      <c r="H149" s="14">
        <v>315</v>
      </c>
      <c r="I149" s="14">
        <v>30321</v>
      </c>
      <c r="J149" s="14">
        <v>57121</v>
      </c>
      <c r="K149" s="14">
        <v>82</v>
      </c>
      <c r="L149" s="14" t="s">
        <v>45</v>
      </c>
      <c r="M149" s="17" t="s">
        <v>59</v>
      </c>
      <c r="N149">
        <f t="shared" si="2"/>
        <v>2418</v>
      </c>
    </row>
    <row r="150" spans="1:14">
      <c r="A150" s="11" t="s">
        <v>133</v>
      </c>
      <c r="B150" s="12" t="s">
        <v>14</v>
      </c>
      <c r="C150" s="35">
        <v>45351</v>
      </c>
      <c r="D150" s="12" t="s">
        <v>15</v>
      </c>
      <c r="E150" s="12" t="s">
        <v>49</v>
      </c>
      <c r="F150" s="12">
        <v>1100</v>
      </c>
      <c r="G150" s="12">
        <v>229</v>
      </c>
      <c r="H150" s="12">
        <v>312</v>
      </c>
      <c r="I150" s="12">
        <v>25641</v>
      </c>
      <c r="J150" s="12">
        <v>34601</v>
      </c>
      <c r="K150" s="12">
        <v>169</v>
      </c>
      <c r="L150" s="12" t="s">
        <v>21</v>
      </c>
      <c r="M150" s="16" t="s">
        <v>22</v>
      </c>
      <c r="N150">
        <f t="shared" si="2"/>
        <v>1641</v>
      </c>
    </row>
    <row r="151" spans="1:14">
      <c r="A151" s="13" t="s">
        <v>134</v>
      </c>
      <c r="B151" s="14" t="s">
        <v>24</v>
      </c>
      <c r="C151" s="36">
        <v>45609</v>
      </c>
      <c r="D151" s="14" t="s">
        <v>25</v>
      </c>
      <c r="E151" s="14" t="s">
        <v>41</v>
      </c>
      <c r="F151" s="14">
        <v>4628</v>
      </c>
      <c r="G151" s="14">
        <v>257</v>
      </c>
      <c r="H151" s="14">
        <v>397</v>
      </c>
      <c r="I151" s="14">
        <v>36686</v>
      </c>
      <c r="J151" s="14">
        <v>54683</v>
      </c>
      <c r="K151" s="14">
        <v>98</v>
      </c>
      <c r="L151" s="14" t="s">
        <v>45</v>
      </c>
      <c r="M151" s="17" t="s">
        <v>18</v>
      </c>
      <c r="N151">
        <f t="shared" si="2"/>
        <v>5282</v>
      </c>
    </row>
    <row r="152" spans="1:14">
      <c r="A152" s="11" t="s">
        <v>134</v>
      </c>
      <c r="B152" s="12" t="s">
        <v>24</v>
      </c>
      <c r="C152" s="35">
        <v>45609</v>
      </c>
      <c r="D152" s="12" t="s">
        <v>25</v>
      </c>
      <c r="E152" s="12" t="s">
        <v>41</v>
      </c>
      <c r="F152" s="12">
        <v>4628</v>
      </c>
      <c r="G152" s="12">
        <v>257</v>
      </c>
      <c r="H152" s="12">
        <v>397</v>
      </c>
      <c r="I152" s="12">
        <v>36686</v>
      </c>
      <c r="J152" s="12">
        <v>54683</v>
      </c>
      <c r="K152" s="12">
        <v>98</v>
      </c>
      <c r="L152" s="12" t="s">
        <v>42</v>
      </c>
      <c r="M152" s="16" t="s">
        <v>18</v>
      </c>
      <c r="N152">
        <f t="shared" si="2"/>
        <v>5282</v>
      </c>
    </row>
    <row r="153" spans="1:14">
      <c r="A153" s="13" t="s">
        <v>135</v>
      </c>
      <c r="B153" s="14" t="s">
        <v>14</v>
      </c>
      <c r="C153" s="36">
        <v>45373</v>
      </c>
      <c r="D153" s="14" t="s">
        <v>25</v>
      </c>
      <c r="E153" s="14" t="s">
        <v>16</v>
      </c>
      <c r="F153" s="14">
        <v>2319</v>
      </c>
      <c r="G153" s="14">
        <v>484</v>
      </c>
      <c r="H153" s="14">
        <v>193</v>
      </c>
      <c r="I153" s="14">
        <v>21202</v>
      </c>
      <c r="J153" s="14">
        <v>18091</v>
      </c>
      <c r="K153" s="14">
        <v>241</v>
      </c>
      <c r="L153" s="14" t="s">
        <v>42</v>
      </c>
      <c r="M153" s="17" t="s">
        <v>55</v>
      </c>
      <c r="N153">
        <f t="shared" si="2"/>
        <v>2996</v>
      </c>
    </row>
    <row r="154" spans="1:14">
      <c r="A154" s="11" t="s">
        <v>136</v>
      </c>
      <c r="B154" s="12" t="s">
        <v>24</v>
      </c>
      <c r="C154" s="35">
        <v>45367</v>
      </c>
      <c r="D154" s="12" t="s">
        <v>25</v>
      </c>
      <c r="E154" s="12" t="s">
        <v>29</v>
      </c>
      <c r="F154" s="12">
        <v>2895</v>
      </c>
      <c r="G154" s="12">
        <v>292</v>
      </c>
      <c r="H154" s="12">
        <v>90</v>
      </c>
      <c r="I154" s="12">
        <v>24223</v>
      </c>
      <c r="J154" s="12">
        <v>54626</v>
      </c>
      <c r="K154" s="12">
        <v>114</v>
      </c>
      <c r="L154" s="12" t="s">
        <v>45</v>
      </c>
      <c r="M154" s="16" t="s">
        <v>18</v>
      </c>
      <c r="N154">
        <f t="shared" si="2"/>
        <v>3277</v>
      </c>
    </row>
    <row r="155" spans="1:14">
      <c r="A155" s="13" t="s">
        <v>136</v>
      </c>
      <c r="B155" s="14" t="s">
        <v>24</v>
      </c>
      <c r="C155" s="36">
        <v>45367</v>
      </c>
      <c r="D155" s="14" t="s">
        <v>25</v>
      </c>
      <c r="E155" s="14" t="s">
        <v>29</v>
      </c>
      <c r="F155" s="14">
        <v>2895</v>
      </c>
      <c r="G155" s="14">
        <v>292</v>
      </c>
      <c r="H155" s="14">
        <v>90</v>
      </c>
      <c r="I155" s="14">
        <v>24223</v>
      </c>
      <c r="J155" s="14">
        <v>54626</v>
      </c>
      <c r="K155" s="14">
        <v>114</v>
      </c>
      <c r="L155" s="14" t="s">
        <v>42</v>
      </c>
      <c r="M155" s="17" t="s">
        <v>18</v>
      </c>
      <c r="N155">
        <f t="shared" si="2"/>
        <v>3277</v>
      </c>
    </row>
    <row r="156" spans="1:14">
      <c r="A156" s="11" t="s">
        <v>137</v>
      </c>
      <c r="B156" s="12" t="s">
        <v>14</v>
      </c>
      <c r="C156" s="35">
        <v>45317</v>
      </c>
      <c r="D156" s="12" t="s">
        <v>15</v>
      </c>
      <c r="E156" s="12" t="s">
        <v>35</v>
      </c>
      <c r="F156" s="12">
        <v>3878</v>
      </c>
      <c r="G156" s="12">
        <v>431</v>
      </c>
      <c r="H156" s="12">
        <v>97</v>
      </c>
      <c r="I156" s="12">
        <v>41763</v>
      </c>
      <c r="J156" s="12">
        <v>29729</v>
      </c>
      <c r="K156" s="12">
        <v>191</v>
      </c>
      <c r="L156" s="12" t="s">
        <v>21</v>
      </c>
      <c r="M156" s="16" t="s">
        <v>22</v>
      </c>
      <c r="N156">
        <f t="shared" si="2"/>
        <v>4406</v>
      </c>
    </row>
    <row r="157" spans="1:14">
      <c r="A157" s="13" t="s">
        <v>138</v>
      </c>
      <c r="B157" s="14" t="s">
        <v>24</v>
      </c>
      <c r="C157" s="36">
        <v>45366</v>
      </c>
      <c r="D157" s="14" t="s">
        <v>25</v>
      </c>
      <c r="E157" s="14" t="s">
        <v>37</v>
      </c>
      <c r="F157" s="14">
        <v>4969</v>
      </c>
      <c r="G157" s="14">
        <v>433</v>
      </c>
      <c r="H157" s="14">
        <v>237</v>
      </c>
      <c r="I157" s="14">
        <v>59552</v>
      </c>
      <c r="J157" s="14">
        <v>23885</v>
      </c>
      <c r="K157" s="14">
        <v>157</v>
      </c>
      <c r="L157" s="14" t="s">
        <v>21</v>
      </c>
      <c r="M157" s="17" t="s">
        <v>18</v>
      </c>
      <c r="N157">
        <f t="shared" si="2"/>
        <v>5639</v>
      </c>
    </row>
    <row r="158" spans="1:14">
      <c r="A158" s="11" t="s">
        <v>138</v>
      </c>
      <c r="B158" s="12" t="s">
        <v>24</v>
      </c>
      <c r="C158" s="35">
        <v>45366</v>
      </c>
      <c r="D158" s="12" t="s">
        <v>25</v>
      </c>
      <c r="E158" s="12" t="s">
        <v>37</v>
      </c>
      <c r="F158" s="12">
        <v>4969</v>
      </c>
      <c r="G158" s="12">
        <v>433</v>
      </c>
      <c r="H158" s="12">
        <v>237</v>
      </c>
      <c r="I158" s="12">
        <v>59552</v>
      </c>
      <c r="J158" s="12">
        <v>23885</v>
      </c>
      <c r="K158" s="12">
        <v>157</v>
      </c>
      <c r="L158" s="12" t="s">
        <v>398</v>
      </c>
      <c r="M158" s="16" t="s">
        <v>18</v>
      </c>
      <c r="N158">
        <f t="shared" si="2"/>
        <v>5639</v>
      </c>
    </row>
    <row r="159" spans="1:14">
      <c r="A159" s="13" t="s">
        <v>139</v>
      </c>
      <c r="B159" s="14" t="s">
        <v>24</v>
      </c>
      <c r="C159" s="36">
        <v>45580</v>
      </c>
      <c r="D159" s="14" t="s">
        <v>15</v>
      </c>
      <c r="E159" s="14" t="s">
        <v>29</v>
      </c>
      <c r="F159" s="14">
        <v>1984</v>
      </c>
      <c r="G159" s="14">
        <v>481</v>
      </c>
      <c r="H159" s="14">
        <v>356</v>
      </c>
      <c r="I159" s="14">
        <v>40681</v>
      </c>
      <c r="J159" s="14">
        <v>63111</v>
      </c>
      <c r="K159" s="14">
        <v>258</v>
      </c>
      <c r="L159" s="14" t="s">
        <v>42</v>
      </c>
      <c r="M159" s="17" t="s">
        <v>18</v>
      </c>
      <c r="N159">
        <f t="shared" si="2"/>
        <v>2821</v>
      </c>
    </row>
    <row r="160" spans="1:14">
      <c r="A160" s="11" t="s">
        <v>140</v>
      </c>
      <c r="B160" s="12" t="s">
        <v>14</v>
      </c>
      <c r="C160" s="35">
        <v>45494</v>
      </c>
      <c r="D160" s="12" t="s">
        <v>15</v>
      </c>
      <c r="E160" s="12" t="s">
        <v>16</v>
      </c>
      <c r="F160" s="12">
        <v>3004</v>
      </c>
      <c r="G160" s="12">
        <v>415</v>
      </c>
      <c r="H160" s="12">
        <v>218</v>
      </c>
      <c r="I160" s="12">
        <v>36090</v>
      </c>
      <c r="J160" s="12">
        <v>37073</v>
      </c>
      <c r="K160" s="12">
        <v>181</v>
      </c>
      <c r="L160" s="12" t="s">
        <v>21</v>
      </c>
      <c r="M160" s="16" t="s">
        <v>22</v>
      </c>
      <c r="N160">
        <f t="shared" si="2"/>
        <v>3637</v>
      </c>
    </row>
    <row r="161" spans="1:14">
      <c r="A161" s="13" t="s">
        <v>141</v>
      </c>
      <c r="B161" s="14" t="s">
        <v>24</v>
      </c>
      <c r="C161" s="36">
        <v>45577</v>
      </c>
      <c r="D161" s="14" t="s">
        <v>15</v>
      </c>
      <c r="E161" s="14" t="s">
        <v>37</v>
      </c>
      <c r="F161" s="14">
        <v>3169</v>
      </c>
      <c r="G161" s="14">
        <v>386</v>
      </c>
      <c r="H161" s="14">
        <v>175</v>
      </c>
      <c r="I161" s="14">
        <v>45012</v>
      </c>
      <c r="J161" s="14">
        <v>38508</v>
      </c>
      <c r="K161" s="14">
        <v>218</v>
      </c>
      <c r="L161" s="14" t="s">
        <v>42</v>
      </c>
      <c r="M161" s="17" t="s">
        <v>18</v>
      </c>
      <c r="N161">
        <f t="shared" si="2"/>
        <v>3730</v>
      </c>
    </row>
    <row r="162" spans="1:14">
      <c r="A162" s="11" t="s">
        <v>142</v>
      </c>
      <c r="B162" s="12" t="s">
        <v>24</v>
      </c>
      <c r="C162" s="35">
        <v>45591</v>
      </c>
      <c r="D162" s="12" t="s">
        <v>15</v>
      </c>
      <c r="E162" s="12" t="s">
        <v>16</v>
      </c>
      <c r="F162" s="12">
        <v>3036</v>
      </c>
      <c r="G162" s="12">
        <v>293</v>
      </c>
      <c r="H162" s="12">
        <v>115</v>
      </c>
      <c r="I162" s="12">
        <v>23776</v>
      </c>
      <c r="J162" s="12">
        <v>46386</v>
      </c>
      <c r="K162" s="12">
        <v>282</v>
      </c>
      <c r="L162" s="12" t="s">
        <v>42</v>
      </c>
      <c r="M162" s="16" t="s">
        <v>18</v>
      </c>
      <c r="N162">
        <f t="shared" si="2"/>
        <v>3444</v>
      </c>
    </row>
    <row r="163" spans="1:14">
      <c r="A163" s="13" t="s">
        <v>143</v>
      </c>
      <c r="B163" s="14" t="s">
        <v>14</v>
      </c>
      <c r="C163" s="36">
        <v>45336</v>
      </c>
      <c r="D163" s="14" t="s">
        <v>15</v>
      </c>
      <c r="E163" s="14" t="s">
        <v>32</v>
      </c>
      <c r="F163" s="14">
        <v>1830</v>
      </c>
      <c r="G163" s="14">
        <v>112</v>
      </c>
      <c r="H163" s="14">
        <v>181</v>
      </c>
      <c r="I163" s="14">
        <v>31870</v>
      </c>
      <c r="J163" s="14">
        <v>55742</v>
      </c>
      <c r="K163" s="14">
        <v>263</v>
      </c>
      <c r="L163" s="14" t="s">
        <v>45</v>
      </c>
      <c r="M163" s="17" t="s">
        <v>18</v>
      </c>
      <c r="N163">
        <f t="shared" si="2"/>
        <v>2123</v>
      </c>
    </row>
    <row r="164" spans="1:14">
      <c r="A164" s="11" t="s">
        <v>143</v>
      </c>
      <c r="B164" s="12" t="s">
        <v>14</v>
      </c>
      <c r="C164" s="35">
        <v>45336</v>
      </c>
      <c r="D164" s="12" t="s">
        <v>15</v>
      </c>
      <c r="E164" s="12" t="s">
        <v>32</v>
      </c>
      <c r="F164" s="12">
        <v>1830</v>
      </c>
      <c r="G164" s="12">
        <v>112</v>
      </c>
      <c r="H164" s="12">
        <v>181</v>
      </c>
      <c r="I164" s="12">
        <v>31870</v>
      </c>
      <c r="J164" s="12">
        <v>55742</v>
      </c>
      <c r="K164" s="12">
        <v>263</v>
      </c>
      <c r="L164" s="12" t="s">
        <v>42</v>
      </c>
      <c r="M164" s="16" t="s">
        <v>18</v>
      </c>
      <c r="N164">
        <f t="shared" si="2"/>
        <v>2123</v>
      </c>
    </row>
    <row r="165" spans="1:14">
      <c r="A165" s="13" t="s">
        <v>144</v>
      </c>
      <c r="B165" s="14" t="s">
        <v>24</v>
      </c>
      <c r="C165" s="36">
        <v>45413</v>
      </c>
      <c r="D165" s="14" t="s">
        <v>25</v>
      </c>
      <c r="E165" s="14" t="s">
        <v>35</v>
      </c>
      <c r="F165" s="14">
        <v>2587</v>
      </c>
      <c r="G165" s="14">
        <v>447</v>
      </c>
      <c r="H165" s="14">
        <v>183</v>
      </c>
      <c r="I165" s="14">
        <v>36266</v>
      </c>
      <c r="J165" s="14">
        <v>32877</v>
      </c>
      <c r="K165" s="14">
        <v>132</v>
      </c>
      <c r="L165" s="14" t="s">
        <v>21</v>
      </c>
      <c r="M165" s="17" t="s">
        <v>18</v>
      </c>
      <c r="N165">
        <f t="shared" si="2"/>
        <v>3217</v>
      </c>
    </row>
    <row r="166" spans="1:14">
      <c r="A166" s="11" t="s">
        <v>144</v>
      </c>
      <c r="B166" s="12" t="s">
        <v>24</v>
      </c>
      <c r="C166" s="35">
        <v>45413</v>
      </c>
      <c r="D166" s="12" t="s">
        <v>25</v>
      </c>
      <c r="E166" s="12" t="s">
        <v>35</v>
      </c>
      <c r="F166" s="12">
        <v>2587</v>
      </c>
      <c r="G166" s="12">
        <v>447</v>
      </c>
      <c r="H166" s="12">
        <v>183</v>
      </c>
      <c r="I166" s="12">
        <v>36266</v>
      </c>
      <c r="J166" s="12">
        <v>32877</v>
      </c>
      <c r="K166" s="12">
        <v>132</v>
      </c>
      <c r="L166" s="12" t="s">
        <v>398</v>
      </c>
      <c r="M166" s="16" t="s">
        <v>18</v>
      </c>
      <c r="N166">
        <f t="shared" si="2"/>
        <v>3217</v>
      </c>
    </row>
    <row r="167" spans="1:14">
      <c r="A167" s="13" t="s">
        <v>145</v>
      </c>
      <c r="B167" s="14" t="s">
        <v>24</v>
      </c>
      <c r="C167" s="36">
        <v>45553</v>
      </c>
      <c r="D167" s="14" t="s">
        <v>15</v>
      </c>
      <c r="E167" s="14" t="s">
        <v>16</v>
      </c>
      <c r="F167" s="14">
        <v>2878</v>
      </c>
      <c r="G167" s="14">
        <v>265</v>
      </c>
      <c r="H167" s="14">
        <v>91</v>
      </c>
      <c r="I167" s="14">
        <v>52090</v>
      </c>
      <c r="J167" s="14">
        <v>28924</v>
      </c>
      <c r="K167" s="14">
        <v>133</v>
      </c>
      <c r="L167" s="14" t="s">
        <v>42</v>
      </c>
      <c r="M167" s="17" t="s">
        <v>18</v>
      </c>
      <c r="N167">
        <f t="shared" si="2"/>
        <v>3234</v>
      </c>
    </row>
    <row r="168" spans="1:14">
      <c r="A168" s="11" t="s">
        <v>146</v>
      </c>
      <c r="B168" s="12" t="s">
        <v>24</v>
      </c>
      <c r="C168" s="35">
        <v>45677</v>
      </c>
      <c r="D168" s="12" t="s">
        <v>25</v>
      </c>
      <c r="E168" s="12" t="s">
        <v>26</v>
      </c>
      <c r="F168" s="12">
        <v>4619</v>
      </c>
      <c r="G168" s="12">
        <v>272</v>
      </c>
      <c r="H168" s="12">
        <v>57</v>
      </c>
      <c r="I168" s="12">
        <v>21334</v>
      </c>
      <c r="J168" s="12">
        <v>46292</v>
      </c>
      <c r="K168" s="12">
        <v>91</v>
      </c>
      <c r="L168" s="12" t="s">
        <v>45</v>
      </c>
      <c r="M168" s="16" t="s">
        <v>18</v>
      </c>
      <c r="N168">
        <f t="shared" si="2"/>
        <v>4948</v>
      </c>
    </row>
    <row r="169" spans="1:14">
      <c r="A169" s="13" t="s">
        <v>146</v>
      </c>
      <c r="B169" s="14" t="s">
        <v>24</v>
      </c>
      <c r="C169" s="36">
        <v>45677</v>
      </c>
      <c r="D169" s="14" t="s">
        <v>25</v>
      </c>
      <c r="E169" s="14" t="s">
        <v>26</v>
      </c>
      <c r="F169" s="14">
        <v>4619</v>
      </c>
      <c r="G169" s="14">
        <v>272</v>
      </c>
      <c r="H169" s="14">
        <v>57</v>
      </c>
      <c r="I169" s="14">
        <v>21334</v>
      </c>
      <c r="J169" s="14">
        <v>46292</v>
      </c>
      <c r="K169" s="14">
        <v>91</v>
      </c>
      <c r="L169" s="14" t="s">
        <v>42</v>
      </c>
      <c r="M169" s="17" t="s">
        <v>18</v>
      </c>
      <c r="N169">
        <f t="shared" si="2"/>
        <v>4948</v>
      </c>
    </row>
    <row r="170" spans="1:14">
      <c r="A170" s="11" t="s">
        <v>147</v>
      </c>
      <c r="B170" s="12" t="s">
        <v>24</v>
      </c>
      <c r="C170" s="35">
        <v>45670</v>
      </c>
      <c r="D170" s="12" t="s">
        <v>15</v>
      </c>
      <c r="E170" s="12" t="s">
        <v>32</v>
      </c>
      <c r="F170" s="12">
        <v>4090</v>
      </c>
      <c r="G170" s="12">
        <v>209</v>
      </c>
      <c r="H170" s="12">
        <v>278</v>
      </c>
      <c r="I170" s="12">
        <v>52853</v>
      </c>
      <c r="J170" s="12">
        <v>57084</v>
      </c>
      <c r="K170" s="12">
        <v>102</v>
      </c>
      <c r="L170" s="12" t="s">
        <v>45</v>
      </c>
      <c r="M170" s="16" t="s">
        <v>22</v>
      </c>
      <c r="N170">
        <f t="shared" si="2"/>
        <v>4577</v>
      </c>
    </row>
    <row r="171" spans="1:14">
      <c r="A171" s="13" t="s">
        <v>148</v>
      </c>
      <c r="B171" s="14" t="s">
        <v>31</v>
      </c>
      <c r="C171" s="36">
        <v>45542</v>
      </c>
      <c r="D171" s="14" t="s">
        <v>57</v>
      </c>
      <c r="E171" s="14" t="s">
        <v>32</v>
      </c>
      <c r="F171" s="14">
        <v>3882</v>
      </c>
      <c r="G171" s="14">
        <v>342</v>
      </c>
      <c r="H171" s="14">
        <v>374</v>
      </c>
      <c r="I171" s="14">
        <v>41991</v>
      </c>
      <c r="J171" s="14">
        <v>48554</v>
      </c>
      <c r="K171" s="14">
        <v>118</v>
      </c>
      <c r="L171" s="14" t="s">
        <v>21</v>
      </c>
      <c r="M171" s="17" t="s">
        <v>59</v>
      </c>
      <c r="N171">
        <f t="shared" si="2"/>
        <v>4598</v>
      </c>
    </row>
    <row r="172" spans="1:14">
      <c r="A172" s="11" t="s">
        <v>148</v>
      </c>
      <c r="B172" s="12" t="s">
        <v>31</v>
      </c>
      <c r="C172" s="35">
        <v>45542</v>
      </c>
      <c r="D172" s="12" t="s">
        <v>57</v>
      </c>
      <c r="E172" s="12" t="s">
        <v>32</v>
      </c>
      <c r="F172" s="12">
        <v>3882</v>
      </c>
      <c r="G172" s="12">
        <v>342</v>
      </c>
      <c r="H172" s="12">
        <v>374</v>
      </c>
      <c r="I172" s="12">
        <v>41991</v>
      </c>
      <c r="J172" s="12">
        <v>48554</v>
      </c>
      <c r="K172" s="12">
        <v>118</v>
      </c>
      <c r="L172" s="12" t="s">
        <v>45</v>
      </c>
      <c r="M172" s="16" t="s">
        <v>59</v>
      </c>
      <c r="N172">
        <f t="shared" si="2"/>
        <v>4598</v>
      </c>
    </row>
    <row r="173" spans="1:14">
      <c r="A173" s="13" t="s">
        <v>149</v>
      </c>
      <c r="B173" s="14" t="s">
        <v>14</v>
      </c>
      <c r="C173" s="36">
        <v>45617</v>
      </c>
      <c r="D173" s="14" t="s">
        <v>15</v>
      </c>
      <c r="E173" s="14" t="s">
        <v>32</v>
      </c>
      <c r="F173" s="14">
        <v>4581</v>
      </c>
      <c r="G173" s="14">
        <v>181</v>
      </c>
      <c r="H173" s="14">
        <v>112</v>
      </c>
      <c r="I173" s="14">
        <v>35221</v>
      </c>
      <c r="J173" s="14">
        <v>28797</v>
      </c>
      <c r="K173" s="14">
        <v>164</v>
      </c>
      <c r="L173" s="14" t="s">
        <v>45</v>
      </c>
      <c r="M173" s="17" t="s">
        <v>18</v>
      </c>
      <c r="N173">
        <f t="shared" si="2"/>
        <v>4874</v>
      </c>
    </row>
    <row r="174" spans="1:14">
      <c r="A174" s="11" t="s">
        <v>149</v>
      </c>
      <c r="B174" s="12" t="s">
        <v>14</v>
      </c>
      <c r="C174" s="35">
        <v>45617</v>
      </c>
      <c r="D174" s="12" t="s">
        <v>15</v>
      </c>
      <c r="E174" s="12" t="s">
        <v>32</v>
      </c>
      <c r="F174" s="12">
        <v>4581</v>
      </c>
      <c r="G174" s="12">
        <v>181</v>
      </c>
      <c r="H174" s="12">
        <v>112</v>
      </c>
      <c r="I174" s="12">
        <v>35221</v>
      </c>
      <c r="J174" s="12">
        <v>28797</v>
      </c>
      <c r="K174" s="12">
        <v>164</v>
      </c>
      <c r="L174" s="12" t="s">
        <v>42</v>
      </c>
      <c r="M174" s="16" t="s">
        <v>18</v>
      </c>
      <c r="N174">
        <f t="shared" si="2"/>
        <v>4874</v>
      </c>
    </row>
    <row r="175" spans="1:14">
      <c r="A175" s="13" t="s">
        <v>150</v>
      </c>
      <c r="B175" s="14" t="s">
        <v>14</v>
      </c>
      <c r="C175" s="36">
        <v>45469</v>
      </c>
      <c r="D175" s="14" t="s">
        <v>15</v>
      </c>
      <c r="E175" s="14" t="s">
        <v>26</v>
      </c>
      <c r="F175" s="14">
        <v>3253</v>
      </c>
      <c r="G175" s="14">
        <v>483</v>
      </c>
      <c r="H175" s="14">
        <v>336</v>
      </c>
      <c r="I175" s="14">
        <v>25397</v>
      </c>
      <c r="J175" s="14">
        <v>51485</v>
      </c>
      <c r="K175" s="14">
        <v>131</v>
      </c>
      <c r="L175" s="14" t="s">
        <v>21</v>
      </c>
      <c r="M175" s="17" t="s">
        <v>22</v>
      </c>
      <c r="N175">
        <f t="shared" si="2"/>
        <v>4072</v>
      </c>
    </row>
    <row r="176" spans="1:14">
      <c r="A176" s="11" t="s">
        <v>151</v>
      </c>
      <c r="B176" s="12" t="s">
        <v>31</v>
      </c>
      <c r="C176" s="35">
        <v>45493</v>
      </c>
      <c r="D176" s="12" t="s">
        <v>57</v>
      </c>
      <c r="E176" s="12" t="s">
        <v>32</v>
      </c>
      <c r="F176" s="12">
        <v>4955</v>
      </c>
      <c r="G176" s="12">
        <v>299</v>
      </c>
      <c r="H176" s="12">
        <v>345</v>
      </c>
      <c r="I176" s="12">
        <v>33644</v>
      </c>
      <c r="J176" s="12">
        <v>43547</v>
      </c>
      <c r="K176" s="12">
        <v>194</v>
      </c>
      <c r="L176" s="12" t="s">
        <v>21</v>
      </c>
      <c r="M176" s="16" t="s">
        <v>59</v>
      </c>
      <c r="N176">
        <f t="shared" si="2"/>
        <v>5599</v>
      </c>
    </row>
    <row r="177" spans="1:14">
      <c r="A177" s="13" t="s">
        <v>151</v>
      </c>
      <c r="B177" s="14" t="s">
        <v>31</v>
      </c>
      <c r="C177" s="36">
        <v>45493</v>
      </c>
      <c r="D177" s="14" t="s">
        <v>57</v>
      </c>
      <c r="E177" s="14" t="s">
        <v>32</v>
      </c>
      <c r="F177" s="14">
        <v>4955</v>
      </c>
      <c r="G177" s="14">
        <v>299</v>
      </c>
      <c r="H177" s="14">
        <v>345</v>
      </c>
      <c r="I177" s="14">
        <v>33644</v>
      </c>
      <c r="J177" s="14">
        <v>43547</v>
      </c>
      <c r="K177" s="14">
        <v>194</v>
      </c>
      <c r="L177" s="14" t="s">
        <v>45</v>
      </c>
      <c r="M177" s="17" t="s">
        <v>59</v>
      </c>
      <c r="N177">
        <f t="shared" si="2"/>
        <v>5599</v>
      </c>
    </row>
    <row r="178" spans="1:14">
      <c r="A178" s="11" t="s">
        <v>152</v>
      </c>
      <c r="B178" s="12" t="s">
        <v>14</v>
      </c>
      <c r="C178" s="35">
        <v>45704</v>
      </c>
      <c r="D178" s="12" t="s">
        <v>15</v>
      </c>
      <c r="E178" s="12" t="s">
        <v>51</v>
      </c>
      <c r="F178" s="12">
        <v>1333</v>
      </c>
      <c r="G178" s="12">
        <v>286</v>
      </c>
      <c r="H178" s="12">
        <v>298</v>
      </c>
      <c r="I178" s="12">
        <v>36174</v>
      </c>
      <c r="J178" s="12">
        <v>34517</v>
      </c>
      <c r="K178" s="12">
        <v>170</v>
      </c>
      <c r="L178" s="12" t="s">
        <v>45</v>
      </c>
      <c r="M178" s="16" t="s">
        <v>18</v>
      </c>
      <c r="N178">
        <f t="shared" si="2"/>
        <v>1917</v>
      </c>
    </row>
    <row r="179" spans="1:14">
      <c r="A179" s="13" t="s">
        <v>152</v>
      </c>
      <c r="B179" s="14" t="s">
        <v>14</v>
      </c>
      <c r="C179" s="36">
        <v>45704</v>
      </c>
      <c r="D179" s="14" t="s">
        <v>15</v>
      </c>
      <c r="E179" s="14" t="s">
        <v>51</v>
      </c>
      <c r="F179" s="14">
        <v>1333</v>
      </c>
      <c r="G179" s="14">
        <v>286</v>
      </c>
      <c r="H179" s="14">
        <v>298</v>
      </c>
      <c r="I179" s="14">
        <v>36174</v>
      </c>
      <c r="J179" s="14">
        <v>34517</v>
      </c>
      <c r="K179" s="14">
        <v>170</v>
      </c>
      <c r="L179" s="14" t="s">
        <v>42</v>
      </c>
      <c r="M179" s="17" t="s">
        <v>18</v>
      </c>
      <c r="N179">
        <f t="shared" si="2"/>
        <v>1917</v>
      </c>
    </row>
    <row r="180" spans="1:14">
      <c r="A180" s="11" t="s">
        <v>153</v>
      </c>
      <c r="B180" s="12" t="s">
        <v>14</v>
      </c>
      <c r="C180" s="35">
        <v>45544</v>
      </c>
      <c r="D180" s="12" t="s">
        <v>15</v>
      </c>
      <c r="E180" s="12" t="s">
        <v>26</v>
      </c>
      <c r="F180" s="12">
        <v>1616</v>
      </c>
      <c r="G180" s="12">
        <v>360</v>
      </c>
      <c r="H180" s="12">
        <v>180</v>
      </c>
      <c r="I180" s="12">
        <v>54342</v>
      </c>
      <c r="J180" s="12">
        <v>18796</v>
      </c>
      <c r="K180" s="12">
        <v>282</v>
      </c>
      <c r="L180" s="12" t="s">
        <v>45</v>
      </c>
      <c r="M180" s="16" t="s">
        <v>18</v>
      </c>
      <c r="N180">
        <f t="shared" si="2"/>
        <v>2156</v>
      </c>
    </row>
    <row r="181" spans="1:14">
      <c r="A181" s="13" t="s">
        <v>153</v>
      </c>
      <c r="B181" s="14" t="s">
        <v>14</v>
      </c>
      <c r="C181" s="36">
        <v>45544</v>
      </c>
      <c r="D181" s="14" t="s">
        <v>15</v>
      </c>
      <c r="E181" s="14" t="s">
        <v>26</v>
      </c>
      <c r="F181" s="14">
        <v>1616</v>
      </c>
      <c r="G181" s="14">
        <v>360</v>
      </c>
      <c r="H181" s="14">
        <v>180</v>
      </c>
      <c r="I181" s="14">
        <v>54342</v>
      </c>
      <c r="J181" s="14">
        <v>18796</v>
      </c>
      <c r="K181" s="14">
        <v>282</v>
      </c>
      <c r="L181" s="14" t="s">
        <v>42</v>
      </c>
      <c r="M181" s="17" t="s">
        <v>18</v>
      </c>
      <c r="N181">
        <f t="shared" si="2"/>
        <v>2156</v>
      </c>
    </row>
    <row r="182" spans="1:14">
      <c r="A182" s="11" t="s">
        <v>154</v>
      </c>
      <c r="B182" s="12" t="s">
        <v>24</v>
      </c>
      <c r="C182" s="35">
        <v>45489</v>
      </c>
      <c r="D182" s="12" t="s">
        <v>15</v>
      </c>
      <c r="E182" s="12" t="s">
        <v>41</v>
      </c>
      <c r="F182" s="12">
        <v>1803</v>
      </c>
      <c r="G182" s="12">
        <v>273</v>
      </c>
      <c r="H182" s="12">
        <v>287</v>
      </c>
      <c r="I182" s="12">
        <v>46176</v>
      </c>
      <c r="J182" s="12">
        <v>25488</v>
      </c>
      <c r="K182" s="12">
        <v>141</v>
      </c>
      <c r="L182" s="12" t="s">
        <v>42</v>
      </c>
      <c r="M182" s="16" t="s">
        <v>18</v>
      </c>
      <c r="N182">
        <f t="shared" si="2"/>
        <v>2363</v>
      </c>
    </row>
    <row r="183" spans="1:14">
      <c r="A183" s="13" t="s">
        <v>155</v>
      </c>
      <c r="B183" s="14" t="s">
        <v>14</v>
      </c>
      <c r="C183" s="36">
        <v>45762</v>
      </c>
      <c r="D183" s="14" t="s">
        <v>15</v>
      </c>
      <c r="E183" s="14" t="s">
        <v>20</v>
      </c>
      <c r="F183" s="14">
        <v>4177</v>
      </c>
      <c r="G183" s="14">
        <v>489</v>
      </c>
      <c r="H183" s="14">
        <v>331</v>
      </c>
      <c r="I183" s="14">
        <v>57451</v>
      </c>
      <c r="J183" s="14">
        <v>73793</v>
      </c>
      <c r="K183" s="14">
        <v>251</v>
      </c>
      <c r="L183" s="14" t="s">
        <v>21</v>
      </c>
      <c r="M183" s="17" t="s">
        <v>22</v>
      </c>
      <c r="N183">
        <f t="shared" si="2"/>
        <v>4997</v>
      </c>
    </row>
    <row r="184" spans="1:14">
      <c r="A184" s="11" t="s">
        <v>156</v>
      </c>
      <c r="B184" s="12" t="s">
        <v>14</v>
      </c>
      <c r="C184" s="35">
        <v>45781</v>
      </c>
      <c r="D184" s="12" t="s">
        <v>25</v>
      </c>
      <c r="E184" s="12" t="s">
        <v>26</v>
      </c>
      <c r="F184" s="12">
        <v>1311</v>
      </c>
      <c r="G184" s="12">
        <v>181</v>
      </c>
      <c r="H184" s="12">
        <v>361</v>
      </c>
      <c r="I184" s="12">
        <v>37148</v>
      </c>
      <c r="J184" s="12">
        <v>44875</v>
      </c>
      <c r="K184" s="12">
        <v>245</v>
      </c>
      <c r="L184" s="12" t="s">
        <v>42</v>
      </c>
      <c r="M184" s="16" t="s">
        <v>55</v>
      </c>
      <c r="N184">
        <f t="shared" si="2"/>
        <v>1853</v>
      </c>
    </row>
    <row r="185" spans="1:14">
      <c r="A185" s="13" t="s">
        <v>157</v>
      </c>
      <c r="B185" s="14" t="s">
        <v>14</v>
      </c>
      <c r="C185" s="36">
        <v>45340</v>
      </c>
      <c r="D185" s="14" t="s">
        <v>25</v>
      </c>
      <c r="E185" s="14" t="s">
        <v>49</v>
      </c>
      <c r="F185" s="14">
        <v>1516</v>
      </c>
      <c r="G185" s="14">
        <v>215</v>
      </c>
      <c r="H185" s="14">
        <v>332</v>
      </c>
      <c r="I185" s="14">
        <v>58981</v>
      </c>
      <c r="J185" s="14">
        <v>36118</v>
      </c>
      <c r="K185" s="14">
        <v>211</v>
      </c>
      <c r="L185" s="14" t="s">
        <v>42</v>
      </c>
      <c r="M185" s="17" t="s">
        <v>55</v>
      </c>
      <c r="N185">
        <f t="shared" si="2"/>
        <v>2063</v>
      </c>
    </row>
    <row r="186" spans="1:14">
      <c r="A186" s="11" t="s">
        <v>158</v>
      </c>
      <c r="B186" s="12" t="s">
        <v>24</v>
      </c>
      <c r="C186" s="35">
        <v>45428</v>
      </c>
      <c r="D186" s="12" t="s">
        <v>25</v>
      </c>
      <c r="E186" s="12" t="s">
        <v>32</v>
      </c>
      <c r="F186" s="12">
        <v>2023</v>
      </c>
      <c r="G186" s="12">
        <v>124</v>
      </c>
      <c r="H186" s="12">
        <v>99</v>
      </c>
      <c r="I186" s="12">
        <v>54524</v>
      </c>
      <c r="J186" s="12">
        <v>34790</v>
      </c>
      <c r="K186" s="12">
        <v>195</v>
      </c>
      <c r="L186" s="12" t="s">
        <v>21</v>
      </c>
      <c r="M186" s="16" t="s">
        <v>18</v>
      </c>
      <c r="N186">
        <f t="shared" si="2"/>
        <v>2246</v>
      </c>
    </row>
    <row r="187" spans="1:14">
      <c r="A187" s="13" t="s">
        <v>158</v>
      </c>
      <c r="B187" s="14" t="s">
        <v>24</v>
      </c>
      <c r="C187" s="36">
        <v>45428</v>
      </c>
      <c r="D187" s="14" t="s">
        <v>25</v>
      </c>
      <c r="E187" s="14" t="s">
        <v>32</v>
      </c>
      <c r="F187" s="14">
        <v>2023</v>
      </c>
      <c r="G187" s="14">
        <v>124</v>
      </c>
      <c r="H187" s="14">
        <v>99</v>
      </c>
      <c r="I187" s="14">
        <v>54524</v>
      </c>
      <c r="J187" s="14">
        <v>34790</v>
      </c>
      <c r="K187" s="14">
        <v>195</v>
      </c>
      <c r="L187" s="14" t="s">
        <v>398</v>
      </c>
      <c r="M187" s="17" t="s">
        <v>18</v>
      </c>
      <c r="N187">
        <f t="shared" si="2"/>
        <v>2246</v>
      </c>
    </row>
    <row r="188" spans="1:14">
      <c r="A188" s="11" t="s">
        <v>159</v>
      </c>
      <c r="B188" s="12" t="s">
        <v>24</v>
      </c>
      <c r="C188" s="35">
        <v>45806</v>
      </c>
      <c r="D188" s="12" t="s">
        <v>25</v>
      </c>
      <c r="E188" s="12" t="s">
        <v>32</v>
      </c>
      <c r="F188" s="12">
        <v>2134</v>
      </c>
      <c r="G188" s="12">
        <v>322</v>
      </c>
      <c r="H188" s="12">
        <v>114</v>
      </c>
      <c r="I188" s="12">
        <v>44338</v>
      </c>
      <c r="J188" s="12">
        <v>52165</v>
      </c>
      <c r="K188" s="12">
        <v>176</v>
      </c>
      <c r="L188" s="12" t="s">
        <v>398</v>
      </c>
      <c r="M188" s="16" t="s">
        <v>18</v>
      </c>
      <c r="N188">
        <f t="shared" si="2"/>
        <v>2570</v>
      </c>
    </row>
    <row r="189" spans="1:14">
      <c r="A189" s="13" t="s">
        <v>159</v>
      </c>
      <c r="B189" s="14" t="s">
        <v>24</v>
      </c>
      <c r="C189" s="36">
        <v>45806</v>
      </c>
      <c r="D189" s="14" t="s">
        <v>25</v>
      </c>
      <c r="E189" s="14" t="s">
        <v>32</v>
      </c>
      <c r="F189" s="14">
        <v>2134</v>
      </c>
      <c r="G189" s="14">
        <v>322</v>
      </c>
      <c r="H189" s="14">
        <v>114</v>
      </c>
      <c r="I189" s="14">
        <v>44338</v>
      </c>
      <c r="J189" s="14">
        <v>52165</v>
      </c>
      <c r="K189" s="14">
        <v>176</v>
      </c>
      <c r="L189" s="14" t="s">
        <v>42</v>
      </c>
      <c r="M189" s="17" t="s">
        <v>18</v>
      </c>
      <c r="N189">
        <f t="shared" si="2"/>
        <v>2570</v>
      </c>
    </row>
    <row r="190" spans="1:14">
      <c r="A190" s="11" t="s">
        <v>160</v>
      </c>
      <c r="B190" s="12" t="s">
        <v>14</v>
      </c>
      <c r="C190" s="35">
        <v>45674</v>
      </c>
      <c r="D190" s="12" t="s">
        <v>15</v>
      </c>
      <c r="E190" s="12" t="s">
        <v>41</v>
      </c>
      <c r="F190" s="12">
        <v>2266</v>
      </c>
      <c r="G190" s="12">
        <v>126</v>
      </c>
      <c r="H190" s="12">
        <v>140</v>
      </c>
      <c r="I190" s="12">
        <v>53759</v>
      </c>
      <c r="J190" s="12">
        <v>46834</v>
      </c>
      <c r="K190" s="12">
        <v>277</v>
      </c>
      <c r="L190" s="12" t="s">
        <v>21</v>
      </c>
      <c r="M190" s="16" t="s">
        <v>22</v>
      </c>
      <c r="N190">
        <f t="shared" si="2"/>
        <v>2532</v>
      </c>
    </row>
    <row r="191" spans="1:14">
      <c r="A191" s="13" t="s">
        <v>161</v>
      </c>
      <c r="B191" s="14" t="s">
        <v>14</v>
      </c>
      <c r="C191" s="36">
        <v>45777</v>
      </c>
      <c r="D191" s="14" t="s">
        <v>25</v>
      </c>
      <c r="E191" s="14" t="s">
        <v>26</v>
      </c>
      <c r="F191" s="14">
        <v>3916</v>
      </c>
      <c r="G191" s="14">
        <v>459</v>
      </c>
      <c r="H191" s="14">
        <v>229</v>
      </c>
      <c r="I191" s="14">
        <v>48989</v>
      </c>
      <c r="J191" s="14">
        <v>39768</v>
      </c>
      <c r="K191" s="14">
        <v>200</v>
      </c>
      <c r="L191" s="14" t="s">
        <v>42</v>
      </c>
      <c r="M191" s="17" t="s">
        <v>55</v>
      </c>
      <c r="N191">
        <f t="shared" si="2"/>
        <v>4604</v>
      </c>
    </row>
    <row r="192" spans="1:14">
      <c r="A192" s="22" t="s">
        <v>162</v>
      </c>
      <c r="B192" s="18" t="s">
        <v>24</v>
      </c>
      <c r="C192" s="35">
        <v>45346</v>
      </c>
      <c r="D192" s="18" t="s">
        <v>25</v>
      </c>
      <c r="E192" s="18" t="s">
        <v>32</v>
      </c>
      <c r="F192" s="18">
        <v>1022</v>
      </c>
      <c r="G192" s="18">
        <v>463</v>
      </c>
      <c r="H192" s="18">
        <v>360</v>
      </c>
      <c r="I192" s="18">
        <v>51468</v>
      </c>
      <c r="J192" s="18">
        <v>24279</v>
      </c>
      <c r="K192" s="18">
        <v>230</v>
      </c>
      <c r="L192" s="18" t="s">
        <v>21</v>
      </c>
      <c r="M192" s="19" t="s">
        <v>18</v>
      </c>
      <c r="N192">
        <f t="shared" si="2"/>
        <v>1845</v>
      </c>
    </row>
    <row r="193" spans="1:14">
      <c r="A193" s="23" t="s">
        <v>162</v>
      </c>
      <c r="B193" s="20" t="s">
        <v>24</v>
      </c>
      <c r="C193" s="36">
        <v>45346</v>
      </c>
      <c r="D193" s="20" t="s">
        <v>25</v>
      </c>
      <c r="E193" s="20" t="s">
        <v>32</v>
      </c>
      <c r="F193" s="20">
        <v>1022</v>
      </c>
      <c r="G193" s="20">
        <v>463</v>
      </c>
      <c r="H193" s="20">
        <v>360</v>
      </c>
      <c r="I193" s="20">
        <v>51468</v>
      </c>
      <c r="J193" s="20">
        <v>24279</v>
      </c>
      <c r="K193" s="20">
        <v>230</v>
      </c>
      <c r="L193" s="20" t="s">
        <v>398</v>
      </c>
      <c r="M193" s="21" t="s">
        <v>18</v>
      </c>
      <c r="N193">
        <f t="shared" si="2"/>
        <v>1845</v>
      </c>
    </row>
    <row r="194" spans="1:14">
      <c r="A194" s="22" t="s">
        <v>163</v>
      </c>
      <c r="B194" s="18" t="s">
        <v>31</v>
      </c>
      <c r="C194" s="35">
        <v>45424</v>
      </c>
      <c r="D194" s="18" t="s">
        <v>15</v>
      </c>
      <c r="E194" s="18" t="s">
        <v>49</v>
      </c>
      <c r="F194" s="18">
        <v>2911</v>
      </c>
      <c r="G194" s="18">
        <v>467</v>
      </c>
      <c r="H194" s="18">
        <v>94</v>
      </c>
      <c r="I194" s="18">
        <v>59083</v>
      </c>
      <c r="J194" s="18">
        <v>49762</v>
      </c>
      <c r="K194" s="18">
        <v>236</v>
      </c>
      <c r="L194" s="18" t="s">
        <v>21</v>
      </c>
      <c r="M194" s="19" t="s">
        <v>22</v>
      </c>
      <c r="N194">
        <f t="shared" si="2"/>
        <v>3472</v>
      </c>
    </row>
    <row r="195" spans="1:14">
      <c r="A195" s="23" t="s">
        <v>163</v>
      </c>
      <c r="B195" s="20" t="s">
        <v>31</v>
      </c>
      <c r="C195" s="36">
        <v>45424</v>
      </c>
      <c r="D195" s="20" t="s">
        <v>15</v>
      </c>
      <c r="E195" s="20" t="s">
        <v>49</v>
      </c>
      <c r="F195" s="20">
        <v>2911</v>
      </c>
      <c r="G195" s="20">
        <v>467</v>
      </c>
      <c r="H195" s="20">
        <v>94</v>
      </c>
      <c r="I195" s="20">
        <v>59083</v>
      </c>
      <c r="J195" s="20">
        <v>49762</v>
      </c>
      <c r="K195" s="20">
        <v>236</v>
      </c>
      <c r="L195" s="20" t="s">
        <v>399</v>
      </c>
      <c r="M195" s="21" t="s">
        <v>22</v>
      </c>
      <c r="N195">
        <f t="shared" ref="N195:N258" si="3">F195+G195+H195</f>
        <v>3472</v>
      </c>
    </row>
    <row r="196" spans="1:14">
      <c r="A196" s="22" t="s">
        <v>164</v>
      </c>
      <c r="B196" s="18" t="s">
        <v>24</v>
      </c>
      <c r="C196" s="35">
        <v>45421</v>
      </c>
      <c r="D196" s="18" t="s">
        <v>25</v>
      </c>
      <c r="E196" s="18" t="s">
        <v>26</v>
      </c>
      <c r="F196" s="18">
        <v>3277</v>
      </c>
      <c r="G196" s="18">
        <v>423</v>
      </c>
      <c r="H196" s="18">
        <v>259</v>
      </c>
      <c r="I196" s="18">
        <v>46328</v>
      </c>
      <c r="J196" s="18">
        <v>44293</v>
      </c>
      <c r="K196" s="18">
        <v>299</v>
      </c>
      <c r="L196" s="18" t="s">
        <v>45</v>
      </c>
      <c r="M196" s="19" t="s">
        <v>18</v>
      </c>
      <c r="N196">
        <f t="shared" si="3"/>
        <v>3959</v>
      </c>
    </row>
    <row r="197" spans="1:14">
      <c r="A197" s="23" t="s">
        <v>164</v>
      </c>
      <c r="B197" s="20" t="s">
        <v>24</v>
      </c>
      <c r="C197" s="36">
        <v>45421</v>
      </c>
      <c r="D197" s="20" t="s">
        <v>25</v>
      </c>
      <c r="E197" s="20" t="s">
        <v>26</v>
      </c>
      <c r="F197" s="20">
        <v>3277</v>
      </c>
      <c r="G197" s="20">
        <v>423</v>
      </c>
      <c r="H197" s="20">
        <v>259</v>
      </c>
      <c r="I197" s="20">
        <v>46328</v>
      </c>
      <c r="J197" s="20">
        <v>44293</v>
      </c>
      <c r="K197" s="20">
        <v>299</v>
      </c>
      <c r="L197" s="20" t="s">
        <v>42</v>
      </c>
      <c r="M197" s="21" t="s">
        <v>18</v>
      </c>
      <c r="N197">
        <f t="shared" si="3"/>
        <v>3959</v>
      </c>
    </row>
    <row r="198" spans="1:14">
      <c r="A198" s="22" t="s">
        <v>165</v>
      </c>
      <c r="B198" s="18" t="s">
        <v>24</v>
      </c>
      <c r="C198" s="35">
        <v>45602</v>
      </c>
      <c r="D198" s="18" t="s">
        <v>15</v>
      </c>
      <c r="E198" s="18" t="s">
        <v>49</v>
      </c>
      <c r="F198" s="18">
        <v>2956</v>
      </c>
      <c r="G198" s="18">
        <v>381</v>
      </c>
      <c r="H198" s="18">
        <v>345</v>
      </c>
      <c r="I198" s="18">
        <v>33347</v>
      </c>
      <c r="J198" s="18">
        <v>22558</v>
      </c>
      <c r="K198" s="18">
        <v>173</v>
      </c>
      <c r="L198" s="18" t="s">
        <v>42</v>
      </c>
      <c r="M198" s="19" t="s">
        <v>18</v>
      </c>
      <c r="N198">
        <f t="shared" si="3"/>
        <v>3682</v>
      </c>
    </row>
    <row r="199" spans="1:14">
      <c r="A199" s="23" t="s">
        <v>166</v>
      </c>
      <c r="B199" s="20" t="s">
        <v>24</v>
      </c>
      <c r="C199" s="36">
        <v>45295</v>
      </c>
      <c r="D199" s="20" t="s">
        <v>25</v>
      </c>
      <c r="E199" s="20" t="s">
        <v>35</v>
      </c>
      <c r="F199" s="20">
        <v>3208</v>
      </c>
      <c r="G199" s="20">
        <v>476</v>
      </c>
      <c r="H199" s="20">
        <v>277</v>
      </c>
      <c r="I199" s="20">
        <v>56072</v>
      </c>
      <c r="J199" s="20">
        <v>21061</v>
      </c>
      <c r="K199" s="20">
        <v>113</v>
      </c>
      <c r="L199" s="20" t="s">
        <v>398</v>
      </c>
      <c r="M199" s="21" t="s">
        <v>18</v>
      </c>
      <c r="N199">
        <f t="shared" si="3"/>
        <v>3961</v>
      </c>
    </row>
    <row r="200" spans="1:14">
      <c r="A200" s="22" t="s">
        <v>166</v>
      </c>
      <c r="B200" s="18" t="s">
        <v>24</v>
      </c>
      <c r="C200" s="35">
        <v>45295</v>
      </c>
      <c r="D200" s="18" t="s">
        <v>25</v>
      </c>
      <c r="E200" s="18" t="s">
        <v>35</v>
      </c>
      <c r="F200" s="18">
        <v>3208</v>
      </c>
      <c r="G200" s="18">
        <v>476</v>
      </c>
      <c r="H200" s="18">
        <v>277</v>
      </c>
      <c r="I200" s="18">
        <v>56072</v>
      </c>
      <c r="J200" s="18">
        <v>21061</v>
      </c>
      <c r="K200" s="18">
        <v>113</v>
      </c>
      <c r="L200" s="18" t="s">
        <v>42</v>
      </c>
      <c r="M200" s="19" t="s">
        <v>18</v>
      </c>
      <c r="N200">
        <f t="shared" si="3"/>
        <v>3961</v>
      </c>
    </row>
    <row r="201" spans="1:14">
      <c r="A201" s="23" t="s">
        <v>167</v>
      </c>
      <c r="B201" s="20" t="s">
        <v>24</v>
      </c>
      <c r="C201" s="36">
        <v>45319</v>
      </c>
      <c r="D201" s="20" t="s">
        <v>15</v>
      </c>
      <c r="E201" s="20" t="s">
        <v>32</v>
      </c>
      <c r="F201" s="20">
        <v>1456</v>
      </c>
      <c r="G201" s="20">
        <v>265</v>
      </c>
      <c r="H201" s="20">
        <v>137</v>
      </c>
      <c r="I201" s="20">
        <v>53485</v>
      </c>
      <c r="J201" s="20">
        <v>59729</v>
      </c>
      <c r="K201" s="20">
        <v>145</v>
      </c>
      <c r="L201" s="20" t="s">
        <v>45</v>
      </c>
      <c r="M201" s="21" t="s">
        <v>22</v>
      </c>
      <c r="N201">
        <f t="shared" si="3"/>
        <v>1858</v>
      </c>
    </row>
    <row r="202" spans="1:14">
      <c r="A202" s="22" t="s">
        <v>168</v>
      </c>
      <c r="B202" s="18" t="s">
        <v>14</v>
      </c>
      <c r="C202" s="35">
        <v>45344</v>
      </c>
      <c r="D202" s="18" t="s">
        <v>15</v>
      </c>
      <c r="E202" s="18" t="s">
        <v>26</v>
      </c>
      <c r="F202" s="18">
        <v>1902</v>
      </c>
      <c r="G202" s="18">
        <v>394</v>
      </c>
      <c r="H202" s="18">
        <v>279</v>
      </c>
      <c r="I202" s="18">
        <v>24615</v>
      </c>
      <c r="J202" s="18">
        <v>51330</v>
      </c>
      <c r="K202" s="18">
        <v>176</v>
      </c>
      <c r="L202" s="18" t="s">
        <v>45</v>
      </c>
      <c r="M202" s="19" t="s">
        <v>18</v>
      </c>
      <c r="N202">
        <f t="shared" si="3"/>
        <v>2575</v>
      </c>
    </row>
    <row r="203" spans="1:14">
      <c r="A203" s="23" t="s">
        <v>168</v>
      </c>
      <c r="B203" s="20" t="s">
        <v>14</v>
      </c>
      <c r="C203" s="36">
        <v>45344</v>
      </c>
      <c r="D203" s="20" t="s">
        <v>15</v>
      </c>
      <c r="E203" s="20" t="s">
        <v>26</v>
      </c>
      <c r="F203" s="20">
        <v>1902</v>
      </c>
      <c r="G203" s="20">
        <v>394</v>
      </c>
      <c r="H203" s="20">
        <v>279</v>
      </c>
      <c r="I203" s="20">
        <v>24615</v>
      </c>
      <c r="J203" s="20">
        <v>51330</v>
      </c>
      <c r="K203" s="20">
        <v>176</v>
      </c>
      <c r="L203" s="20" t="s">
        <v>42</v>
      </c>
      <c r="M203" s="21" t="s">
        <v>18</v>
      </c>
      <c r="N203">
        <f t="shared" si="3"/>
        <v>2575</v>
      </c>
    </row>
    <row r="204" spans="1:14">
      <c r="A204" s="22" t="s">
        <v>169</v>
      </c>
      <c r="B204" s="18" t="s">
        <v>24</v>
      </c>
      <c r="C204" s="35">
        <v>45839</v>
      </c>
      <c r="D204" s="18" t="s">
        <v>25</v>
      </c>
      <c r="E204" s="18" t="s">
        <v>20</v>
      </c>
      <c r="F204" s="18">
        <v>3219</v>
      </c>
      <c r="G204" s="18">
        <v>424</v>
      </c>
      <c r="H204" s="18">
        <v>267</v>
      </c>
      <c r="I204" s="18">
        <v>48879</v>
      </c>
      <c r="J204" s="18">
        <v>37691</v>
      </c>
      <c r="K204" s="18">
        <v>224</v>
      </c>
      <c r="L204" s="18" t="s">
        <v>21</v>
      </c>
      <c r="M204" s="19" t="s">
        <v>18</v>
      </c>
      <c r="N204">
        <f t="shared" si="3"/>
        <v>3910</v>
      </c>
    </row>
    <row r="205" spans="1:14">
      <c r="A205" s="23" t="s">
        <v>169</v>
      </c>
      <c r="B205" s="20" t="s">
        <v>24</v>
      </c>
      <c r="C205" s="36">
        <v>45839</v>
      </c>
      <c r="D205" s="20" t="s">
        <v>25</v>
      </c>
      <c r="E205" s="20" t="s">
        <v>20</v>
      </c>
      <c r="F205" s="20">
        <v>3219</v>
      </c>
      <c r="G205" s="20">
        <v>424</v>
      </c>
      <c r="H205" s="20">
        <v>267</v>
      </c>
      <c r="I205" s="20">
        <v>48879</v>
      </c>
      <c r="J205" s="20">
        <v>37691</v>
      </c>
      <c r="K205" s="20">
        <v>224</v>
      </c>
      <c r="L205" s="20" t="s">
        <v>398</v>
      </c>
      <c r="M205" s="21" t="s">
        <v>18</v>
      </c>
      <c r="N205">
        <f t="shared" si="3"/>
        <v>3910</v>
      </c>
    </row>
    <row r="206" spans="1:14">
      <c r="A206" s="22" t="s">
        <v>170</v>
      </c>
      <c r="B206" s="18" t="s">
        <v>31</v>
      </c>
      <c r="C206" s="35">
        <v>45301</v>
      </c>
      <c r="D206" s="18" t="s">
        <v>15</v>
      </c>
      <c r="E206" s="18" t="s">
        <v>20</v>
      </c>
      <c r="F206" s="18">
        <v>1261</v>
      </c>
      <c r="G206" s="18">
        <v>190</v>
      </c>
      <c r="H206" s="18">
        <v>233</v>
      </c>
      <c r="I206" s="18">
        <v>59888</v>
      </c>
      <c r="J206" s="18">
        <v>51449</v>
      </c>
      <c r="K206" s="18">
        <v>205</v>
      </c>
      <c r="L206" s="18" t="s">
        <v>21</v>
      </c>
      <c r="M206" s="19" t="s">
        <v>22</v>
      </c>
      <c r="N206">
        <f t="shared" si="3"/>
        <v>1684</v>
      </c>
    </row>
    <row r="207" spans="1:14">
      <c r="A207" s="23" t="s">
        <v>170</v>
      </c>
      <c r="B207" s="20" t="s">
        <v>31</v>
      </c>
      <c r="C207" s="36">
        <v>45301</v>
      </c>
      <c r="D207" s="20" t="s">
        <v>15</v>
      </c>
      <c r="E207" s="20" t="s">
        <v>20</v>
      </c>
      <c r="F207" s="20">
        <v>1261</v>
      </c>
      <c r="G207" s="20">
        <v>190</v>
      </c>
      <c r="H207" s="20">
        <v>233</v>
      </c>
      <c r="I207" s="20">
        <v>59888</v>
      </c>
      <c r="J207" s="20">
        <v>51449</v>
      </c>
      <c r="K207" s="20">
        <v>205</v>
      </c>
      <c r="L207" s="20" t="s">
        <v>399</v>
      </c>
      <c r="M207" s="21" t="s">
        <v>22</v>
      </c>
      <c r="N207">
        <f t="shared" si="3"/>
        <v>1684</v>
      </c>
    </row>
    <row r="208" spans="1:14">
      <c r="A208" s="22" t="s">
        <v>171</v>
      </c>
      <c r="B208" s="18" t="s">
        <v>24</v>
      </c>
      <c r="C208" s="35">
        <v>45736</v>
      </c>
      <c r="D208" s="18" t="s">
        <v>15</v>
      </c>
      <c r="E208" s="18" t="s">
        <v>51</v>
      </c>
      <c r="F208" s="18">
        <v>1564</v>
      </c>
      <c r="G208" s="18">
        <v>362</v>
      </c>
      <c r="H208" s="18">
        <v>371</v>
      </c>
      <c r="I208" s="18">
        <v>42075</v>
      </c>
      <c r="J208" s="18">
        <v>66659</v>
      </c>
      <c r="K208" s="18">
        <v>205</v>
      </c>
      <c r="L208" s="18" t="s">
        <v>45</v>
      </c>
      <c r="M208" s="19" t="s">
        <v>22</v>
      </c>
      <c r="N208">
        <f t="shared" si="3"/>
        <v>2297</v>
      </c>
    </row>
    <row r="209" spans="1:14">
      <c r="A209" s="23" t="s">
        <v>172</v>
      </c>
      <c r="B209" s="20" t="s">
        <v>24</v>
      </c>
      <c r="C209" s="36">
        <v>45563</v>
      </c>
      <c r="D209" s="20" t="s">
        <v>15</v>
      </c>
      <c r="E209" s="20" t="s">
        <v>35</v>
      </c>
      <c r="F209" s="20">
        <v>4006</v>
      </c>
      <c r="G209" s="20">
        <v>420</v>
      </c>
      <c r="H209" s="20">
        <v>194</v>
      </c>
      <c r="I209" s="20">
        <v>49964</v>
      </c>
      <c r="J209" s="20">
        <v>20685</v>
      </c>
      <c r="K209" s="20">
        <v>148</v>
      </c>
      <c r="L209" s="20" t="s">
        <v>42</v>
      </c>
      <c r="M209" s="21" t="s">
        <v>18</v>
      </c>
      <c r="N209">
        <f t="shared" si="3"/>
        <v>4620</v>
      </c>
    </row>
    <row r="210" spans="1:14">
      <c r="A210" s="22" t="s">
        <v>173</v>
      </c>
      <c r="B210" s="18" t="s">
        <v>31</v>
      </c>
      <c r="C210" s="35">
        <v>45318</v>
      </c>
      <c r="D210" s="18" t="s">
        <v>15</v>
      </c>
      <c r="E210" s="18" t="s">
        <v>51</v>
      </c>
      <c r="F210" s="18">
        <v>1976</v>
      </c>
      <c r="G210" s="18">
        <v>262</v>
      </c>
      <c r="H210" s="18">
        <v>218</v>
      </c>
      <c r="I210" s="18">
        <v>51696</v>
      </c>
      <c r="J210" s="18">
        <v>44846</v>
      </c>
      <c r="K210" s="18">
        <v>139</v>
      </c>
      <c r="L210" s="18" t="s">
        <v>21</v>
      </c>
      <c r="M210" s="19" t="s">
        <v>22</v>
      </c>
      <c r="N210">
        <f t="shared" si="3"/>
        <v>2456</v>
      </c>
    </row>
    <row r="211" spans="1:14">
      <c r="A211" s="23" t="s">
        <v>173</v>
      </c>
      <c r="B211" s="20" t="s">
        <v>31</v>
      </c>
      <c r="C211" s="36">
        <v>45318</v>
      </c>
      <c r="D211" s="20" t="s">
        <v>15</v>
      </c>
      <c r="E211" s="20" t="s">
        <v>51</v>
      </c>
      <c r="F211" s="20">
        <v>1976</v>
      </c>
      <c r="G211" s="20">
        <v>262</v>
      </c>
      <c r="H211" s="20">
        <v>218</v>
      </c>
      <c r="I211" s="20">
        <v>51696</v>
      </c>
      <c r="J211" s="20">
        <v>44846</v>
      </c>
      <c r="K211" s="20">
        <v>139</v>
      </c>
      <c r="L211" s="20" t="s">
        <v>399</v>
      </c>
      <c r="M211" s="21" t="s">
        <v>22</v>
      </c>
      <c r="N211">
        <f t="shared" si="3"/>
        <v>2456</v>
      </c>
    </row>
    <row r="212" spans="1:14">
      <c r="A212" s="22" t="s">
        <v>174</v>
      </c>
      <c r="B212" s="18" t="s">
        <v>24</v>
      </c>
      <c r="C212" s="35">
        <v>45792</v>
      </c>
      <c r="D212" s="18" t="s">
        <v>15</v>
      </c>
      <c r="E212" s="18" t="s">
        <v>26</v>
      </c>
      <c r="F212" s="18">
        <v>1583</v>
      </c>
      <c r="G212" s="18">
        <v>433</v>
      </c>
      <c r="H212" s="18">
        <v>249</v>
      </c>
      <c r="I212" s="18">
        <v>30256</v>
      </c>
      <c r="J212" s="18">
        <v>47066</v>
      </c>
      <c r="K212" s="18">
        <v>196</v>
      </c>
      <c r="L212" s="18" t="s">
        <v>42</v>
      </c>
      <c r="M212" s="19" t="s">
        <v>18</v>
      </c>
      <c r="N212">
        <f t="shared" si="3"/>
        <v>2265</v>
      </c>
    </row>
    <row r="213" spans="1:14">
      <c r="A213" s="23" t="s">
        <v>175</v>
      </c>
      <c r="B213" s="20" t="s">
        <v>24</v>
      </c>
      <c r="C213" s="36">
        <v>45569</v>
      </c>
      <c r="D213" s="20" t="s">
        <v>25</v>
      </c>
      <c r="E213" s="20" t="s">
        <v>20</v>
      </c>
      <c r="F213" s="20">
        <v>2870</v>
      </c>
      <c r="G213" s="20">
        <v>380</v>
      </c>
      <c r="H213" s="20">
        <v>393</v>
      </c>
      <c r="I213" s="20">
        <v>37621</v>
      </c>
      <c r="J213" s="20">
        <v>71794</v>
      </c>
      <c r="K213" s="20">
        <v>127</v>
      </c>
      <c r="L213" s="20" t="s">
        <v>398</v>
      </c>
      <c r="M213" s="21" t="s">
        <v>18</v>
      </c>
      <c r="N213">
        <f t="shared" si="3"/>
        <v>3643</v>
      </c>
    </row>
    <row r="214" spans="1:14">
      <c r="A214" s="22" t="s">
        <v>175</v>
      </c>
      <c r="B214" s="18" t="s">
        <v>24</v>
      </c>
      <c r="C214" s="35">
        <v>45569</v>
      </c>
      <c r="D214" s="18" t="s">
        <v>25</v>
      </c>
      <c r="E214" s="18" t="s">
        <v>20</v>
      </c>
      <c r="F214" s="18">
        <v>2870</v>
      </c>
      <c r="G214" s="18">
        <v>380</v>
      </c>
      <c r="H214" s="18">
        <v>393</v>
      </c>
      <c r="I214" s="18">
        <v>37621</v>
      </c>
      <c r="J214" s="18">
        <v>71794</v>
      </c>
      <c r="K214" s="18">
        <v>127</v>
      </c>
      <c r="L214" s="18" t="s">
        <v>42</v>
      </c>
      <c r="M214" s="19" t="s">
        <v>18</v>
      </c>
      <c r="N214">
        <f t="shared" si="3"/>
        <v>3643</v>
      </c>
    </row>
    <row r="215" spans="1:14">
      <c r="A215" s="23" t="s">
        <v>176</v>
      </c>
      <c r="B215" s="20" t="s">
        <v>24</v>
      </c>
      <c r="C215" s="36">
        <v>45615</v>
      </c>
      <c r="D215" s="20" t="s">
        <v>15</v>
      </c>
      <c r="E215" s="20" t="s">
        <v>41</v>
      </c>
      <c r="F215" s="20">
        <v>3728</v>
      </c>
      <c r="G215" s="20">
        <v>271</v>
      </c>
      <c r="H215" s="20">
        <v>275</v>
      </c>
      <c r="I215" s="20">
        <v>22827</v>
      </c>
      <c r="J215" s="20">
        <v>37034</v>
      </c>
      <c r="K215" s="20">
        <v>199</v>
      </c>
      <c r="L215" s="20" t="s">
        <v>42</v>
      </c>
      <c r="M215" s="21" t="s">
        <v>18</v>
      </c>
      <c r="N215">
        <f t="shared" si="3"/>
        <v>4274</v>
      </c>
    </row>
    <row r="216" spans="1:14">
      <c r="A216" s="22" t="s">
        <v>177</v>
      </c>
      <c r="B216" s="18" t="s">
        <v>24</v>
      </c>
      <c r="C216" s="35">
        <v>45387</v>
      </c>
      <c r="D216" s="18" t="s">
        <v>25</v>
      </c>
      <c r="E216" s="18" t="s">
        <v>26</v>
      </c>
      <c r="F216" s="18">
        <v>4965</v>
      </c>
      <c r="G216" s="18">
        <v>175</v>
      </c>
      <c r="H216" s="18">
        <v>307</v>
      </c>
      <c r="I216" s="18">
        <v>32793</v>
      </c>
      <c r="J216" s="18">
        <v>43412</v>
      </c>
      <c r="K216" s="18">
        <v>296</v>
      </c>
      <c r="L216" s="18" t="s">
        <v>45</v>
      </c>
      <c r="M216" s="19" t="s">
        <v>18</v>
      </c>
      <c r="N216">
        <f t="shared" si="3"/>
        <v>5447</v>
      </c>
    </row>
    <row r="217" spans="1:14">
      <c r="A217" s="23" t="s">
        <v>177</v>
      </c>
      <c r="B217" s="20" t="s">
        <v>24</v>
      </c>
      <c r="C217" s="36">
        <v>45387</v>
      </c>
      <c r="D217" s="20" t="s">
        <v>25</v>
      </c>
      <c r="E217" s="20" t="s">
        <v>26</v>
      </c>
      <c r="F217" s="20">
        <v>4965</v>
      </c>
      <c r="G217" s="20">
        <v>175</v>
      </c>
      <c r="H217" s="20">
        <v>307</v>
      </c>
      <c r="I217" s="20">
        <v>32793</v>
      </c>
      <c r="J217" s="20">
        <v>43412</v>
      </c>
      <c r="K217" s="20">
        <v>296</v>
      </c>
      <c r="L217" s="20" t="s">
        <v>42</v>
      </c>
      <c r="M217" s="21" t="s">
        <v>18</v>
      </c>
      <c r="N217">
        <f t="shared" si="3"/>
        <v>5447</v>
      </c>
    </row>
    <row r="218" spans="1:14">
      <c r="A218" s="22" t="s">
        <v>178</v>
      </c>
      <c r="B218" s="18" t="s">
        <v>24</v>
      </c>
      <c r="C218" s="35">
        <v>45624</v>
      </c>
      <c r="D218" s="18" t="s">
        <v>25</v>
      </c>
      <c r="E218" s="18" t="s">
        <v>26</v>
      </c>
      <c r="F218" s="18">
        <v>1131</v>
      </c>
      <c r="G218" s="18">
        <v>100</v>
      </c>
      <c r="H218" s="18">
        <v>116</v>
      </c>
      <c r="I218" s="18">
        <v>48437</v>
      </c>
      <c r="J218" s="18">
        <v>72704</v>
      </c>
      <c r="K218" s="18">
        <v>236</v>
      </c>
      <c r="L218" s="18" t="s">
        <v>21</v>
      </c>
      <c r="M218" s="19" t="s">
        <v>18</v>
      </c>
      <c r="N218">
        <f t="shared" si="3"/>
        <v>1347</v>
      </c>
    </row>
    <row r="219" spans="1:14">
      <c r="A219" s="23" t="s">
        <v>178</v>
      </c>
      <c r="B219" s="20" t="s">
        <v>24</v>
      </c>
      <c r="C219" s="36">
        <v>45624</v>
      </c>
      <c r="D219" s="20" t="s">
        <v>25</v>
      </c>
      <c r="E219" s="20" t="s">
        <v>26</v>
      </c>
      <c r="F219" s="20">
        <v>1131</v>
      </c>
      <c r="G219" s="20">
        <v>100</v>
      </c>
      <c r="H219" s="20">
        <v>116</v>
      </c>
      <c r="I219" s="20">
        <v>48437</v>
      </c>
      <c r="J219" s="20">
        <v>72704</v>
      </c>
      <c r="K219" s="20">
        <v>236</v>
      </c>
      <c r="L219" s="20" t="s">
        <v>398</v>
      </c>
      <c r="M219" s="21" t="s">
        <v>18</v>
      </c>
      <c r="N219">
        <f t="shared" si="3"/>
        <v>1347</v>
      </c>
    </row>
    <row r="220" spans="1:14">
      <c r="A220" s="22" t="s">
        <v>179</v>
      </c>
      <c r="B220" s="18" t="s">
        <v>24</v>
      </c>
      <c r="C220" s="35">
        <v>45725</v>
      </c>
      <c r="D220" s="18" t="s">
        <v>15</v>
      </c>
      <c r="E220" s="18" t="s">
        <v>51</v>
      </c>
      <c r="F220" s="18">
        <v>2754</v>
      </c>
      <c r="G220" s="18">
        <v>215</v>
      </c>
      <c r="H220" s="18">
        <v>264</v>
      </c>
      <c r="I220" s="18">
        <v>27762</v>
      </c>
      <c r="J220" s="18">
        <v>70203</v>
      </c>
      <c r="K220" s="18">
        <v>289</v>
      </c>
      <c r="L220" s="18" t="s">
        <v>42</v>
      </c>
      <c r="M220" s="19" t="s">
        <v>18</v>
      </c>
      <c r="N220">
        <f t="shared" si="3"/>
        <v>3233</v>
      </c>
    </row>
    <row r="221" spans="1:14">
      <c r="A221" s="23" t="s">
        <v>180</v>
      </c>
      <c r="B221" s="20" t="s">
        <v>24</v>
      </c>
      <c r="C221" s="36">
        <v>45531</v>
      </c>
      <c r="D221" s="20" t="s">
        <v>25</v>
      </c>
      <c r="E221" s="20" t="s">
        <v>26</v>
      </c>
      <c r="F221" s="20">
        <v>1856</v>
      </c>
      <c r="G221" s="20">
        <v>357</v>
      </c>
      <c r="H221" s="20">
        <v>348</v>
      </c>
      <c r="I221" s="20">
        <v>29428</v>
      </c>
      <c r="J221" s="20">
        <v>70206</v>
      </c>
      <c r="K221" s="20">
        <v>236</v>
      </c>
      <c r="L221" s="20" t="s">
        <v>398</v>
      </c>
      <c r="M221" s="21" t="s">
        <v>18</v>
      </c>
      <c r="N221">
        <f t="shared" si="3"/>
        <v>2561</v>
      </c>
    </row>
    <row r="222" spans="1:14">
      <c r="A222" s="22" t="s">
        <v>180</v>
      </c>
      <c r="B222" s="18" t="s">
        <v>24</v>
      </c>
      <c r="C222" s="35">
        <v>45531</v>
      </c>
      <c r="D222" s="18" t="s">
        <v>25</v>
      </c>
      <c r="E222" s="18" t="s">
        <v>26</v>
      </c>
      <c r="F222" s="18">
        <v>1856</v>
      </c>
      <c r="G222" s="18">
        <v>357</v>
      </c>
      <c r="H222" s="18">
        <v>348</v>
      </c>
      <c r="I222" s="18">
        <v>29428</v>
      </c>
      <c r="J222" s="18">
        <v>70206</v>
      </c>
      <c r="K222" s="18">
        <v>236</v>
      </c>
      <c r="L222" s="18" t="s">
        <v>42</v>
      </c>
      <c r="M222" s="19" t="s">
        <v>18</v>
      </c>
      <c r="N222">
        <f t="shared" si="3"/>
        <v>2561</v>
      </c>
    </row>
    <row r="223" spans="1:14">
      <c r="A223" s="23" t="s">
        <v>181</v>
      </c>
      <c r="B223" s="20" t="s">
        <v>31</v>
      </c>
      <c r="C223" s="36">
        <v>45566</v>
      </c>
      <c r="D223" s="20" t="s">
        <v>57</v>
      </c>
      <c r="E223" s="20" t="s">
        <v>20</v>
      </c>
      <c r="F223" s="20">
        <v>3543</v>
      </c>
      <c r="G223" s="20">
        <v>334</v>
      </c>
      <c r="H223" s="20">
        <v>218</v>
      </c>
      <c r="I223" s="20">
        <v>58007</v>
      </c>
      <c r="J223" s="20">
        <v>24792</v>
      </c>
      <c r="K223" s="20">
        <v>273</v>
      </c>
      <c r="L223" s="20" t="s">
        <v>21</v>
      </c>
      <c r="M223" s="21" t="s">
        <v>59</v>
      </c>
      <c r="N223">
        <f t="shared" si="3"/>
        <v>4095</v>
      </c>
    </row>
    <row r="224" spans="1:14">
      <c r="A224" s="22" t="s">
        <v>181</v>
      </c>
      <c r="B224" s="18" t="s">
        <v>31</v>
      </c>
      <c r="C224" s="35">
        <v>45566</v>
      </c>
      <c r="D224" s="18" t="s">
        <v>57</v>
      </c>
      <c r="E224" s="18" t="s">
        <v>20</v>
      </c>
      <c r="F224" s="18">
        <v>3543</v>
      </c>
      <c r="G224" s="18">
        <v>334</v>
      </c>
      <c r="H224" s="18">
        <v>218</v>
      </c>
      <c r="I224" s="18">
        <v>58007</v>
      </c>
      <c r="J224" s="18">
        <v>24792</v>
      </c>
      <c r="K224" s="18">
        <v>273</v>
      </c>
      <c r="L224" s="18" t="s">
        <v>45</v>
      </c>
      <c r="M224" s="19" t="s">
        <v>59</v>
      </c>
      <c r="N224">
        <f t="shared" si="3"/>
        <v>4095</v>
      </c>
    </row>
    <row r="225" spans="1:14">
      <c r="A225" s="23" t="s">
        <v>182</v>
      </c>
      <c r="B225" s="20" t="s">
        <v>14</v>
      </c>
      <c r="C225" s="36">
        <v>45647</v>
      </c>
      <c r="D225" s="20" t="s">
        <v>25</v>
      </c>
      <c r="E225" s="20" t="s">
        <v>26</v>
      </c>
      <c r="F225" s="20">
        <v>4563</v>
      </c>
      <c r="G225" s="20">
        <v>398</v>
      </c>
      <c r="H225" s="20">
        <v>163</v>
      </c>
      <c r="I225" s="20">
        <v>43679</v>
      </c>
      <c r="J225" s="20">
        <v>48760</v>
      </c>
      <c r="K225" s="20">
        <v>92</v>
      </c>
      <c r="L225" s="20" t="s">
        <v>42</v>
      </c>
      <c r="M225" s="21" t="s">
        <v>55</v>
      </c>
      <c r="N225">
        <f t="shared" si="3"/>
        <v>5124</v>
      </c>
    </row>
    <row r="226" spans="1:14">
      <c r="A226" s="22" t="s">
        <v>183</v>
      </c>
      <c r="B226" s="18" t="s">
        <v>14</v>
      </c>
      <c r="C226" s="35">
        <v>45460</v>
      </c>
      <c r="D226" s="18" t="s">
        <v>15</v>
      </c>
      <c r="E226" s="18" t="s">
        <v>16</v>
      </c>
      <c r="F226" s="18">
        <v>4283</v>
      </c>
      <c r="G226" s="18">
        <v>471</v>
      </c>
      <c r="H226" s="18">
        <v>156</v>
      </c>
      <c r="I226" s="18">
        <v>53004</v>
      </c>
      <c r="J226" s="18">
        <v>25678</v>
      </c>
      <c r="K226" s="18">
        <v>105</v>
      </c>
      <c r="L226" s="18" t="s">
        <v>21</v>
      </c>
      <c r="M226" s="19" t="s">
        <v>22</v>
      </c>
      <c r="N226">
        <f t="shared" si="3"/>
        <v>4910</v>
      </c>
    </row>
    <row r="227" spans="1:14">
      <c r="A227" s="23" t="s">
        <v>184</v>
      </c>
      <c r="B227" s="20" t="s">
        <v>14</v>
      </c>
      <c r="C227" s="36">
        <v>45702</v>
      </c>
      <c r="D227" s="20" t="s">
        <v>15</v>
      </c>
      <c r="E227" s="20" t="s">
        <v>16</v>
      </c>
      <c r="F227" s="20">
        <v>2329</v>
      </c>
      <c r="G227" s="20">
        <v>373</v>
      </c>
      <c r="H227" s="20">
        <v>291</v>
      </c>
      <c r="I227" s="20">
        <v>49577</v>
      </c>
      <c r="J227" s="20">
        <v>28002</v>
      </c>
      <c r="K227" s="20">
        <v>82</v>
      </c>
      <c r="L227" s="20" t="s">
        <v>45</v>
      </c>
      <c r="M227" s="21" t="s">
        <v>18</v>
      </c>
      <c r="N227">
        <f t="shared" si="3"/>
        <v>2993</v>
      </c>
    </row>
    <row r="228" spans="1:14">
      <c r="A228" s="22" t="s">
        <v>184</v>
      </c>
      <c r="B228" s="18" t="s">
        <v>14</v>
      </c>
      <c r="C228" s="35">
        <v>45702</v>
      </c>
      <c r="D228" s="18" t="s">
        <v>15</v>
      </c>
      <c r="E228" s="18" t="s">
        <v>16</v>
      </c>
      <c r="F228" s="18">
        <v>2329</v>
      </c>
      <c r="G228" s="18">
        <v>373</v>
      </c>
      <c r="H228" s="18">
        <v>291</v>
      </c>
      <c r="I228" s="18">
        <v>49577</v>
      </c>
      <c r="J228" s="18">
        <v>28002</v>
      </c>
      <c r="K228" s="18">
        <v>82</v>
      </c>
      <c r="L228" s="18" t="s">
        <v>42</v>
      </c>
      <c r="M228" s="19" t="s">
        <v>18</v>
      </c>
      <c r="N228">
        <f t="shared" si="3"/>
        <v>2993</v>
      </c>
    </row>
    <row r="229" spans="1:14">
      <c r="A229" s="23" t="s">
        <v>185</v>
      </c>
      <c r="B229" s="20" t="s">
        <v>24</v>
      </c>
      <c r="C229" s="36">
        <v>45805</v>
      </c>
      <c r="D229" s="20" t="s">
        <v>25</v>
      </c>
      <c r="E229" s="20" t="s">
        <v>41</v>
      </c>
      <c r="F229" s="20">
        <v>4287</v>
      </c>
      <c r="G229" s="20">
        <v>273</v>
      </c>
      <c r="H229" s="20">
        <v>122</v>
      </c>
      <c r="I229" s="20">
        <v>40792</v>
      </c>
      <c r="J229" s="20">
        <v>23878</v>
      </c>
      <c r="K229" s="20">
        <v>277</v>
      </c>
      <c r="L229" s="20" t="s">
        <v>398</v>
      </c>
      <c r="M229" s="21" t="s">
        <v>18</v>
      </c>
      <c r="N229">
        <f t="shared" si="3"/>
        <v>4682</v>
      </c>
    </row>
    <row r="230" spans="1:14">
      <c r="A230" s="22" t="s">
        <v>185</v>
      </c>
      <c r="B230" s="18" t="s">
        <v>24</v>
      </c>
      <c r="C230" s="35">
        <v>45805</v>
      </c>
      <c r="D230" s="18" t="s">
        <v>25</v>
      </c>
      <c r="E230" s="18" t="s">
        <v>41</v>
      </c>
      <c r="F230" s="18">
        <v>4287</v>
      </c>
      <c r="G230" s="18">
        <v>273</v>
      </c>
      <c r="H230" s="18">
        <v>122</v>
      </c>
      <c r="I230" s="18">
        <v>40792</v>
      </c>
      <c r="J230" s="18">
        <v>23878</v>
      </c>
      <c r="K230" s="18">
        <v>277</v>
      </c>
      <c r="L230" s="18" t="s">
        <v>42</v>
      </c>
      <c r="M230" s="19" t="s">
        <v>18</v>
      </c>
      <c r="N230">
        <f t="shared" si="3"/>
        <v>4682</v>
      </c>
    </row>
    <row r="231" spans="1:14">
      <c r="A231" s="23" t="s">
        <v>186</v>
      </c>
      <c r="B231" s="20" t="s">
        <v>14</v>
      </c>
      <c r="C231" s="36">
        <v>45799</v>
      </c>
      <c r="D231" s="20" t="s">
        <v>15</v>
      </c>
      <c r="E231" s="20" t="s">
        <v>16</v>
      </c>
      <c r="F231" s="20">
        <v>2633</v>
      </c>
      <c r="G231" s="20">
        <v>318</v>
      </c>
      <c r="H231" s="20">
        <v>380</v>
      </c>
      <c r="I231" s="20">
        <v>40869</v>
      </c>
      <c r="J231" s="20">
        <v>64474</v>
      </c>
      <c r="K231" s="20">
        <v>245</v>
      </c>
      <c r="L231" s="20" t="s">
        <v>21</v>
      </c>
      <c r="M231" s="21" t="s">
        <v>22</v>
      </c>
      <c r="N231">
        <f t="shared" si="3"/>
        <v>3331</v>
      </c>
    </row>
    <row r="232" spans="1:14">
      <c r="A232" s="22" t="s">
        <v>187</v>
      </c>
      <c r="B232" s="18" t="s">
        <v>24</v>
      </c>
      <c r="C232" s="35">
        <v>45312</v>
      </c>
      <c r="D232" s="18" t="s">
        <v>25</v>
      </c>
      <c r="E232" s="18" t="s">
        <v>16</v>
      </c>
      <c r="F232" s="18">
        <v>2383</v>
      </c>
      <c r="G232" s="18">
        <v>136</v>
      </c>
      <c r="H232" s="18">
        <v>302</v>
      </c>
      <c r="I232" s="18">
        <v>39187</v>
      </c>
      <c r="J232" s="18">
        <v>22133</v>
      </c>
      <c r="K232" s="18">
        <v>208</v>
      </c>
      <c r="L232" s="18" t="s">
        <v>398</v>
      </c>
      <c r="M232" s="19" t="s">
        <v>18</v>
      </c>
      <c r="N232">
        <f t="shared" si="3"/>
        <v>2821</v>
      </c>
    </row>
    <row r="233" spans="1:14">
      <c r="A233" s="23" t="s">
        <v>187</v>
      </c>
      <c r="B233" s="20" t="s">
        <v>24</v>
      </c>
      <c r="C233" s="36">
        <v>45312</v>
      </c>
      <c r="D233" s="20" t="s">
        <v>25</v>
      </c>
      <c r="E233" s="20" t="s">
        <v>16</v>
      </c>
      <c r="F233" s="20">
        <v>2383</v>
      </c>
      <c r="G233" s="20">
        <v>136</v>
      </c>
      <c r="H233" s="20">
        <v>302</v>
      </c>
      <c r="I233" s="20">
        <v>39187</v>
      </c>
      <c r="J233" s="20">
        <v>22133</v>
      </c>
      <c r="K233" s="20">
        <v>208</v>
      </c>
      <c r="L233" s="20" t="s">
        <v>42</v>
      </c>
      <c r="M233" s="21" t="s">
        <v>18</v>
      </c>
      <c r="N233">
        <f t="shared" si="3"/>
        <v>2821</v>
      </c>
    </row>
    <row r="234" spans="1:14">
      <c r="A234" s="22" t="s">
        <v>188</v>
      </c>
      <c r="B234" s="18" t="s">
        <v>24</v>
      </c>
      <c r="C234" s="35">
        <v>45696</v>
      </c>
      <c r="D234" s="18" t="s">
        <v>25</v>
      </c>
      <c r="E234" s="18" t="s">
        <v>51</v>
      </c>
      <c r="F234" s="18">
        <v>4752</v>
      </c>
      <c r="G234" s="18">
        <v>334</v>
      </c>
      <c r="H234" s="18">
        <v>56</v>
      </c>
      <c r="I234" s="18">
        <v>48017</v>
      </c>
      <c r="J234" s="18">
        <v>55534</v>
      </c>
      <c r="K234" s="18">
        <v>270</v>
      </c>
      <c r="L234" s="18" t="s">
        <v>21</v>
      </c>
      <c r="M234" s="19" t="s">
        <v>18</v>
      </c>
      <c r="N234">
        <f t="shared" si="3"/>
        <v>5142</v>
      </c>
    </row>
    <row r="235" spans="1:14">
      <c r="A235" s="23" t="s">
        <v>188</v>
      </c>
      <c r="B235" s="20" t="s">
        <v>24</v>
      </c>
      <c r="C235" s="36">
        <v>45696</v>
      </c>
      <c r="D235" s="20" t="s">
        <v>25</v>
      </c>
      <c r="E235" s="20" t="s">
        <v>51</v>
      </c>
      <c r="F235" s="20">
        <v>4752</v>
      </c>
      <c r="G235" s="20">
        <v>334</v>
      </c>
      <c r="H235" s="20">
        <v>56</v>
      </c>
      <c r="I235" s="20">
        <v>48017</v>
      </c>
      <c r="J235" s="20">
        <v>55534</v>
      </c>
      <c r="K235" s="20">
        <v>270</v>
      </c>
      <c r="L235" s="20" t="s">
        <v>398</v>
      </c>
      <c r="M235" s="21" t="s">
        <v>18</v>
      </c>
      <c r="N235">
        <f t="shared" si="3"/>
        <v>5142</v>
      </c>
    </row>
    <row r="236" spans="1:14">
      <c r="A236" s="22" t="s">
        <v>189</v>
      </c>
      <c r="B236" s="18" t="s">
        <v>24</v>
      </c>
      <c r="C236" s="35">
        <v>45760</v>
      </c>
      <c r="D236" s="18" t="s">
        <v>15</v>
      </c>
      <c r="E236" s="18" t="s">
        <v>49</v>
      </c>
      <c r="F236" s="18">
        <v>3890</v>
      </c>
      <c r="G236" s="18">
        <v>408</v>
      </c>
      <c r="H236" s="18">
        <v>338</v>
      </c>
      <c r="I236" s="18">
        <v>56994</v>
      </c>
      <c r="J236" s="18">
        <v>32621</v>
      </c>
      <c r="K236" s="18">
        <v>286</v>
      </c>
      <c r="L236" s="18" t="s">
        <v>45</v>
      </c>
      <c r="M236" s="19" t="s">
        <v>22</v>
      </c>
      <c r="N236">
        <f t="shared" si="3"/>
        <v>4636</v>
      </c>
    </row>
    <row r="237" spans="1:14">
      <c r="A237" s="23" t="s">
        <v>190</v>
      </c>
      <c r="B237" s="20" t="s">
        <v>24</v>
      </c>
      <c r="C237" s="36">
        <v>45442</v>
      </c>
      <c r="D237" s="20" t="s">
        <v>25</v>
      </c>
      <c r="E237" s="20" t="s">
        <v>51</v>
      </c>
      <c r="F237" s="20">
        <v>2311</v>
      </c>
      <c r="G237" s="20">
        <v>207</v>
      </c>
      <c r="H237" s="20">
        <v>363</v>
      </c>
      <c r="I237" s="20">
        <v>30349</v>
      </c>
      <c r="J237" s="20">
        <v>32925</v>
      </c>
      <c r="K237" s="20">
        <v>88</v>
      </c>
      <c r="L237" s="20" t="s">
        <v>398</v>
      </c>
      <c r="M237" s="21" t="s">
        <v>18</v>
      </c>
      <c r="N237">
        <f t="shared" si="3"/>
        <v>2881</v>
      </c>
    </row>
    <row r="238" spans="1:14">
      <c r="A238" s="22" t="s">
        <v>190</v>
      </c>
      <c r="B238" s="18" t="s">
        <v>24</v>
      </c>
      <c r="C238" s="35">
        <v>45442</v>
      </c>
      <c r="D238" s="18" t="s">
        <v>25</v>
      </c>
      <c r="E238" s="18" t="s">
        <v>51</v>
      </c>
      <c r="F238" s="18">
        <v>2311</v>
      </c>
      <c r="G238" s="18">
        <v>207</v>
      </c>
      <c r="H238" s="18">
        <v>363</v>
      </c>
      <c r="I238" s="18">
        <v>30349</v>
      </c>
      <c r="J238" s="18">
        <v>32925</v>
      </c>
      <c r="K238" s="18">
        <v>88</v>
      </c>
      <c r="L238" s="18" t="s">
        <v>42</v>
      </c>
      <c r="M238" s="19" t="s">
        <v>18</v>
      </c>
      <c r="N238">
        <f t="shared" si="3"/>
        <v>2881</v>
      </c>
    </row>
    <row r="239" spans="1:14">
      <c r="A239" s="23" t="s">
        <v>191</v>
      </c>
      <c r="B239" s="20" t="s">
        <v>14</v>
      </c>
      <c r="C239" s="36">
        <v>45516</v>
      </c>
      <c r="D239" s="20" t="s">
        <v>25</v>
      </c>
      <c r="E239" s="20" t="s">
        <v>16</v>
      </c>
      <c r="F239" s="20">
        <v>2962</v>
      </c>
      <c r="G239" s="20">
        <v>400</v>
      </c>
      <c r="H239" s="20">
        <v>280</v>
      </c>
      <c r="I239" s="20">
        <v>52508</v>
      </c>
      <c r="J239" s="20">
        <v>58329</v>
      </c>
      <c r="K239" s="20">
        <v>219</v>
      </c>
      <c r="L239" s="20" t="s">
        <v>42</v>
      </c>
      <c r="M239" s="21" t="s">
        <v>55</v>
      </c>
      <c r="N239">
        <f t="shared" si="3"/>
        <v>3642</v>
      </c>
    </row>
    <row r="240" spans="1:14">
      <c r="A240" s="22" t="s">
        <v>192</v>
      </c>
      <c r="B240" s="18" t="s">
        <v>14</v>
      </c>
      <c r="C240" s="35">
        <v>45562</v>
      </c>
      <c r="D240" s="18" t="s">
        <v>15</v>
      </c>
      <c r="E240" s="18" t="s">
        <v>16</v>
      </c>
      <c r="F240" s="18">
        <v>3118</v>
      </c>
      <c r="G240" s="18">
        <v>116</v>
      </c>
      <c r="H240" s="18">
        <v>195</v>
      </c>
      <c r="I240" s="18">
        <v>37100</v>
      </c>
      <c r="J240" s="18">
        <v>62629</v>
      </c>
      <c r="K240" s="18">
        <v>272</v>
      </c>
      <c r="L240" s="18" t="s">
        <v>21</v>
      </c>
      <c r="M240" s="19" t="s">
        <v>22</v>
      </c>
      <c r="N240">
        <f t="shared" si="3"/>
        <v>3429</v>
      </c>
    </row>
    <row r="241" spans="1:14">
      <c r="A241" s="23" t="s">
        <v>193</v>
      </c>
      <c r="B241" s="20" t="s">
        <v>24</v>
      </c>
      <c r="C241" s="36">
        <v>45819</v>
      </c>
      <c r="D241" s="20" t="s">
        <v>25</v>
      </c>
      <c r="E241" s="20" t="s">
        <v>20</v>
      </c>
      <c r="F241" s="20">
        <v>3805</v>
      </c>
      <c r="G241" s="20">
        <v>453</v>
      </c>
      <c r="H241" s="20">
        <v>63</v>
      </c>
      <c r="I241" s="20">
        <v>52395</v>
      </c>
      <c r="J241" s="20">
        <v>72934</v>
      </c>
      <c r="K241" s="20">
        <v>87</v>
      </c>
      <c r="L241" s="20" t="s">
        <v>21</v>
      </c>
      <c r="M241" s="21" t="s">
        <v>18</v>
      </c>
      <c r="N241">
        <f t="shared" si="3"/>
        <v>4321</v>
      </c>
    </row>
    <row r="242" spans="1:14">
      <c r="A242" s="22" t="s">
        <v>193</v>
      </c>
      <c r="B242" s="18" t="s">
        <v>24</v>
      </c>
      <c r="C242" s="35">
        <v>45819</v>
      </c>
      <c r="D242" s="18" t="s">
        <v>25</v>
      </c>
      <c r="E242" s="18" t="s">
        <v>20</v>
      </c>
      <c r="F242" s="18">
        <v>3805</v>
      </c>
      <c r="G242" s="18">
        <v>453</v>
      </c>
      <c r="H242" s="18">
        <v>63</v>
      </c>
      <c r="I242" s="18">
        <v>52395</v>
      </c>
      <c r="J242" s="18">
        <v>72934</v>
      </c>
      <c r="K242" s="18">
        <v>87</v>
      </c>
      <c r="L242" s="18" t="s">
        <v>398</v>
      </c>
      <c r="M242" s="19" t="s">
        <v>18</v>
      </c>
      <c r="N242">
        <f t="shared" si="3"/>
        <v>4321</v>
      </c>
    </row>
    <row r="243" spans="1:14">
      <c r="A243" s="23" t="s">
        <v>194</v>
      </c>
      <c r="B243" s="20" t="s">
        <v>14</v>
      </c>
      <c r="C243" s="36">
        <v>45615</v>
      </c>
      <c r="D243" s="20" t="s">
        <v>15</v>
      </c>
      <c r="E243" s="20" t="s">
        <v>35</v>
      </c>
      <c r="F243" s="20">
        <v>2525</v>
      </c>
      <c r="G243" s="20">
        <v>272</v>
      </c>
      <c r="H243" s="20">
        <v>294</v>
      </c>
      <c r="I243" s="20">
        <v>51875</v>
      </c>
      <c r="J243" s="20">
        <v>24732</v>
      </c>
      <c r="K243" s="20">
        <v>92</v>
      </c>
      <c r="L243" s="20" t="s">
        <v>21</v>
      </c>
      <c r="M243" s="21" t="s">
        <v>22</v>
      </c>
      <c r="N243">
        <f t="shared" si="3"/>
        <v>3091</v>
      </c>
    </row>
    <row r="244" spans="1:14">
      <c r="A244" s="22" t="s">
        <v>195</v>
      </c>
      <c r="B244" s="18" t="s">
        <v>14</v>
      </c>
      <c r="C244" s="35">
        <v>45407</v>
      </c>
      <c r="D244" s="18" t="s">
        <v>15</v>
      </c>
      <c r="E244" s="18" t="s">
        <v>32</v>
      </c>
      <c r="F244" s="18">
        <v>3563</v>
      </c>
      <c r="G244" s="18">
        <v>483</v>
      </c>
      <c r="H244" s="18">
        <v>227</v>
      </c>
      <c r="I244" s="18">
        <v>41085</v>
      </c>
      <c r="J244" s="18">
        <v>26393</v>
      </c>
      <c r="K244" s="18">
        <v>236</v>
      </c>
      <c r="L244" s="18" t="s">
        <v>45</v>
      </c>
      <c r="M244" s="19" t="s">
        <v>18</v>
      </c>
      <c r="N244">
        <f t="shared" si="3"/>
        <v>4273</v>
      </c>
    </row>
    <row r="245" spans="1:14">
      <c r="A245" s="23" t="s">
        <v>195</v>
      </c>
      <c r="B245" s="20" t="s">
        <v>14</v>
      </c>
      <c r="C245" s="36">
        <v>45407</v>
      </c>
      <c r="D245" s="20" t="s">
        <v>15</v>
      </c>
      <c r="E245" s="20" t="s">
        <v>32</v>
      </c>
      <c r="F245" s="20">
        <v>3563</v>
      </c>
      <c r="G245" s="20">
        <v>483</v>
      </c>
      <c r="H245" s="20">
        <v>227</v>
      </c>
      <c r="I245" s="20">
        <v>41085</v>
      </c>
      <c r="J245" s="20">
        <v>26393</v>
      </c>
      <c r="K245" s="20">
        <v>236</v>
      </c>
      <c r="L245" s="20" t="s">
        <v>42</v>
      </c>
      <c r="M245" s="21" t="s">
        <v>18</v>
      </c>
      <c r="N245">
        <f t="shared" si="3"/>
        <v>4273</v>
      </c>
    </row>
    <row r="246" spans="1:14">
      <c r="A246" s="22" t="s">
        <v>196</v>
      </c>
      <c r="B246" s="18" t="s">
        <v>31</v>
      </c>
      <c r="C246" s="35">
        <v>45538</v>
      </c>
      <c r="D246" s="18" t="s">
        <v>57</v>
      </c>
      <c r="E246" s="18" t="s">
        <v>35</v>
      </c>
      <c r="F246" s="18">
        <v>1437</v>
      </c>
      <c r="G246" s="18">
        <v>494</v>
      </c>
      <c r="H246" s="18">
        <v>129</v>
      </c>
      <c r="I246" s="18">
        <v>53048</v>
      </c>
      <c r="J246" s="18">
        <v>44090</v>
      </c>
      <c r="K246" s="18">
        <v>230</v>
      </c>
      <c r="L246" s="18" t="s">
        <v>21</v>
      </c>
      <c r="M246" s="19" t="s">
        <v>59</v>
      </c>
      <c r="N246">
        <f t="shared" si="3"/>
        <v>2060</v>
      </c>
    </row>
    <row r="247" spans="1:14">
      <c r="A247" s="23" t="s">
        <v>196</v>
      </c>
      <c r="B247" s="20" t="s">
        <v>31</v>
      </c>
      <c r="C247" s="36">
        <v>45538</v>
      </c>
      <c r="D247" s="20" t="s">
        <v>57</v>
      </c>
      <c r="E247" s="20" t="s">
        <v>35</v>
      </c>
      <c r="F247" s="20">
        <v>1437</v>
      </c>
      <c r="G247" s="20">
        <v>494</v>
      </c>
      <c r="H247" s="20">
        <v>129</v>
      </c>
      <c r="I247" s="20">
        <v>53048</v>
      </c>
      <c r="J247" s="20">
        <v>44090</v>
      </c>
      <c r="K247" s="20">
        <v>230</v>
      </c>
      <c r="L247" s="20" t="s">
        <v>45</v>
      </c>
      <c r="M247" s="21" t="s">
        <v>59</v>
      </c>
      <c r="N247">
        <f t="shared" si="3"/>
        <v>2060</v>
      </c>
    </row>
    <row r="248" spans="1:14">
      <c r="A248" s="22" t="s">
        <v>197</v>
      </c>
      <c r="B248" s="18" t="s">
        <v>31</v>
      </c>
      <c r="C248" s="35">
        <v>45718</v>
      </c>
      <c r="D248" s="18" t="s">
        <v>15</v>
      </c>
      <c r="E248" s="18" t="s">
        <v>49</v>
      </c>
      <c r="F248" s="18">
        <v>4425</v>
      </c>
      <c r="G248" s="18">
        <v>185</v>
      </c>
      <c r="H248" s="18">
        <v>162</v>
      </c>
      <c r="I248" s="18">
        <v>24610</v>
      </c>
      <c r="J248" s="18">
        <v>21342</v>
      </c>
      <c r="K248" s="18">
        <v>158</v>
      </c>
      <c r="L248" s="18" t="s">
        <v>21</v>
      </c>
      <c r="M248" s="19" t="s">
        <v>22</v>
      </c>
      <c r="N248">
        <f t="shared" si="3"/>
        <v>4772</v>
      </c>
    </row>
    <row r="249" spans="1:14">
      <c r="A249" s="23" t="s">
        <v>197</v>
      </c>
      <c r="B249" s="20" t="s">
        <v>31</v>
      </c>
      <c r="C249" s="36">
        <v>45718</v>
      </c>
      <c r="D249" s="20" t="s">
        <v>15</v>
      </c>
      <c r="E249" s="20" t="s">
        <v>49</v>
      </c>
      <c r="F249" s="20">
        <v>4425</v>
      </c>
      <c r="G249" s="20">
        <v>185</v>
      </c>
      <c r="H249" s="20">
        <v>162</v>
      </c>
      <c r="I249" s="20">
        <v>24610</v>
      </c>
      <c r="J249" s="20">
        <v>21342</v>
      </c>
      <c r="K249" s="20">
        <v>158</v>
      </c>
      <c r="L249" s="20" t="s">
        <v>399</v>
      </c>
      <c r="M249" s="21" t="s">
        <v>22</v>
      </c>
      <c r="N249">
        <f t="shared" si="3"/>
        <v>4772</v>
      </c>
    </row>
    <row r="250" spans="1:14">
      <c r="A250" s="22" t="s">
        <v>198</v>
      </c>
      <c r="B250" s="18" t="s">
        <v>24</v>
      </c>
      <c r="C250" s="35">
        <v>45737</v>
      </c>
      <c r="D250" s="18" t="s">
        <v>25</v>
      </c>
      <c r="E250" s="18" t="s">
        <v>26</v>
      </c>
      <c r="F250" s="18">
        <v>4609</v>
      </c>
      <c r="G250" s="18">
        <v>427</v>
      </c>
      <c r="H250" s="18">
        <v>395</v>
      </c>
      <c r="I250" s="18">
        <v>33698</v>
      </c>
      <c r="J250" s="18">
        <v>29259</v>
      </c>
      <c r="K250" s="18">
        <v>216</v>
      </c>
      <c r="L250" s="18" t="s">
        <v>21</v>
      </c>
      <c r="M250" s="19" t="s">
        <v>18</v>
      </c>
      <c r="N250">
        <f t="shared" si="3"/>
        <v>5431</v>
      </c>
    </row>
    <row r="251" spans="1:14">
      <c r="A251" s="23" t="s">
        <v>198</v>
      </c>
      <c r="B251" s="20" t="s">
        <v>24</v>
      </c>
      <c r="C251" s="36">
        <v>45737</v>
      </c>
      <c r="D251" s="20" t="s">
        <v>25</v>
      </c>
      <c r="E251" s="20" t="s">
        <v>26</v>
      </c>
      <c r="F251" s="20">
        <v>4609</v>
      </c>
      <c r="G251" s="20">
        <v>427</v>
      </c>
      <c r="H251" s="20">
        <v>395</v>
      </c>
      <c r="I251" s="20">
        <v>33698</v>
      </c>
      <c r="J251" s="20">
        <v>29259</v>
      </c>
      <c r="K251" s="20">
        <v>216</v>
      </c>
      <c r="L251" s="20" t="s">
        <v>398</v>
      </c>
      <c r="M251" s="21" t="s">
        <v>18</v>
      </c>
      <c r="N251">
        <f t="shared" si="3"/>
        <v>5431</v>
      </c>
    </row>
    <row r="252" spans="1:14">
      <c r="A252" s="22" t="s">
        <v>199</v>
      </c>
      <c r="B252" s="18" t="s">
        <v>14</v>
      </c>
      <c r="C252" s="35">
        <v>45394</v>
      </c>
      <c r="D252" s="18" t="s">
        <v>25</v>
      </c>
      <c r="E252" s="18" t="s">
        <v>37</v>
      </c>
      <c r="F252" s="18">
        <v>1558</v>
      </c>
      <c r="G252" s="18">
        <v>352</v>
      </c>
      <c r="H252" s="18">
        <v>202</v>
      </c>
      <c r="I252" s="18">
        <v>25405</v>
      </c>
      <c r="J252" s="18">
        <v>69941</v>
      </c>
      <c r="K252" s="18">
        <v>219</v>
      </c>
      <c r="L252" s="18" t="s">
        <v>42</v>
      </c>
      <c r="M252" s="19" t="s">
        <v>55</v>
      </c>
      <c r="N252">
        <f t="shared" si="3"/>
        <v>2112</v>
      </c>
    </row>
    <row r="253" spans="1:14">
      <c r="A253" s="23" t="s">
        <v>200</v>
      </c>
      <c r="B253" s="20" t="s">
        <v>31</v>
      </c>
      <c r="C253" s="36">
        <v>45330</v>
      </c>
      <c r="D253" s="20" t="s">
        <v>57</v>
      </c>
      <c r="E253" s="20" t="s">
        <v>41</v>
      </c>
      <c r="F253" s="20">
        <v>1889</v>
      </c>
      <c r="G253" s="20">
        <v>298</v>
      </c>
      <c r="H253" s="20">
        <v>122</v>
      </c>
      <c r="I253" s="20">
        <v>46225</v>
      </c>
      <c r="J253" s="20">
        <v>74305</v>
      </c>
      <c r="K253" s="20">
        <v>293</v>
      </c>
      <c r="L253" s="20" t="s">
        <v>21</v>
      </c>
      <c r="M253" s="21" t="s">
        <v>59</v>
      </c>
      <c r="N253">
        <f t="shared" si="3"/>
        <v>2309</v>
      </c>
    </row>
    <row r="254" spans="1:14">
      <c r="A254" s="22" t="s">
        <v>200</v>
      </c>
      <c r="B254" s="18" t="s">
        <v>31</v>
      </c>
      <c r="C254" s="35">
        <v>45330</v>
      </c>
      <c r="D254" s="18" t="s">
        <v>57</v>
      </c>
      <c r="E254" s="18" t="s">
        <v>41</v>
      </c>
      <c r="F254" s="18">
        <v>1889</v>
      </c>
      <c r="G254" s="18">
        <v>298</v>
      </c>
      <c r="H254" s="18">
        <v>122</v>
      </c>
      <c r="I254" s="18">
        <v>46225</v>
      </c>
      <c r="J254" s="18">
        <v>74305</v>
      </c>
      <c r="K254" s="18">
        <v>293</v>
      </c>
      <c r="L254" s="18" t="s">
        <v>45</v>
      </c>
      <c r="M254" s="19" t="s">
        <v>59</v>
      </c>
      <c r="N254">
        <f t="shared" si="3"/>
        <v>2309</v>
      </c>
    </row>
    <row r="255" spans="1:14">
      <c r="A255" s="23" t="s">
        <v>201</v>
      </c>
      <c r="B255" s="20" t="s">
        <v>14</v>
      </c>
      <c r="C255" s="36">
        <v>45803</v>
      </c>
      <c r="D255" s="20" t="s">
        <v>15</v>
      </c>
      <c r="E255" s="20" t="s">
        <v>16</v>
      </c>
      <c r="F255" s="20">
        <v>3086</v>
      </c>
      <c r="G255" s="20">
        <v>148</v>
      </c>
      <c r="H255" s="20">
        <v>310</v>
      </c>
      <c r="I255" s="20">
        <v>22824</v>
      </c>
      <c r="J255" s="20">
        <v>58103</v>
      </c>
      <c r="K255" s="20">
        <v>275</v>
      </c>
      <c r="L255" s="20" t="s">
        <v>21</v>
      </c>
      <c r="M255" s="21" t="s">
        <v>22</v>
      </c>
      <c r="N255">
        <f t="shared" si="3"/>
        <v>3544</v>
      </c>
    </row>
    <row r="256" spans="1:14">
      <c r="A256" s="22" t="s">
        <v>202</v>
      </c>
      <c r="B256" s="18" t="s">
        <v>14</v>
      </c>
      <c r="C256" s="35">
        <v>45610</v>
      </c>
      <c r="D256" s="18" t="s">
        <v>15</v>
      </c>
      <c r="E256" s="18" t="s">
        <v>32</v>
      </c>
      <c r="F256" s="18">
        <v>2422</v>
      </c>
      <c r="G256" s="18">
        <v>318</v>
      </c>
      <c r="H256" s="18">
        <v>118</v>
      </c>
      <c r="I256" s="18">
        <v>25386</v>
      </c>
      <c r="J256" s="18">
        <v>20873</v>
      </c>
      <c r="K256" s="18">
        <v>100</v>
      </c>
      <c r="L256" s="18" t="s">
        <v>45</v>
      </c>
      <c r="M256" s="19" t="s">
        <v>18</v>
      </c>
      <c r="N256">
        <f t="shared" si="3"/>
        <v>2858</v>
      </c>
    </row>
    <row r="257" spans="1:14">
      <c r="A257" s="23" t="s">
        <v>202</v>
      </c>
      <c r="B257" s="20" t="s">
        <v>14</v>
      </c>
      <c r="C257" s="36">
        <v>45610</v>
      </c>
      <c r="D257" s="20" t="s">
        <v>15</v>
      </c>
      <c r="E257" s="20" t="s">
        <v>32</v>
      </c>
      <c r="F257" s="20">
        <v>2422</v>
      </c>
      <c r="G257" s="20">
        <v>318</v>
      </c>
      <c r="H257" s="20">
        <v>118</v>
      </c>
      <c r="I257" s="20">
        <v>25386</v>
      </c>
      <c r="J257" s="20">
        <v>20873</v>
      </c>
      <c r="K257" s="20">
        <v>100</v>
      </c>
      <c r="L257" s="20" t="s">
        <v>42</v>
      </c>
      <c r="M257" s="21" t="s">
        <v>18</v>
      </c>
      <c r="N257">
        <f t="shared" si="3"/>
        <v>2858</v>
      </c>
    </row>
    <row r="258" spans="1:14">
      <c r="A258" s="22" t="s">
        <v>203</v>
      </c>
      <c r="B258" s="18" t="s">
        <v>31</v>
      </c>
      <c r="C258" s="35">
        <v>45513</v>
      </c>
      <c r="D258" s="18" t="s">
        <v>57</v>
      </c>
      <c r="E258" s="18" t="s">
        <v>49</v>
      </c>
      <c r="F258" s="18">
        <v>3414</v>
      </c>
      <c r="G258" s="18">
        <v>154</v>
      </c>
      <c r="H258" s="18">
        <v>204</v>
      </c>
      <c r="I258" s="18">
        <v>34146</v>
      </c>
      <c r="J258" s="18">
        <v>44633</v>
      </c>
      <c r="K258" s="18">
        <v>256</v>
      </c>
      <c r="L258" s="18" t="s">
        <v>21</v>
      </c>
      <c r="M258" s="19" t="s">
        <v>59</v>
      </c>
      <c r="N258">
        <f t="shared" si="3"/>
        <v>3772</v>
      </c>
    </row>
    <row r="259" spans="1:14">
      <c r="A259" s="23" t="s">
        <v>203</v>
      </c>
      <c r="B259" s="20" t="s">
        <v>31</v>
      </c>
      <c r="C259" s="36">
        <v>45513</v>
      </c>
      <c r="D259" s="20" t="s">
        <v>57</v>
      </c>
      <c r="E259" s="20" t="s">
        <v>49</v>
      </c>
      <c r="F259" s="20">
        <v>3414</v>
      </c>
      <c r="G259" s="20">
        <v>154</v>
      </c>
      <c r="H259" s="20">
        <v>204</v>
      </c>
      <c r="I259" s="20">
        <v>34146</v>
      </c>
      <c r="J259" s="20">
        <v>44633</v>
      </c>
      <c r="K259" s="20">
        <v>256</v>
      </c>
      <c r="L259" s="20" t="s">
        <v>45</v>
      </c>
      <c r="M259" s="21" t="s">
        <v>59</v>
      </c>
      <c r="N259">
        <f t="shared" ref="N259:N322" si="4">F259+G259+H259</f>
        <v>3772</v>
      </c>
    </row>
    <row r="260" spans="1:14">
      <c r="A260" s="22" t="s">
        <v>204</v>
      </c>
      <c r="B260" s="18" t="s">
        <v>14</v>
      </c>
      <c r="C260" s="35">
        <v>45835</v>
      </c>
      <c r="D260" s="18" t="s">
        <v>25</v>
      </c>
      <c r="E260" s="18" t="s">
        <v>35</v>
      </c>
      <c r="F260" s="18">
        <v>1342</v>
      </c>
      <c r="G260" s="18">
        <v>332</v>
      </c>
      <c r="H260" s="18">
        <v>163</v>
      </c>
      <c r="I260" s="18">
        <v>51712</v>
      </c>
      <c r="J260" s="18">
        <v>57922</v>
      </c>
      <c r="K260" s="18">
        <v>168</v>
      </c>
      <c r="L260" s="18" t="s">
        <v>42</v>
      </c>
      <c r="M260" s="19" t="s">
        <v>55</v>
      </c>
      <c r="N260">
        <f t="shared" si="4"/>
        <v>1837</v>
      </c>
    </row>
    <row r="261" spans="1:14">
      <c r="A261" s="23" t="s">
        <v>205</v>
      </c>
      <c r="B261" s="20" t="s">
        <v>14</v>
      </c>
      <c r="C261" s="36">
        <v>45420</v>
      </c>
      <c r="D261" s="20" t="s">
        <v>25</v>
      </c>
      <c r="E261" s="20" t="s">
        <v>32</v>
      </c>
      <c r="F261" s="20">
        <v>2414</v>
      </c>
      <c r="G261" s="20">
        <v>220</v>
      </c>
      <c r="H261" s="20">
        <v>280</v>
      </c>
      <c r="I261" s="20">
        <v>27355</v>
      </c>
      <c r="J261" s="20">
        <v>50562</v>
      </c>
      <c r="K261" s="20">
        <v>258</v>
      </c>
      <c r="L261" s="20" t="s">
        <v>42</v>
      </c>
      <c r="M261" s="21" t="s">
        <v>55</v>
      </c>
      <c r="N261">
        <f t="shared" si="4"/>
        <v>2914</v>
      </c>
    </row>
    <row r="262" spans="1:14">
      <c r="A262" s="22" t="s">
        <v>206</v>
      </c>
      <c r="B262" s="18" t="s">
        <v>14</v>
      </c>
      <c r="C262" s="35">
        <v>45387</v>
      </c>
      <c r="D262" s="18" t="s">
        <v>15</v>
      </c>
      <c r="E262" s="18" t="s">
        <v>26</v>
      </c>
      <c r="F262" s="18">
        <v>4383</v>
      </c>
      <c r="G262" s="18">
        <v>352</v>
      </c>
      <c r="H262" s="18">
        <v>176</v>
      </c>
      <c r="I262" s="18">
        <v>53239</v>
      </c>
      <c r="J262" s="18">
        <v>34168</v>
      </c>
      <c r="K262" s="18">
        <v>288</v>
      </c>
      <c r="L262" s="18" t="s">
        <v>21</v>
      </c>
      <c r="M262" s="19" t="s">
        <v>22</v>
      </c>
      <c r="N262">
        <f t="shared" si="4"/>
        <v>4911</v>
      </c>
    </row>
    <row r="263" spans="1:14">
      <c r="A263" s="23" t="s">
        <v>207</v>
      </c>
      <c r="B263" s="20" t="s">
        <v>31</v>
      </c>
      <c r="C263" s="36">
        <v>45684</v>
      </c>
      <c r="D263" s="20" t="s">
        <v>15</v>
      </c>
      <c r="E263" s="20" t="s">
        <v>29</v>
      </c>
      <c r="F263" s="20">
        <v>4294</v>
      </c>
      <c r="G263" s="20">
        <v>423</v>
      </c>
      <c r="H263" s="20">
        <v>93</v>
      </c>
      <c r="I263" s="20">
        <v>29828</v>
      </c>
      <c r="J263" s="20">
        <v>73144</v>
      </c>
      <c r="K263" s="20">
        <v>298</v>
      </c>
      <c r="L263" s="20" t="s">
        <v>21</v>
      </c>
      <c r="M263" s="21" t="s">
        <v>22</v>
      </c>
      <c r="N263">
        <f t="shared" si="4"/>
        <v>4810</v>
      </c>
    </row>
    <row r="264" spans="1:14">
      <c r="A264" s="22" t="s">
        <v>207</v>
      </c>
      <c r="B264" s="18" t="s">
        <v>31</v>
      </c>
      <c r="C264" s="35">
        <v>45684</v>
      </c>
      <c r="D264" s="18" t="s">
        <v>15</v>
      </c>
      <c r="E264" s="18" t="s">
        <v>29</v>
      </c>
      <c r="F264" s="18">
        <v>4294</v>
      </c>
      <c r="G264" s="18">
        <v>423</v>
      </c>
      <c r="H264" s="18">
        <v>93</v>
      </c>
      <c r="I264" s="18">
        <v>29828</v>
      </c>
      <c r="J264" s="18">
        <v>73144</v>
      </c>
      <c r="K264" s="18">
        <v>298</v>
      </c>
      <c r="L264" s="18" t="s">
        <v>399</v>
      </c>
      <c r="M264" s="19" t="s">
        <v>22</v>
      </c>
      <c r="N264">
        <f t="shared" si="4"/>
        <v>4810</v>
      </c>
    </row>
    <row r="265" spans="1:14">
      <c r="A265" s="23" t="s">
        <v>208</v>
      </c>
      <c r="B265" s="20" t="s">
        <v>14</v>
      </c>
      <c r="C265" s="36">
        <v>45385</v>
      </c>
      <c r="D265" s="20" t="s">
        <v>15</v>
      </c>
      <c r="E265" s="20" t="s">
        <v>41</v>
      </c>
      <c r="F265" s="20">
        <v>2762</v>
      </c>
      <c r="G265" s="20">
        <v>339</v>
      </c>
      <c r="H265" s="20">
        <v>323</v>
      </c>
      <c r="I265" s="20">
        <v>33757</v>
      </c>
      <c r="J265" s="20">
        <v>68511</v>
      </c>
      <c r="K265" s="20">
        <v>121</v>
      </c>
      <c r="L265" s="20" t="s">
        <v>45</v>
      </c>
      <c r="M265" s="21" t="s">
        <v>18</v>
      </c>
      <c r="N265">
        <f t="shared" si="4"/>
        <v>3424</v>
      </c>
    </row>
    <row r="266" spans="1:14">
      <c r="A266" s="22" t="s">
        <v>208</v>
      </c>
      <c r="B266" s="18" t="s">
        <v>14</v>
      </c>
      <c r="C266" s="35">
        <v>45385</v>
      </c>
      <c r="D266" s="18" t="s">
        <v>15</v>
      </c>
      <c r="E266" s="18" t="s">
        <v>41</v>
      </c>
      <c r="F266" s="18">
        <v>2762</v>
      </c>
      <c r="G266" s="18">
        <v>339</v>
      </c>
      <c r="H266" s="18">
        <v>323</v>
      </c>
      <c r="I266" s="18">
        <v>33757</v>
      </c>
      <c r="J266" s="18">
        <v>68511</v>
      </c>
      <c r="K266" s="18">
        <v>121</v>
      </c>
      <c r="L266" s="18" t="s">
        <v>42</v>
      </c>
      <c r="M266" s="19" t="s">
        <v>18</v>
      </c>
      <c r="N266">
        <f t="shared" si="4"/>
        <v>3424</v>
      </c>
    </row>
    <row r="267" spans="1:14">
      <c r="A267" s="23" t="s">
        <v>209</v>
      </c>
      <c r="B267" s="20" t="s">
        <v>31</v>
      </c>
      <c r="C267" s="36">
        <v>45660</v>
      </c>
      <c r="D267" s="20" t="s">
        <v>15</v>
      </c>
      <c r="E267" s="20" t="s">
        <v>26</v>
      </c>
      <c r="F267" s="20">
        <v>3782</v>
      </c>
      <c r="G267" s="20">
        <v>484</v>
      </c>
      <c r="H267" s="20">
        <v>144</v>
      </c>
      <c r="I267" s="20">
        <v>52172</v>
      </c>
      <c r="J267" s="20">
        <v>59386</v>
      </c>
      <c r="K267" s="20">
        <v>175</v>
      </c>
      <c r="L267" s="20" t="s">
        <v>21</v>
      </c>
      <c r="M267" s="21" t="s">
        <v>22</v>
      </c>
      <c r="N267">
        <f t="shared" si="4"/>
        <v>4410</v>
      </c>
    </row>
    <row r="268" spans="1:14">
      <c r="A268" s="22" t="s">
        <v>209</v>
      </c>
      <c r="B268" s="18" t="s">
        <v>31</v>
      </c>
      <c r="C268" s="35">
        <v>45660</v>
      </c>
      <c r="D268" s="18" t="s">
        <v>15</v>
      </c>
      <c r="E268" s="18" t="s">
        <v>26</v>
      </c>
      <c r="F268" s="18">
        <v>3782</v>
      </c>
      <c r="G268" s="18">
        <v>484</v>
      </c>
      <c r="H268" s="18">
        <v>144</v>
      </c>
      <c r="I268" s="18">
        <v>52172</v>
      </c>
      <c r="J268" s="18">
        <v>59386</v>
      </c>
      <c r="K268" s="18">
        <v>175</v>
      </c>
      <c r="L268" s="18" t="s">
        <v>399</v>
      </c>
      <c r="M268" s="19" t="s">
        <v>22</v>
      </c>
      <c r="N268">
        <f t="shared" si="4"/>
        <v>4410</v>
      </c>
    </row>
    <row r="269" spans="1:14">
      <c r="A269" s="23" t="s">
        <v>210</v>
      </c>
      <c r="B269" s="20" t="s">
        <v>24</v>
      </c>
      <c r="C269" s="36">
        <v>45619</v>
      </c>
      <c r="D269" s="20" t="s">
        <v>15</v>
      </c>
      <c r="E269" s="20" t="s">
        <v>26</v>
      </c>
      <c r="F269" s="20">
        <v>4318</v>
      </c>
      <c r="G269" s="20">
        <v>371</v>
      </c>
      <c r="H269" s="20">
        <v>329</v>
      </c>
      <c r="I269" s="20">
        <v>32347</v>
      </c>
      <c r="J269" s="20">
        <v>68956</v>
      </c>
      <c r="K269" s="20">
        <v>259</v>
      </c>
      <c r="L269" s="20" t="s">
        <v>45</v>
      </c>
      <c r="M269" s="21" t="s">
        <v>22</v>
      </c>
      <c r="N269">
        <f t="shared" si="4"/>
        <v>5018</v>
      </c>
    </row>
    <row r="270" spans="1:14">
      <c r="A270" s="22" t="s">
        <v>211</v>
      </c>
      <c r="B270" s="18" t="s">
        <v>14</v>
      </c>
      <c r="C270" s="35">
        <v>45536</v>
      </c>
      <c r="D270" s="18" t="s">
        <v>25</v>
      </c>
      <c r="E270" s="18" t="s">
        <v>29</v>
      </c>
      <c r="F270" s="18">
        <v>2335</v>
      </c>
      <c r="G270" s="18">
        <v>150</v>
      </c>
      <c r="H270" s="18">
        <v>75</v>
      </c>
      <c r="I270" s="18">
        <v>26114</v>
      </c>
      <c r="J270" s="18">
        <v>57549</v>
      </c>
      <c r="K270" s="18">
        <v>135</v>
      </c>
      <c r="L270" s="18" t="s">
        <v>42</v>
      </c>
      <c r="M270" s="19" t="s">
        <v>55</v>
      </c>
      <c r="N270">
        <f t="shared" si="4"/>
        <v>2560</v>
      </c>
    </row>
    <row r="271" spans="1:14">
      <c r="A271" s="23" t="s">
        <v>212</v>
      </c>
      <c r="B271" s="20" t="s">
        <v>31</v>
      </c>
      <c r="C271" s="36">
        <v>45400</v>
      </c>
      <c r="D271" s="20" t="s">
        <v>15</v>
      </c>
      <c r="E271" s="20" t="s">
        <v>20</v>
      </c>
      <c r="F271" s="20">
        <v>4023</v>
      </c>
      <c r="G271" s="20">
        <v>293</v>
      </c>
      <c r="H271" s="20">
        <v>91</v>
      </c>
      <c r="I271" s="20">
        <v>26795</v>
      </c>
      <c r="J271" s="20">
        <v>28924</v>
      </c>
      <c r="K271" s="20">
        <v>278</v>
      </c>
      <c r="L271" s="20" t="s">
        <v>21</v>
      </c>
      <c r="M271" s="21" t="s">
        <v>22</v>
      </c>
      <c r="N271">
        <f t="shared" si="4"/>
        <v>4407</v>
      </c>
    </row>
    <row r="272" spans="1:14">
      <c r="A272" s="22" t="s">
        <v>212</v>
      </c>
      <c r="B272" s="18" t="s">
        <v>31</v>
      </c>
      <c r="C272" s="35">
        <v>45400</v>
      </c>
      <c r="D272" s="18" t="s">
        <v>15</v>
      </c>
      <c r="E272" s="18" t="s">
        <v>20</v>
      </c>
      <c r="F272" s="18">
        <v>4023</v>
      </c>
      <c r="G272" s="18">
        <v>293</v>
      </c>
      <c r="H272" s="18">
        <v>91</v>
      </c>
      <c r="I272" s="18">
        <v>26795</v>
      </c>
      <c r="J272" s="18">
        <v>28924</v>
      </c>
      <c r="K272" s="18">
        <v>278</v>
      </c>
      <c r="L272" s="18" t="s">
        <v>399</v>
      </c>
      <c r="M272" s="19" t="s">
        <v>22</v>
      </c>
      <c r="N272">
        <f t="shared" si="4"/>
        <v>4407</v>
      </c>
    </row>
    <row r="273" spans="1:14">
      <c r="A273" s="23" t="s">
        <v>213</v>
      </c>
      <c r="B273" s="20" t="s">
        <v>14</v>
      </c>
      <c r="C273" s="36">
        <v>45447</v>
      </c>
      <c r="D273" s="20" t="s">
        <v>15</v>
      </c>
      <c r="E273" s="20" t="s">
        <v>37</v>
      </c>
      <c r="F273" s="20">
        <v>3948</v>
      </c>
      <c r="G273" s="20">
        <v>151</v>
      </c>
      <c r="H273" s="20">
        <v>249</v>
      </c>
      <c r="I273" s="20">
        <v>43147</v>
      </c>
      <c r="J273" s="20">
        <v>63136</v>
      </c>
      <c r="K273" s="20">
        <v>230</v>
      </c>
      <c r="L273" s="20" t="s">
        <v>21</v>
      </c>
      <c r="M273" s="21" t="s">
        <v>22</v>
      </c>
      <c r="N273">
        <f t="shared" si="4"/>
        <v>4348</v>
      </c>
    </row>
    <row r="274" spans="1:14">
      <c r="A274" s="22" t="s">
        <v>214</v>
      </c>
      <c r="B274" s="18" t="s">
        <v>31</v>
      </c>
      <c r="C274" s="35">
        <v>45749</v>
      </c>
      <c r="D274" s="18" t="s">
        <v>15</v>
      </c>
      <c r="E274" s="18" t="s">
        <v>29</v>
      </c>
      <c r="F274" s="18">
        <v>4598</v>
      </c>
      <c r="G274" s="18">
        <v>455</v>
      </c>
      <c r="H274" s="18">
        <v>378</v>
      </c>
      <c r="I274" s="18">
        <v>52952</v>
      </c>
      <c r="J274" s="18">
        <v>58504</v>
      </c>
      <c r="K274" s="18">
        <v>269</v>
      </c>
      <c r="L274" s="18" t="s">
        <v>21</v>
      </c>
      <c r="M274" s="19" t="s">
        <v>22</v>
      </c>
      <c r="N274">
        <f t="shared" si="4"/>
        <v>5431</v>
      </c>
    </row>
    <row r="275" spans="1:14">
      <c r="A275" s="23" t="s">
        <v>214</v>
      </c>
      <c r="B275" s="20" t="s">
        <v>31</v>
      </c>
      <c r="C275" s="36">
        <v>45749</v>
      </c>
      <c r="D275" s="20" t="s">
        <v>15</v>
      </c>
      <c r="E275" s="20" t="s">
        <v>29</v>
      </c>
      <c r="F275" s="20">
        <v>4598</v>
      </c>
      <c r="G275" s="20">
        <v>455</v>
      </c>
      <c r="H275" s="20">
        <v>378</v>
      </c>
      <c r="I275" s="20">
        <v>52952</v>
      </c>
      <c r="J275" s="20">
        <v>58504</v>
      </c>
      <c r="K275" s="20">
        <v>269</v>
      </c>
      <c r="L275" s="20" t="s">
        <v>399</v>
      </c>
      <c r="M275" s="21" t="s">
        <v>22</v>
      </c>
      <c r="N275">
        <f t="shared" si="4"/>
        <v>5431</v>
      </c>
    </row>
    <row r="276" spans="1:14">
      <c r="A276" s="22" t="s">
        <v>215</v>
      </c>
      <c r="B276" s="18" t="s">
        <v>24</v>
      </c>
      <c r="C276" s="35">
        <v>45748</v>
      </c>
      <c r="D276" s="18" t="s">
        <v>25</v>
      </c>
      <c r="E276" s="18" t="s">
        <v>32</v>
      </c>
      <c r="F276" s="18">
        <v>2665</v>
      </c>
      <c r="G276" s="18">
        <v>143</v>
      </c>
      <c r="H276" s="18">
        <v>315</v>
      </c>
      <c r="I276" s="18">
        <v>54808</v>
      </c>
      <c r="J276" s="18">
        <v>29818</v>
      </c>
      <c r="K276" s="18">
        <v>98</v>
      </c>
      <c r="L276" s="18" t="s">
        <v>21</v>
      </c>
      <c r="M276" s="19" t="s">
        <v>18</v>
      </c>
      <c r="N276">
        <f t="shared" si="4"/>
        <v>3123</v>
      </c>
    </row>
    <row r="277" spans="1:14">
      <c r="A277" s="23" t="s">
        <v>215</v>
      </c>
      <c r="B277" s="20" t="s">
        <v>24</v>
      </c>
      <c r="C277" s="36">
        <v>45748</v>
      </c>
      <c r="D277" s="20" t="s">
        <v>25</v>
      </c>
      <c r="E277" s="20" t="s">
        <v>32</v>
      </c>
      <c r="F277" s="20">
        <v>2665</v>
      </c>
      <c r="G277" s="20">
        <v>143</v>
      </c>
      <c r="H277" s="20">
        <v>315</v>
      </c>
      <c r="I277" s="20">
        <v>54808</v>
      </c>
      <c r="J277" s="20">
        <v>29818</v>
      </c>
      <c r="K277" s="20">
        <v>98</v>
      </c>
      <c r="L277" s="20" t="s">
        <v>398</v>
      </c>
      <c r="M277" s="21" t="s">
        <v>18</v>
      </c>
      <c r="N277">
        <f t="shared" si="4"/>
        <v>3123</v>
      </c>
    </row>
    <row r="278" spans="1:14">
      <c r="A278" s="22" t="s">
        <v>216</v>
      </c>
      <c r="B278" s="18" t="s">
        <v>14</v>
      </c>
      <c r="C278" s="35">
        <v>45475</v>
      </c>
      <c r="D278" s="18" t="s">
        <v>15</v>
      </c>
      <c r="E278" s="18" t="s">
        <v>41</v>
      </c>
      <c r="F278" s="18">
        <v>3469</v>
      </c>
      <c r="G278" s="18">
        <v>371</v>
      </c>
      <c r="H278" s="18">
        <v>76</v>
      </c>
      <c r="I278" s="18">
        <v>46493</v>
      </c>
      <c r="J278" s="18">
        <v>26906</v>
      </c>
      <c r="K278" s="18">
        <v>150</v>
      </c>
      <c r="L278" s="18" t="s">
        <v>45</v>
      </c>
      <c r="M278" s="19" t="s">
        <v>18</v>
      </c>
      <c r="N278">
        <f t="shared" si="4"/>
        <v>3916</v>
      </c>
    </row>
    <row r="279" spans="1:14">
      <c r="A279" s="23" t="s">
        <v>216</v>
      </c>
      <c r="B279" s="20" t="s">
        <v>14</v>
      </c>
      <c r="C279" s="36">
        <v>45475</v>
      </c>
      <c r="D279" s="20" t="s">
        <v>15</v>
      </c>
      <c r="E279" s="20" t="s">
        <v>41</v>
      </c>
      <c r="F279" s="20">
        <v>3469</v>
      </c>
      <c r="G279" s="20">
        <v>371</v>
      </c>
      <c r="H279" s="20">
        <v>76</v>
      </c>
      <c r="I279" s="20">
        <v>46493</v>
      </c>
      <c r="J279" s="20">
        <v>26906</v>
      </c>
      <c r="K279" s="20">
        <v>150</v>
      </c>
      <c r="L279" s="20" t="s">
        <v>42</v>
      </c>
      <c r="M279" s="21" t="s">
        <v>18</v>
      </c>
      <c r="N279">
        <f t="shared" si="4"/>
        <v>3916</v>
      </c>
    </row>
    <row r="280" spans="1:14">
      <c r="A280" s="22" t="s">
        <v>217</v>
      </c>
      <c r="B280" s="18" t="s">
        <v>24</v>
      </c>
      <c r="C280" s="35">
        <v>45606</v>
      </c>
      <c r="D280" s="18" t="s">
        <v>15</v>
      </c>
      <c r="E280" s="18" t="s">
        <v>20</v>
      </c>
      <c r="F280" s="18">
        <v>4823</v>
      </c>
      <c r="G280" s="18">
        <v>489</v>
      </c>
      <c r="H280" s="18">
        <v>302</v>
      </c>
      <c r="I280" s="18">
        <v>32470</v>
      </c>
      <c r="J280" s="18">
        <v>31861</v>
      </c>
      <c r="K280" s="18">
        <v>178</v>
      </c>
      <c r="L280" s="18" t="s">
        <v>45</v>
      </c>
      <c r="M280" s="19" t="s">
        <v>22</v>
      </c>
      <c r="N280">
        <f t="shared" si="4"/>
        <v>5614</v>
      </c>
    </row>
    <row r="281" spans="1:14">
      <c r="A281" s="23" t="s">
        <v>218</v>
      </c>
      <c r="B281" s="20" t="s">
        <v>14</v>
      </c>
      <c r="C281" s="36">
        <v>45640</v>
      </c>
      <c r="D281" s="20" t="s">
        <v>25</v>
      </c>
      <c r="E281" s="20" t="s">
        <v>49</v>
      </c>
      <c r="F281" s="20">
        <v>3812</v>
      </c>
      <c r="G281" s="20">
        <v>321</v>
      </c>
      <c r="H281" s="20">
        <v>289</v>
      </c>
      <c r="I281" s="20">
        <v>59838</v>
      </c>
      <c r="J281" s="20">
        <v>36337</v>
      </c>
      <c r="K281" s="20">
        <v>161</v>
      </c>
      <c r="L281" s="20" t="s">
        <v>42</v>
      </c>
      <c r="M281" s="21" t="s">
        <v>55</v>
      </c>
      <c r="N281">
        <f t="shared" si="4"/>
        <v>4422</v>
      </c>
    </row>
    <row r="282" spans="1:14">
      <c r="A282" s="22" t="s">
        <v>219</v>
      </c>
      <c r="B282" s="18" t="s">
        <v>24</v>
      </c>
      <c r="C282" s="35">
        <v>45615</v>
      </c>
      <c r="D282" s="18" t="s">
        <v>15</v>
      </c>
      <c r="E282" s="18" t="s">
        <v>20</v>
      </c>
      <c r="F282" s="18">
        <v>2387</v>
      </c>
      <c r="G282" s="18">
        <v>353</v>
      </c>
      <c r="H282" s="18">
        <v>78</v>
      </c>
      <c r="I282" s="18">
        <v>39745</v>
      </c>
      <c r="J282" s="18">
        <v>69226</v>
      </c>
      <c r="K282" s="18">
        <v>208</v>
      </c>
      <c r="L282" s="18" t="s">
        <v>45</v>
      </c>
      <c r="M282" s="19" t="s">
        <v>22</v>
      </c>
      <c r="N282">
        <f t="shared" si="4"/>
        <v>2818</v>
      </c>
    </row>
    <row r="283" spans="1:14">
      <c r="A283" s="23" t="s">
        <v>220</v>
      </c>
      <c r="B283" s="20" t="s">
        <v>24</v>
      </c>
      <c r="C283" s="36">
        <v>45777</v>
      </c>
      <c r="D283" s="20" t="s">
        <v>25</v>
      </c>
      <c r="E283" s="20" t="s">
        <v>29</v>
      </c>
      <c r="F283" s="20">
        <v>3929</v>
      </c>
      <c r="G283" s="20">
        <v>275</v>
      </c>
      <c r="H283" s="20">
        <v>330</v>
      </c>
      <c r="I283" s="20">
        <v>58329</v>
      </c>
      <c r="J283" s="20">
        <v>33196</v>
      </c>
      <c r="K283" s="20">
        <v>85</v>
      </c>
      <c r="L283" s="20" t="s">
        <v>398</v>
      </c>
      <c r="M283" s="21" t="s">
        <v>18</v>
      </c>
      <c r="N283">
        <f t="shared" si="4"/>
        <v>4534</v>
      </c>
    </row>
    <row r="284" spans="1:14">
      <c r="A284" s="22" t="s">
        <v>220</v>
      </c>
      <c r="B284" s="18" t="s">
        <v>24</v>
      </c>
      <c r="C284" s="35">
        <v>45777</v>
      </c>
      <c r="D284" s="18" t="s">
        <v>25</v>
      </c>
      <c r="E284" s="18" t="s">
        <v>29</v>
      </c>
      <c r="F284" s="18">
        <v>3929</v>
      </c>
      <c r="G284" s="18">
        <v>275</v>
      </c>
      <c r="H284" s="18">
        <v>330</v>
      </c>
      <c r="I284" s="18">
        <v>58329</v>
      </c>
      <c r="J284" s="18">
        <v>33196</v>
      </c>
      <c r="K284" s="18">
        <v>85</v>
      </c>
      <c r="L284" s="18" t="s">
        <v>42</v>
      </c>
      <c r="M284" s="19" t="s">
        <v>18</v>
      </c>
      <c r="N284">
        <f t="shared" si="4"/>
        <v>4534</v>
      </c>
    </row>
    <row r="285" spans="1:14">
      <c r="A285" s="23" t="s">
        <v>221</v>
      </c>
      <c r="B285" s="20" t="s">
        <v>24</v>
      </c>
      <c r="C285" s="36">
        <v>45370</v>
      </c>
      <c r="D285" s="20" t="s">
        <v>15</v>
      </c>
      <c r="E285" s="20" t="s">
        <v>49</v>
      </c>
      <c r="F285" s="20">
        <v>2191</v>
      </c>
      <c r="G285" s="20">
        <v>288</v>
      </c>
      <c r="H285" s="20">
        <v>83</v>
      </c>
      <c r="I285" s="20">
        <v>59606</v>
      </c>
      <c r="J285" s="20">
        <v>24765</v>
      </c>
      <c r="K285" s="20">
        <v>281</v>
      </c>
      <c r="L285" s="20" t="s">
        <v>45</v>
      </c>
      <c r="M285" s="21" t="s">
        <v>22</v>
      </c>
      <c r="N285">
        <f t="shared" si="4"/>
        <v>2562</v>
      </c>
    </row>
    <row r="286" spans="1:14">
      <c r="A286" s="22" t="s">
        <v>222</v>
      </c>
      <c r="B286" s="18" t="s">
        <v>14</v>
      </c>
      <c r="C286" s="35">
        <v>45370</v>
      </c>
      <c r="D286" s="18" t="s">
        <v>15</v>
      </c>
      <c r="E286" s="18" t="s">
        <v>49</v>
      </c>
      <c r="F286" s="18">
        <v>2878</v>
      </c>
      <c r="G286" s="18">
        <v>278</v>
      </c>
      <c r="H286" s="18">
        <v>255</v>
      </c>
      <c r="I286" s="18">
        <v>47235</v>
      </c>
      <c r="J286" s="18">
        <v>57922</v>
      </c>
      <c r="K286" s="18">
        <v>112</v>
      </c>
      <c r="L286" s="18" t="s">
        <v>45</v>
      </c>
      <c r="M286" s="19" t="s">
        <v>18</v>
      </c>
      <c r="N286">
        <f t="shared" si="4"/>
        <v>3411</v>
      </c>
    </row>
    <row r="287" spans="1:14">
      <c r="A287" s="23" t="s">
        <v>222</v>
      </c>
      <c r="B287" s="20" t="s">
        <v>14</v>
      </c>
      <c r="C287" s="36">
        <v>45370</v>
      </c>
      <c r="D287" s="20" t="s">
        <v>15</v>
      </c>
      <c r="E287" s="20" t="s">
        <v>49</v>
      </c>
      <c r="F287" s="20">
        <v>2878</v>
      </c>
      <c r="G287" s="20">
        <v>278</v>
      </c>
      <c r="H287" s="20">
        <v>255</v>
      </c>
      <c r="I287" s="20">
        <v>47235</v>
      </c>
      <c r="J287" s="20">
        <v>57922</v>
      </c>
      <c r="K287" s="20">
        <v>112</v>
      </c>
      <c r="L287" s="20" t="s">
        <v>42</v>
      </c>
      <c r="M287" s="21" t="s">
        <v>18</v>
      </c>
      <c r="N287">
        <f t="shared" si="4"/>
        <v>3411</v>
      </c>
    </row>
    <row r="288" spans="1:14">
      <c r="A288" s="22" t="s">
        <v>223</v>
      </c>
      <c r="B288" s="18" t="s">
        <v>24</v>
      </c>
      <c r="C288" s="35">
        <v>45496</v>
      </c>
      <c r="D288" s="18" t="s">
        <v>15</v>
      </c>
      <c r="E288" s="18" t="s">
        <v>41</v>
      </c>
      <c r="F288" s="18">
        <v>3204</v>
      </c>
      <c r="G288" s="18">
        <v>398</v>
      </c>
      <c r="H288" s="18">
        <v>85</v>
      </c>
      <c r="I288" s="18">
        <v>22020</v>
      </c>
      <c r="J288" s="18">
        <v>58353</v>
      </c>
      <c r="K288" s="18">
        <v>286</v>
      </c>
      <c r="L288" s="18" t="s">
        <v>45</v>
      </c>
      <c r="M288" s="19" t="s">
        <v>22</v>
      </c>
      <c r="N288">
        <f t="shared" si="4"/>
        <v>3687</v>
      </c>
    </row>
    <row r="289" spans="1:14">
      <c r="A289" s="23" t="s">
        <v>224</v>
      </c>
      <c r="B289" s="20" t="s">
        <v>24</v>
      </c>
      <c r="C289" s="36">
        <v>45486</v>
      </c>
      <c r="D289" s="20" t="s">
        <v>25</v>
      </c>
      <c r="E289" s="20" t="s">
        <v>37</v>
      </c>
      <c r="F289" s="20">
        <v>2408</v>
      </c>
      <c r="G289" s="20">
        <v>323</v>
      </c>
      <c r="H289" s="20">
        <v>251</v>
      </c>
      <c r="I289" s="20">
        <v>47599</v>
      </c>
      <c r="J289" s="20">
        <v>35543</v>
      </c>
      <c r="K289" s="20">
        <v>287</v>
      </c>
      <c r="L289" s="20" t="s">
        <v>398</v>
      </c>
      <c r="M289" s="21" t="s">
        <v>18</v>
      </c>
      <c r="N289">
        <f t="shared" si="4"/>
        <v>2982</v>
      </c>
    </row>
    <row r="290" spans="1:14">
      <c r="A290" s="22" t="s">
        <v>224</v>
      </c>
      <c r="B290" s="18" t="s">
        <v>24</v>
      </c>
      <c r="C290" s="35">
        <v>45486</v>
      </c>
      <c r="D290" s="18" t="s">
        <v>25</v>
      </c>
      <c r="E290" s="18" t="s">
        <v>37</v>
      </c>
      <c r="F290" s="18">
        <v>2408</v>
      </c>
      <c r="G290" s="18">
        <v>323</v>
      </c>
      <c r="H290" s="18">
        <v>251</v>
      </c>
      <c r="I290" s="18">
        <v>47599</v>
      </c>
      <c r="J290" s="18">
        <v>35543</v>
      </c>
      <c r="K290" s="18">
        <v>287</v>
      </c>
      <c r="L290" s="18" t="s">
        <v>42</v>
      </c>
      <c r="M290" s="19" t="s">
        <v>18</v>
      </c>
      <c r="N290">
        <f t="shared" si="4"/>
        <v>2982</v>
      </c>
    </row>
    <row r="291" spans="1:14">
      <c r="A291" s="23" t="s">
        <v>225</v>
      </c>
      <c r="B291" s="20" t="s">
        <v>31</v>
      </c>
      <c r="C291" s="36">
        <v>45769</v>
      </c>
      <c r="D291" s="20" t="s">
        <v>57</v>
      </c>
      <c r="E291" s="20" t="s">
        <v>26</v>
      </c>
      <c r="F291" s="20">
        <v>2733</v>
      </c>
      <c r="G291" s="20">
        <v>297</v>
      </c>
      <c r="H291" s="20">
        <v>235</v>
      </c>
      <c r="I291" s="20">
        <v>37980</v>
      </c>
      <c r="J291" s="20">
        <v>33058</v>
      </c>
      <c r="K291" s="20">
        <v>219</v>
      </c>
      <c r="L291" s="20" t="s">
        <v>21</v>
      </c>
      <c r="M291" s="21" t="s">
        <v>59</v>
      </c>
      <c r="N291">
        <f t="shared" si="4"/>
        <v>3265</v>
      </c>
    </row>
    <row r="292" spans="1:14">
      <c r="A292" s="22" t="s">
        <v>225</v>
      </c>
      <c r="B292" s="18" t="s">
        <v>31</v>
      </c>
      <c r="C292" s="35">
        <v>45769</v>
      </c>
      <c r="D292" s="18" t="s">
        <v>57</v>
      </c>
      <c r="E292" s="18" t="s">
        <v>26</v>
      </c>
      <c r="F292" s="18">
        <v>2733</v>
      </c>
      <c r="G292" s="18">
        <v>297</v>
      </c>
      <c r="H292" s="18">
        <v>235</v>
      </c>
      <c r="I292" s="18">
        <v>37980</v>
      </c>
      <c r="J292" s="18">
        <v>33058</v>
      </c>
      <c r="K292" s="18">
        <v>219</v>
      </c>
      <c r="L292" s="18" t="s">
        <v>45</v>
      </c>
      <c r="M292" s="19" t="s">
        <v>59</v>
      </c>
      <c r="N292">
        <f t="shared" si="4"/>
        <v>3265</v>
      </c>
    </row>
    <row r="293" spans="1:14">
      <c r="A293" s="23" t="s">
        <v>226</v>
      </c>
      <c r="B293" s="20" t="s">
        <v>24</v>
      </c>
      <c r="C293" s="36">
        <v>45459</v>
      </c>
      <c r="D293" s="20" t="s">
        <v>25</v>
      </c>
      <c r="E293" s="20" t="s">
        <v>20</v>
      </c>
      <c r="F293" s="20">
        <v>4618</v>
      </c>
      <c r="G293" s="20">
        <v>312</v>
      </c>
      <c r="H293" s="20">
        <v>254</v>
      </c>
      <c r="I293" s="20">
        <v>22571</v>
      </c>
      <c r="J293" s="20">
        <v>29453</v>
      </c>
      <c r="K293" s="20">
        <v>197</v>
      </c>
      <c r="L293" s="20" t="s">
        <v>398</v>
      </c>
      <c r="M293" s="21" t="s">
        <v>18</v>
      </c>
      <c r="N293">
        <f t="shared" si="4"/>
        <v>5184</v>
      </c>
    </row>
    <row r="294" spans="1:14">
      <c r="A294" s="22" t="s">
        <v>226</v>
      </c>
      <c r="B294" s="18" t="s">
        <v>24</v>
      </c>
      <c r="C294" s="35">
        <v>45459</v>
      </c>
      <c r="D294" s="18" t="s">
        <v>25</v>
      </c>
      <c r="E294" s="18" t="s">
        <v>20</v>
      </c>
      <c r="F294" s="18">
        <v>4618</v>
      </c>
      <c r="G294" s="18">
        <v>312</v>
      </c>
      <c r="H294" s="18">
        <v>254</v>
      </c>
      <c r="I294" s="18">
        <v>22571</v>
      </c>
      <c r="J294" s="18">
        <v>29453</v>
      </c>
      <c r="K294" s="18">
        <v>197</v>
      </c>
      <c r="L294" s="18" t="s">
        <v>42</v>
      </c>
      <c r="M294" s="19" t="s">
        <v>18</v>
      </c>
      <c r="N294">
        <f t="shared" si="4"/>
        <v>5184</v>
      </c>
    </row>
    <row r="295" spans="1:14">
      <c r="A295" s="23" t="s">
        <v>227</v>
      </c>
      <c r="B295" s="20" t="s">
        <v>31</v>
      </c>
      <c r="C295" s="36">
        <v>45795</v>
      </c>
      <c r="D295" s="20" t="s">
        <v>57</v>
      </c>
      <c r="E295" s="20" t="s">
        <v>29</v>
      </c>
      <c r="F295" s="20">
        <v>4210</v>
      </c>
      <c r="G295" s="20">
        <v>319</v>
      </c>
      <c r="H295" s="20">
        <v>350</v>
      </c>
      <c r="I295" s="20">
        <v>37762</v>
      </c>
      <c r="J295" s="20">
        <v>55162</v>
      </c>
      <c r="K295" s="20">
        <v>204</v>
      </c>
      <c r="L295" s="20" t="s">
        <v>21</v>
      </c>
      <c r="M295" s="21" t="s">
        <v>59</v>
      </c>
      <c r="N295">
        <f t="shared" si="4"/>
        <v>4879</v>
      </c>
    </row>
    <row r="296" spans="1:14">
      <c r="A296" s="22" t="s">
        <v>227</v>
      </c>
      <c r="B296" s="18" t="s">
        <v>31</v>
      </c>
      <c r="C296" s="35">
        <v>45795</v>
      </c>
      <c r="D296" s="18" t="s">
        <v>57</v>
      </c>
      <c r="E296" s="18" t="s">
        <v>29</v>
      </c>
      <c r="F296" s="18">
        <v>4210</v>
      </c>
      <c r="G296" s="18">
        <v>319</v>
      </c>
      <c r="H296" s="18">
        <v>350</v>
      </c>
      <c r="I296" s="18">
        <v>37762</v>
      </c>
      <c r="J296" s="18">
        <v>55162</v>
      </c>
      <c r="K296" s="18">
        <v>204</v>
      </c>
      <c r="L296" s="18" t="s">
        <v>45</v>
      </c>
      <c r="M296" s="19" t="s">
        <v>59</v>
      </c>
      <c r="N296">
        <f t="shared" si="4"/>
        <v>4879</v>
      </c>
    </row>
    <row r="297" spans="1:14">
      <c r="A297" s="23" t="s">
        <v>228</v>
      </c>
      <c r="B297" s="20" t="s">
        <v>14</v>
      </c>
      <c r="C297" s="36">
        <v>45814</v>
      </c>
      <c r="D297" s="20" t="s">
        <v>15</v>
      </c>
      <c r="E297" s="20" t="s">
        <v>29</v>
      </c>
      <c r="F297" s="20">
        <v>3987</v>
      </c>
      <c r="G297" s="20">
        <v>171</v>
      </c>
      <c r="H297" s="20">
        <v>274</v>
      </c>
      <c r="I297" s="20">
        <v>45122</v>
      </c>
      <c r="J297" s="20">
        <v>65431</v>
      </c>
      <c r="K297" s="20">
        <v>168</v>
      </c>
      <c r="L297" s="20" t="s">
        <v>21</v>
      </c>
      <c r="M297" s="21" t="s">
        <v>22</v>
      </c>
      <c r="N297">
        <f t="shared" si="4"/>
        <v>4432</v>
      </c>
    </row>
    <row r="298" spans="1:14">
      <c r="A298" s="22" t="s">
        <v>229</v>
      </c>
      <c r="B298" s="18" t="s">
        <v>31</v>
      </c>
      <c r="C298" s="35">
        <v>45708</v>
      </c>
      <c r="D298" s="18" t="s">
        <v>57</v>
      </c>
      <c r="E298" s="18" t="s">
        <v>37</v>
      </c>
      <c r="F298" s="18">
        <v>4957</v>
      </c>
      <c r="G298" s="18">
        <v>262</v>
      </c>
      <c r="H298" s="18">
        <v>365</v>
      </c>
      <c r="I298" s="18">
        <v>49199</v>
      </c>
      <c r="J298" s="18">
        <v>40314</v>
      </c>
      <c r="K298" s="18">
        <v>216</v>
      </c>
      <c r="L298" s="18" t="s">
        <v>21</v>
      </c>
      <c r="M298" s="19" t="s">
        <v>59</v>
      </c>
      <c r="N298">
        <f t="shared" si="4"/>
        <v>5584</v>
      </c>
    </row>
    <row r="299" spans="1:14">
      <c r="A299" s="23" t="s">
        <v>229</v>
      </c>
      <c r="B299" s="20" t="s">
        <v>31</v>
      </c>
      <c r="C299" s="36">
        <v>45708</v>
      </c>
      <c r="D299" s="20" t="s">
        <v>57</v>
      </c>
      <c r="E299" s="20" t="s">
        <v>37</v>
      </c>
      <c r="F299" s="20">
        <v>4957</v>
      </c>
      <c r="G299" s="20">
        <v>262</v>
      </c>
      <c r="H299" s="20">
        <v>365</v>
      </c>
      <c r="I299" s="20">
        <v>49199</v>
      </c>
      <c r="J299" s="20">
        <v>40314</v>
      </c>
      <c r="K299" s="20">
        <v>216</v>
      </c>
      <c r="L299" s="20" t="s">
        <v>45</v>
      </c>
      <c r="M299" s="21" t="s">
        <v>59</v>
      </c>
      <c r="N299">
        <f t="shared" si="4"/>
        <v>5584</v>
      </c>
    </row>
    <row r="300" spans="1:14">
      <c r="A300" s="22" t="s">
        <v>230</v>
      </c>
      <c r="B300" s="18" t="s">
        <v>14</v>
      </c>
      <c r="C300" s="35">
        <v>45673</v>
      </c>
      <c r="D300" s="18" t="s">
        <v>15</v>
      </c>
      <c r="E300" s="18" t="s">
        <v>32</v>
      </c>
      <c r="F300" s="18">
        <v>2605</v>
      </c>
      <c r="G300" s="18">
        <v>282</v>
      </c>
      <c r="H300" s="18">
        <v>148</v>
      </c>
      <c r="I300" s="18">
        <v>32201</v>
      </c>
      <c r="J300" s="18">
        <v>49583</v>
      </c>
      <c r="K300" s="18">
        <v>241</v>
      </c>
      <c r="L300" s="18" t="s">
        <v>45</v>
      </c>
      <c r="M300" s="19" t="s">
        <v>18</v>
      </c>
      <c r="N300">
        <f t="shared" si="4"/>
        <v>3035</v>
      </c>
    </row>
    <row r="301" spans="1:14">
      <c r="A301" s="23" t="s">
        <v>230</v>
      </c>
      <c r="B301" s="20" t="s">
        <v>14</v>
      </c>
      <c r="C301" s="36">
        <v>45673</v>
      </c>
      <c r="D301" s="20" t="s">
        <v>15</v>
      </c>
      <c r="E301" s="20" t="s">
        <v>32</v>
      </c>
      <c r="F301" s="20">
        <v>2605</v>
      </c>
      <c r="G301" s="20">
        <v>282</v>
      </c>
      <c r="H301" s="20">
        <v>148</v>
      </c>
      <c r="I301" s="20">
        <v>32201</v>
      </c>
      <c r="J301" s="20">
        <v>49583</v>
      </c>
      <c r="K301" s="20">
        <v>241</v>
      </c>
      <c r="L301" s="20" t="s">
        <v>42</v>
      </c>
      <c r="M301" s="21" t="s">
        <v>18</v>
      </c>
      <c r="N301">
        <f t="shared" si="4"/>
        <v>3035</v>
      </c>
    </row>
    <row r="302" spans="1:14">
      <c r="A302" s="22" t="s">
        <v>231</v>
      </c>
      <c r="B302" s="18" t="s">
        <v>31</v>
      </c>
      <c r="C302" s="35">
        <v>45346</v>
      </c>
      <c r="D302" s="18" t="s">
        <v>57</v>
      </c>
      <c r="E302" s="18" t="s">
        <v>16</v>
      </c>
      <c r="F302" s="18">
        <v>4221</v>
      </c>
      <c r="G302" s="18">
        <v>307</v>
      </c>
      <c r="H302" s="18">
        <v>58</v>
      </c>
      <c r="I302" s="18">
        <v>45080</v>
      </c>
      <c r="J302" s="18">
        <v>37214</v>
      </c>
      <c r="K302" s="18">
        <v>240</v>
      </c>
      <c r="L302" s="18" t="s">
        <v>21</v>
      </c>
      <c r="M302" s="19" t="s">
        <v>59</v>
      </c>
      <c r="N302">
        <f t="shared" si="4"/>
        <v>4586</v>
      </c>
    </row>
    <row r="303" spans="1:14">
      <c r="A303" s="13" t="s">
        <v>231</v>
      </c>
      <c r="B303" s="14" t="s">
        <v>31</v>
      </c>
      <c r="C303" s="36">
        <v>45346</v>
      </c>
      <c r="D303" s="14" t="s">
        <v>57</v>
      </c>
      <c r="E303" s="14" t="s">
        <v>16</v>
      </c>
      <c r="F303" s="14">
        <v>4221</v>
      </c>
      <c r="G303" s="14">
        <v>307</v>
      </c>
      <c r="H303" s="14">
        <v>58</v>
      </c>
      <c r="I303" s="14">
        <v>45080</v>
      </c>
      <c r="J303" s="14">
        <v>37214</v>
      </c>
      <c r="K303" s="14">
        <v>240</v>
      </c>
      <c r="L303" s="14" t="s">
        <v>45</v>
      </c>
      <c r="M303" s="17" t="s">
        <v>59</v>
      </c>
      <c r="N303">
        <f t="shared" si="4"/>
        <v>4586</v>
      </c>
    </row>
    <row r="304" spans="1:14">
      <c r="A304" s="11" t="s">
        <v>232</v>
      </c>
      <c r="B304" s="12" t="s">
        <v>24</v>
      </c>
      <c r="C304" s="35">
        <v>45551</v>
      </c>
      <c r="D304" s="12" t="s">
        <v>25</v>
      </c>
      <c r="E304" s="12" t="s">
        <v>35</v>
      </c>
      <c r="F304" s="12">
        <v>4422</v>
      </c>
      <c r="G304" s="12">
        <v>434</v>
      </c>
      <c r="H304" s="12">
        <v>156</v>
      </c>
      <c r="I304" s="12">
        <v>56165</v>
      </c>
      <c r="J304" s="12">
        <v>52431</v>
      </c>
      <c r="K304" s="12">
        <v>173</v>
      </c>
      <c r="L304" s="12" t="s">
        <v>21</v>
      </c>
      <c r="M304" s="16" t="s">
        <v>18</v>
      </c>
      <c r="N304">
        <f t="shared" si="4"/>
        <v>5012</v>
      </c>
    </row>
    <row r="305" spans="1:14">
      <c r="A305" s="13" t="s">
        <v>232</v>
      </c>
      <c r="B305" s="14" t="s">
        <v>24</v>
      </c>
      <c r="C305" s="36">
        <v>45551</v>
      </c>
      <c r="D305" s="14" t="s">
        <v>25</v>
      </c>
      <c r="E305" s="14" t="s">
        <v>35</v>
      </c>
      <c r="F305" s="14">
        <v>4422</v>
      </c>
      <c r="G305" s="14">
        <v>434</v>
      </c>
      <c r="H305" s="14">
        <v>156</v>
      </c>
      <c r="I305" s="14">
        <v>56165</v>
      </c>
      <c r="J305" s="14">
        <v>52431</v>
      </c>
      <c r="K305" s="14">
        <v>173</v>
      </c>
      <c r="L305" s="14" t="s">
        <v>398</v>
      </c>
      <c r="M305" s="17" t="s">
        <v>18</v>
      </c>
      <c r="N305">
        <f t="shared" si="4"/>
        <v>5012</v>
      </c>
    </row>
    <row r="306" spans="1:14">
      <c r="A306" s="11" t="s">
        <v>233</v>
      </c>
      <c r="B306" s="12" t="s">
        <v>31</v>
      </c>
      <c r="C306" s="35">
        <v>45447</v>
      </c>
      <c r="D306" s="12" t="s">
        <v>57</v>
      </c>
      <c r="E306" s="12" t="s">
        <v>29</v>
      </c>
      <c r="F306" s="12">
        <v>1211</v>
      </c>
      <c r="G306" s="12">
        <v>431</v>
      </c>
      <c r="H306" s="12">
        <v>83</v>
      </c>
      <c r="I306" s="12">
        <v>26532</v>
      </c>
      <c r="J306" s="12">
        <v>47305</v>
      </c>
      <c r="K306" s="12">
        <v>232</v>
      </c>
      <c r="L306" s="12" t="s">
        <v>21</v>
      </c>
      <c r="M306" s="16" t="s">
        <v>59</v>
      </c>
      <c r="N306">
        <f t="shared" si="4"/>
        <v>1725</v>
      </c>
    </row>
    <row r="307" spans="1:14">
      <c r="A307" s="13" t="s">
        <v>233</v>
      </c>
      <c r="B307" s="14" t="s">
        <v>31</v>
      </c>
      <c r="C307" s="36">
        <v>45447</v>
      </c>
      <c r="D307" s="14" t="s">
        <v>57</v>
      </c>
      <c r="E307" s="14" t="s">
        <v>29</v>
      </c>
      <c r="F307" s="14">
        <v>1211</v>
      </c>
      <c r="G307" s="14">
        <v>431</v>
      </c>
      <c r="H307" s="14">
        <v>83</v>
      </c>
      <c r="I307" s="14">
        <v>26532</v>
      </c>
      <c r="J307" s="14">
        <v>47305</v>
      </c>
      <c r="K307" s="14">
        <v>232</v>
      </c>
      <c r="L307" s="14" t="s">
        <v>45</v>
      </c>
      <c r="M307" s="17" t="s">
        <v>59</v>
      </c>
      <c r="N307">
        <f t="shared" si="4"/>
        <v>1725</v>
      </c>
    </row>
    <row r="308" spans="1:14">
      <c r="A308" s="11" t="s">
        <v>234</v>
      </c>
      <c r="B308" s="12" t="s">
        <v>24</v>
      </c>
      <c r="C308" s="35">
        <v>45422</v>
      </c>
      <c r="D308" s="12" t="s">
        <v>25</v>
      </c>
      <c r="E308" s="12" t="s">
        <v>20</v>
      </c>
      <c r="F308" s="12">
        <v>2784</v>
      </c>
      <c r="G308" s="12">
        <v>111</v>
      </c>
      <c r="H308" s="12">
        <v>399</v>
      </c>
      <c r="I308" s="12">
        <v>58366</v>
      </c>
      <c r="J308" s="12">
        <v>69512</v>
      </c>
      <c r="K308" s="12">
        <v>269</v>
      </c>
      <c r="L308" s="12" t="s">
        <v>398</v>
      </c>
      <c r="M308" s="16" t="s">
        <v>18</v>
      </c>
      <c r="N308">
        <f t="shared" si="4"/>
        <v>3294</v>
      </c>
    </row>
    <row r="309" spans="1:14">
      <c r="A309" s="13" t="s">
        <v>234</v>
      </c>
      <c r="B309" s="14" t="s">
        <v>24</v>
      </c>
      <c r="C309" s="36">
        <v>45422</v>
      </c>
      <c r="D309" s="14" t="s">
        <v>25</v>
      </c>
      <c r="E309" s="14" t="s">
        <v>20</v>
      </c>
      <c r="F309" s="14">
        <v>2784</v>
      </c>
      <c r="G309" s="14">
        <v>111</v>
      </c>
      <c r="H309" s="14">
        <v>399</v>
      </c>
      <c r="I309" s="14">
        <v>58366</v>
      </c>
      <c r="J309" s="14">
        <v>69512</v>
      </c>
      <c r="K309" s="14">
        <v>269</v>
      </c>
      <c r="L309" s="14" t="s">
        <v>42</v>
      </c>
      <c r="M309" s="17" t="s">
        <v>18</v>
      </c>
      <c r="N309">
        <f t="shared" si="4"/>
        <v>3294</v>
      </c>
    </row>
    <row r="310" spans="1:14">
      <c r="A310" s="11" t="s">
        <v>235</v>
      </c>
      <c r="B310" s="12" t="s">
        <v>31</v>
      </c>
      <c r="C310" s="35">
        <v>45305</v>
      </c>
      <c r="D310" s="12" t="s">
        <v>15</v>
      </c>
      <c r="E310" s="12" t="s">
        <v>26</v>
      </c>
      <c r="F310" s="12">
        <v>3634</v>
      </c>
      <c r="G310" s="12">
        <v>280</v>
      </c>
      <c r="H310" s="12">
        <v>399</v>
      </c>
      <c r="I310" s="12">
        <v>40256</v>
      </c>
      <c r="J310" s="12">
        <v>52605</v>
      </c>
      <c r="K310" s="12">
        <v>213</v>
      </c>
      <c r="L310" s="12" t="s">
        <v>21</v>
      </c>
      <c r="M310" s="16" t="s">
        <v>22</v>
      </c>
      <c r="N310">
        <f t="shared" si="4"/>
        <v>4313</v>
      </c>
    </row>
    <row r="311" spans="1:14">
      <c r="A311" s="13" t="s">
        <v>235</v>
      </c>
      <c r="B311" s="14" t="s">
        <v>31</v>
      </c>
      <c r="C311" s="36">
        <v>45305</v>
      </c>
      <c r="D311" s="14" t="s">
        <v>15</v>
      </c>
      <c r="E311" s="14" t="s">
        <v>26</v>
      </c>
      <c r="F311" s="14">
        <v>3634</v>
      </c>
      <c r="G311" s="14">
        <v>280</v>
      </c>
      <c r="H311" s="14">
        <v>399</v>
      </c>
      <c r="I311" s="14">
        <v>40256</v>
      </c>
      <c r="J311" s="14">
        <v>52605</v>
      </c>
      <c r="K311" s="14">
        <v>213</v>
      </c>
      <c r="L311" s="14" t="s">
        <v>399</v>
      </c>
      <c r="M311" s="17" t="s">
        <v>22</v>
      </c>
      <c r="N311">
        <f t="shared" si="4"/>
        <v>4313</v>
      </c>
    </row>
    <row r="312" spans="1:14">
      <c r="A312" s="11" t="s">
        <v>236</v>
      </c>
      <c r="B312" s="12" t="s">
        <v>14</v>
      </c>
      <c r="C312" s="35">
        <v>45669</v>
      </c>
      <c r="D312" s="12" t="s">
        <v>15</v>
      </c>
      <c r="E312" s="12" t="s">
        <v>49</v>
      </c>
      <c r="F312" s="12">
        <v>1771</v>
      </c>
      <c r="G312" s="12">
        <v>487</v>
      </c>
      <c r="H312" s="12">
        <v>272</v>
      </c>
      <c r="I312" s="12">
        <v>48810</v>
      </c>
      <c r="J312" s="12">
        <v>48084</v>
      </c>
      <c r="K312" s="12">
        <v>272</v>
      </c>
      <c r="L312" s="12" t="s">
        <v>45</v>
      </c>
      <c r="M312" s="16" t="s">
        <v>18</v>
      </c>
      <c r="N312">
        <f t="shared" si="4"/>
        <v>2530</v>
      </c>
    </row>
    <row r="313" spans="1:14">
      <c r="A313" s="13" t="s">
        <v>236</v>
      </c>
      <c r="B313" s="14" t="s">
        <v>14</v>
      </c>
      <c r="C313" s="36">
        <v>45669</v>
      </c>
      <c r="D313" s="14" t="s">
        <v>15</v>
      </c>
      <c r="E313" s="14" t="s">
        <v>49</v>
      </c>
      <c r="F313" s="14">
        <v>1771</v>
      </c>
      <c r="G313" s="14">
        <v>487</v>
      </c>
      <c r="H313" s="14">
        <v>272</v>
      </c>
      <c r="I313" s="14">
        <v>48810</v>
      </c>
      <c r="J313" s="14">
        <v>48084</v>
      </c>
      <c r="K313" s="14">
        <v>272</v>
      </c>
      <c r="L313" s="14" t="s">
        <v>42</v>
      </c>
      <c r="M313" s="17" t="s">
        <v>18</v>
      </c>
      <c r="N313">
        <f t="shared" si="4"/>
        <v>2530</v>
      </c>
    </row>
    <row r="314" spans="1:14">
      <c r="A314" s="11" t="s">
        <v>237</v>
      </c>
      <c r="B314" s="12" t="s">
        <v>31</v>
      </c>
      <c r="C314" s="35">
        <v>45634</v>
      </c>
      <c r="D314" s="12" t="s">
        <v>15</v>
      </c>
      <c r="E314" s="12" t="s">
        <v>41</v>
      </c>
      <c r="F314" s="12">
        <v>1424</v>
      </c>
      <c r="G314" s="12">
        <v>396</v>
      </c>
      <c r="H314" s="12">
        <v>312</v>
      </c>
      <c r="I314" s="12">
        <v>59517</v>
      </c>
      <c r="J314" s="12">
        <v>46102</v>
      </c>
      <c r="K314" s="12">
        <v>239</v>
      </c>
      <c r="L314" s="12" t="s">
        <v>21</v>
      </c>
      <c r="M314" s="16" t="s">
        <v>22</v>
      </c>
      <c r="N314">
        <f t="shared" si="4"/>
        <v>2132</v>
      </c>
    </row>
    <row r="315" spans="1:14">
      <c r="A315" s="13" t="s">
        <v>237</v>
      </c>
      <c r="B315" s="14" t="s">
        <v>31</v>
      </c>
      <c r="C315" s="36">
        <v>45634</v>
      </c>
      <c r="D315" s="14" t="s">
        <v>15</v>
      </c>
      <c r="E315" s="14" t="s">
        <v>41</v>
      </c>
      <c r="F315" s="14">
        <v>1424</v>
      </c>
      <c r="G315" s="14">
        <v>396</v>
      </c>
      <c r="H315" s="14">
        <v>312</v>
      </c>
      <c r="I315" s="14">
        <v>59517</v>
      </c>
      <c r="J315" s="14">
        <v>46102</v>
      </c>
      <c r="K315" s="14">
        <v>239</v>
      </c>
      <c r="L315" s="14" t="s">
        <v>399</v>
      </c>
      <c r="M315" s="17" t="s">
        <v>22</v>
      </c>
      <c r="N315">
        <f t="shared" si="4"/>
        <v>2132</v>
      </c>
    </row>
    <row r="316" spans="1:14">
      <c r="A316" s="11" t="s">
        <v>238</v>
      </c>
      <c r="B316" s="12" t="s">
        <v>24</v>
      </c>
      <c r="C316" s="35">
        <v>45689</v>
      </c>
      <c r="D316" s="12" t="s">
        <v>25</v>
      </c>
      <c r="E316" s="12" t="s">
        <v>41</v>
      </c>
      <c r="F316" s="12">
        <v>1079</v>
      </c>
      <c r="G316" s="12">
        <v>265</v>
      </c>
      <c r="H316" s="12">
        <v>190</v>
      </c>
      <c r="I316" s="12">
        <v>43786</v>
      </c>
      <c r="J316" s="12">
        <v>72428</v>
      </c>
      <c r="K316" s="12">
        <v>222</v>
      </c>
      <c r="L316" s="12" t="s">
        <v>45</v>
      </c>
      <c r="M316" s="16" t="s">
        <v>18</v>
      </c>
      <c r="N316">
        <f t="shared" si="4"/>
        <v>1534</v>
      </c>
    </row>
    <row r="317" spans="1:14">
      <c r="A317" s="13" t="s">
        <v>238</v>
      </c>
      <c r="B317" s="14" t="s">
        <v>24</v>
      </c>
      <c r="C317" s="36">
        <v>45689</v>
      </c>
      <c r="D317" s="14" t="s">
        <v>25</v>
      </c>
      <c r="E317" s="14" t="s">
        <v>41</v>
      </c>
      <c r="F317" s="14">
        <v>1079</v>
      </c>
      <c r="G317" s="14">
        <v>265</v>
      </c>
      <c r="H317" s="14">
        <v>190</v>
      </c>
      <c r="I317" s="14">
        <v>43786</v>
      </c>
      <c r="J317" s="14">
        <v>72428</v>
      </c>
      <c r="K317" s="14">
        <v>222</v>
      </c>
      <c r="L317" s="14" t="s">
        <v>42</v>
      </c>
      <c r="M317" s="17" t="s">
        <v>18</v>
      </c>
      <c r="N317">
        <f t="shared" si="4"/>
        <v>1534</v>
      </c>
    </row>
    <row r="318" spans="1:14">
      <c r="A318" s="11" t="s">
        <v>239</v>
      </c>
      <c r="B318" s="12" t="s">
        <v>24</v>
      </c>
      <c r="C318" s="35">
        <v>45484</v>
      </c>
      <c r="D318" s="12" t="s">
        <v>25</v>
      </c>
      <c r="E318" s="12" t="s">
        <v>37</v>
      </c>
      <c r="F318" s="12">
        <v>4247</v>
      </c>
      <c r="G318" s="12">
        <v>179</v>
      </c>
      <c r="H318" s="12">
        <v>175</v>
      </c>
      <c r="I318" s="12">
        <v>32991</v>
      </c>
      <c r="J318" s="12">
        <v>70120</v>
      </c>
      <c r="K318" s="12">
        <v>276</v>
      </c>
      <c r="L318" s="12" t="s">
        <v>45</v>
      </c>
      <c r="M318" s="16" t="s">
        <v>18</v>
      </c>
      <c r="N318">
        <f t="shared" si="4"/>
        <v>4601</v>
      </c>
    </row>
    <row r="319" spans="1:14">
      <c r="A319" s="13" t="s">
        <v>239</v>
      </c>
      <c r="B319" s="14" t="s">
        <v>24</v>
      </c>
      <c r="C319" s="36">
        <v>45484</v>
      </c>
      <c r="D319" s="14" t="s">
        <v>25</v>
      </c>
      <c r="E319" s="14" t="s">
        <v>37</v>
      </c>
      <c r="F319" s="14">
        <v>4247</v>
      </c>
      <c r="G319" s="14">
        <v>179</v>
      </c>
      <c r="H319" s="14">
        <v>175</v>
      </c>
      <c r="I319" s="14">
        <v>32991</v>
      </c>
      <c r="J319" s="14">
        <v>70120</v>
      </c>
      <c r="K319" s="14">
        <v>276</v>
      </c>
      <c r="L319" s="14" t="s">
        <v>42</v>
      </c>
      <c r="M319" s="17" t="s">
        <v>18</v>
      </c>
      <c r="N319">
        <f t="shared" si="4"/>
        <v>4601</v>
      </c>
    </row>
    <row r="320" spans="1:14">
      <c r="A320" s="11" t="s">
        <v>240</v>
      </c>
      <c r="B320" s="12" t="s">
        <v>24</v>
      </c>
      <c r="C320" s="35">
        <v>45369</v>
      </c>
      <c r="D320" s="12" t="s">
        <v>15</v>
      </c>
      <c r="E320" s="12" t="s">
        <v>26</v>
      </c>
      <c r="F320" s="12">
        <v>2033</v>
      </c>
      <c r="G320" s="12">
        <v>420</v>
      </c>
      <c r="H320" s="12">
        <v>94</v>
      </c>
      <c r="I320" s="12">
        <v>56290</v>
      </c>
      <c r="J320" s="12">
        <v>57391</v>
      </c>
      <c r="K320" s="12">
        <v>196</v>
      </c>
      <c r="L320" s="12" t="s">
        <v>42</v>
      </c>
      <c r="M320" s="16" t="s">
        <v>18</v>
      </c>
      <c r="N320">
        <f t="shared" si="4"/>
        <v>2547</v>
      </c>
    </row>
    <row r="321" spans="1:14">
      <c r="A321" s="13" t="s">
        <v>241</v>
      </c>
      <c r="B321" s="14" t="s">
        <v>24</v>
      </c>
      <c r="C321" s="36">
        <v>45547</v>
      </c>
      <c r="D321" s="14" t="s">
        <v>25</v>
      </c>
      <c r="E321" s="14" t="s">
        <v>29</v>
      </c>
      <c r="F321" s="14">
        <v>1839</v>
      </c>
      <c r="G321" s="14">
        <v>223</v>
      </c>
      <c r="H321" s="14">
        <v>171</v>
      </c>
      <c r="I321" s="14">
        <v>35459</v>
      </c>
      <c r="J321" s="14">
        <v>69988</v>
      </c>
      <c r="K321" s="14">
        <v>114</v>
      </c>
      <c r="L321" s="14" t="s">
        <v>398</v>
      </c>
      <c r="M321" s="17" t="s">
        <v>18</v>
      </c>
      <c r="N321">
        <f t="shared" si="4"/>
        <v>2233</v>
      </c>
    </row>
    <row r="322" spans="1:14">
      <c r="A322" s="11" t="s">
        <v>241</v>
      </c>
      <c r="B322" s="12" t="s">
        <v>24</v>
      </c>
      <c r="C322" s="35">
        <v>45547</v>
      </c>
      <c r="D322" s="12" t="s">
        <v>25</v>
      </c>
      <c r="E322" s="12" t="s">
        <v>29</v>
      </c>
      <c r="F322" s="12">
        <v>1839</v>
      </c>
      <c r="G322" s="12">
        <v>223</v>
      </c>
      <c r="H322" s="12">
        <v>171</v>
      </c>
      <c r="I322" s="12">
        <v>35459</v>
      </c>
      <c r="J322" s="12">
        <v>69988</v>
      </c>
      <c r="K322" s="12">
        <v>114</v>
      </c>
      <c r="L322" s="12" t="s">
        <v>42</v>
      </c>
      <c r="M322" s="16" t="s">
        <v>18</v>
      </c>
      <c r="N322">
        <f t="shared" si="4"/>
        <v>2233</v>
      </c>
    </row>
    <row r="323" spans="1:14">
      <c r="A323" s="13" t="s">
        <v>242</v>
      </c>
      <c r="B323" s="14" t="s">
        <v>24</v>
      </c>
      <c r="C323" s="36">
        <v>45302</v>
      </c>
      <c r="D323" s="14" t="s">
        <v>25</v>
      </c>
      <c r="E323" s="14" t="s">
        <v>29</v>
      </c>
      <c r="F323" s="14">
        <v>2340</v>
      </c>
      <c r="G323" s="14">
        <v>141</v>
      </c>
      <c r="H323" s="14">
        <v>206</v>
      </c>
      <c r="I323" s="14">
        <v>24916</v>
      </c>
      <c r="J323" s="14">
        <v>30582</v>
      </c>
      <c r="K323" s="14">
        <v>157</v>
      </c>
      <c r="L323" s="14" t="s">
        <v>45</v>
      </c>
      <c r="M323" s="17" t="s">
        <v>18</v>
      </c>
      <c r="N323">
        <f t="shared" ref="N323:N386" si="5">F323+G323+H323</f>
        <v>2687</v>
      </c>
    </row>
    <row r="324" spans="1:14">
      <c r="A324" s="11" t="s">
        <v>242</v>
      </c>
      <c r="B324" s="12" t="s">
        <v>24</v>
      </c>
      <c r="C324" s="35">
        <v>45302</v>
      </c>
      <c r="D324" s="12" t="s">
        <v>25</v>
      </c>
      <c r="E324" s="12" t="s">
        <v>29</v>
      </c>
      <c r="F324" s="12">
        <v>2340</v>
      </c>
      <c r="G324" s="12">
        <v>141</v>
      </c>
      <c r="H324" s="12">
        <v>206</v>
      </c>
      <c r="I324" s="12">
        <v>24916</v>
      </c>
      <c r="J324" s="12">
        <v>30582</v>
      </c>
      <c r="K324" s="12">
        <v>157</v>
      </c>
      <c r="L324" s="12" t="s">
        <v>42</v>
      </c>
      <c r="M324" s="16" t="s">
        <v>18</v>
      </c>
      <c r="N324">
        <f t="shared" si="5"/>
        <v>2687</v>
      </c>
    </row>
    <row r="325" spans="1:14">
      <c r="A325" s="13" t="s">
        <v>243</v>
      </c>
      <c r="B325" s="14" t="s">
        <v>14</v>
      </c>
      <c r="C325" s="36">
        <v>45571</v>
      </c>
      <c r="D325" s="14" t="s">
        <v>15</v>
      </c>
      <c r="E325" s="14" t="s">
        <v>41</v>
      </c>
      <c r="F325" s="14">
        <v>2080</v>
      </c>
      <c r="G325" s="14">
        <v>389</v>
      </c>
      <c r="H325" s="14">
        <v>92</v>
      </c>
      <c r="I325" s="14">
        <v>30971</v>
      </c>
      <c r="J325" s="14">
        <v>25347</v>
      </c>
      <c r="K325" s="14">
        <v>111</v>
      </c>
      <c r="L325" s="14" t="s">
        <v>21</v>
      </c>
      <c r="M325" s="17" t="s">
        <v>22</v>
      </c>
      <c r="N325">
        <f t="shared" si="5"/>
        <v>2561</v>
      </c>
    </row>
    <row r="326" spans="1:14">
      <c r="A326" s="11" t="s">
        <v>244</v>
      </c>
      <c r="B326" s="12" t="s">
        <v>24</v>
      </c>
      <c r="C326" s="35">
        <v>45656</v>
      </c>
      <c r="D326" s="12" t="s">
        <v>15</v>
      </c>
      <c r="E326" s="12" t="s">
        <v>37</v>
      </c>
      <c r="F326" s="12">
        <v>4214</v>
      </c>
      <c r="G326" s="12">
        <v>286</v>
      </c>
      <c r="H326" s="12">
        <v>127</v>
      </c>
      <c r="I326" s="12">
        <v>47293</v>
      </c>
      <c r="J326" s="12">
        <v>27184</v>
      </c>
      <c r="K326" s="12">
        <v>232</v>
      </c>
      <c r="L326" s="12" t="s">
        <v>42</v>
      </c>
      <c r="M326" s="16" t="s">
        <v>18</v>
      </c>
      <c r="N326">
        <f t="shared" si="5"/>
        <v>4627</v>
      </c>
    </row>
    <row r="327" spans="1:14">
      <c r="A327" s="13" t="s">
        <v>245</v>
      </c>
      <c r="B327" s="14" t="s">
        <v>24</v>
      </c>
      <c r="C327" s="36">
        <v>45763</v>
      </c>
      <c r="D327" s="14" t="s">
        <v>15</v>
      </c>
      <c r="E327" s="14" t="s">
        <v>29</v>
      </c>
      <c r="F327" s="14">
        <v>3792</v>
      </c>
      <c r="G327" s="14">
        <v>315</v>
      </c>
      <c r="H327" s="14">
        <v>120</v>
      </c>
      <c r="I327" s="14">
        <v>54592</v>
      </c>
      <c r="J327" s="14">
        <v>67886</v>
      </c>
      <c r="K327" s="14">
        <v>117</v>
      </c>
      <c r="L327" s="14" t="s">
        <v>45</v>
      </c>
      <c r="M327" s="17" t="s">
        <v>22</v>
      </c>
      <c r="N327">
        <f t="shared" si="5"/>
        <v>4227</v>
      </c>
    </row>
    <row r="328" spans="1:14">
      <c r="A328" s="11" t="s">
        <v>246</v>
      </c>
      <c r="B328" s="12" t="s">
        <v>24</v>
      </c>
      <c r="C328" s="35">
        <v>45525</v>
      </c>
      <c r="D328" s="12" t="s">
        <v>25</v>
      </c>
      <c r="E328" s="12" t="s">
        <v>20</v>
      </c>
      <c r="F328" s="12">
        <v>3989</v>
      </c>
      <c r="G328" s="12">
        <v>476</v>
      </c>
      <c r="H328" s="12">
        <v>128</v>
      </c>
      <c r="I328" s="12">
        <v>57569</v>
      </c>
      <c r="J328" s="12">
        <v>40193</v>
      </c>
      <c r="K328" s="12">
        <v>222</v>
      </c>
      <c r="L328" s="12" t="s">
        <v>21</v>
      </c>
      <c r="M328" s="16" t="s">
        <v>18</v>
      </c>
      <c r="N328">
        <f t="shared" si="5"/>
        <v>4593</v>
      </c>
    </row>
    <row r="329" spans="1:14">
      <c r="A329" s="13" t="s">
        <v>246</v>
      </c>
      <c r="B329" s="14" t="s">
        <v>24</v>
      </c>
      <c r="C329" s="36">
        <v>45525</v>
      </c>
      <c r="D329" s="14" t="s">
        <v>25</v>
      </c>
      <c r="E329" s="14" t="s">
        <v>20</v>
      </c>
      <c r="F329" s="14">
        <v>3989</v>
      </c>
      <c r="G329" s="14">
        <v>476</v>
      </c>
      <c r="H329" s="14">
        <v>128</v>
      </c>
      <c r="I329" s="14">
        <v>57569</v>
      </c>
      <c r="J329" s="14">
        <v>40193</v>
      </c>
      <c r="K329" s="14">
        <v>222</v>
      </c>
      <c r="L329" s="14" t="s">
        <v>398</v>
      </c>
      <c r="M329" s="17" t="s">
        <v>18</v>
      </c>
      <c r="N329">
        <f t="shared" si="5"/>
        <v>4593</v>
      </c>
    </row>
    <row r="330" spans="1:14">
      <c r="A330" s="11" t="s">
        <v>247</v>
      </c>
      <c r="B330" s="12" t="s">
        <v>24</v>
      </c>
      <c r="C330" s="35">
        <v>45387</v>
      </c>
      <c r="D330" s="12" t="s">
        <v>25</v>
      </c>
      <c r="E330" s="12" t="s">
        <v>29</v>
      </c>
      <c r="F330" s="12">
        <v>2857</v>
      </c>
      <c r="G330" s="12">
        <v>443</v>
      </c>
      <c r="H330" s="12">
        <v>359</v>
      </c>
      <c r="I330" s="12">
        <v>51519</v>
      </c>
      <c r="J330" s="12">
        <v>28256</v>
      </c>
      <c r="K330" s="12">
        <v>155</v>
      </c>
      <c r="L330" s="12" t="s">
        <v>45</v>
      </c>
      <c r="M330" s="16" t="s">
        <v>18</v>
      </c>
      <c r="N330">
        <f t="shared" si="5"/>
        <v>3659</v>
      </c>
    </row>
    <row r="331" spans="1:14">
      <c r="A331" s="13" t="s">
        <v>247</v>
      </c>
      <c r="B331" s="14" t="s">
        <v>24</v>
      </c>
      <c r="C331" s="36">
        <v>45387</v>
      </c>
      <c r="D331" s="14" t="s">
        <v>25</v>
      </c>
      <c r="E331" s="14" t="s">
        <v>29</v>
      </c>
      <c r="F331" s="14">
        <v>2857</v>
      </c>
      <c r="G331" s="14">
        <v>443</v>
      </c>
      <c r="H331" s="14">
        <v>359</v>
      </c>
      <c r="I331" s="14">
        <v>51519</v>
      </c>
      <c r="J331" s="14">
        <v>28256</v>
      </c>
      <c r="K331" s="14">
        <v>155</v>
      </c>
      <c r="L331" s="14" t="s">
        <v>42</v>
      </c>
      <c r="M331" s="17" t="s">
        <v>18</v>
      </c>
      <c r="N331">
        <f t="shared" si="5"/>
        <v>3659</v>
      </c>
    </row>
    <row r="332" spans="1:14">
      <c r="A332" s="11" t="s">
        <v>248</v>
      </c>
      <c r="B332" s="12" t="s">
        <v>24</v>
      </c>
      <c r="C332" s="35">
        <v>45754</v>
      </c>
      <c r="D332" s="12" t="s">
        <v>15</v>
      </c>
      <c r="E332" s="12" t="s">
        <v>49</v>
      </c>
      <c r="F332" s="12">
        <v>1403</v>
      </c>
      <c r="G332" s="12">
        <v>385</v>
      </c>
      <c r="H332" s="12">
        <v>344</v>
      </c>
      <c r="I332" s="12">
        <v>54223</v>
      </c>
      <c r="J332" s="12">
        <v>72595</v>
      </c>
      <c r="K332" s="12">
        <v>239</v>
      </c>
      <c r="L332" s="12" t="s">
        <v>45</v>
      </c>
      <c r="M332" s="16" t="s">
        <v>22</v>
      </c>
      <c r="N332">
        <f t="shared" si="5"/>
        <v>2132</v>
      </c>
    </row>
    <row r="333" spans="1:14">
      <c r="A333" s="13" t="s">
        <v>249</v>
      </c>
      <c r="B333" s="14" t="s">
        <v>24</v>
      </c>
      <c r="C333" s="36">
        <v>45492</v>
      </c>
      <c r="D333" s="14" t="s">
        <v>25</v>
      </c>
      <c r="E333" s="14" t="s">
        <v>35</v>
      </c>
      <c r="F333" s="14">
        <v>3071</v>
      </c>
      <c r="G333" s="14">
        <v>126</v>
      </c>
      <c r="H333" s="14">
        <v>200</v>
      </c>
      <c r="I333" s="14">
        <v>44013</v>
      </c>
      <c r="J333" s="14">
        <v>44679</v>
      </c>
      <c r="K333" s="14">
        <v>118</v>
      </c>
      <c r="L333" s="14" t="s">
        <v>21</v>
      </c>
      <c r="M333" s="17" t="s">
        <v>18</v>
      </c>
      <c r="N333">
        <f t="shared" si="5"/>
        <v>3397</v>
      </c>
    </row>
    <row r="334" spans="1:14">
      <c r="A334" s="11" t="s">
        <v>249</v>
      </c>
      <c r="B334" s="12" t="s">
        <v>24</v>
      </c>
      <c r="C334" s="35">
        <v>45492</v>
      </c>
      <c r="D334" s="12" t="s">
        <v>25</v>
      </c>
      <c r="E334" s="12" t="s">
        <v>35</v>
      </c>
      <c r="F334" s="12">
        <v>3071</v>
      </c>
      <c r="G334" s="12">
        <v>126</v>
      </c>
      <c r="H334" s="12">
        <v>200</v>
      </c>
      <c r="I334" s="12">
        <v>44013</v>
      </c>
      <c r="J334" s="12">
        <v>44679</v>
      </c>
      <c r="K334" s="12">
        <v>118</v>
      </c>
      <c r="L334" s="12" t="s">
        <v>398</v>
      </c>
      <c r="M334" s="16" t="s">
        <v>18</v>
      </c>
      <c r="N334">
        <f t="shared" si="5"/>
        <v>3397</v>
      </c>
    </row>
    <row r="335" spans="1:14">
      <c r="A335" s="13" t="s">
        <v>250</v>
      </c>
      <c r="B335" s="14" t="s">
        <v>24</v>
      </c>
      <c r="C335" s="36">
        <v>45780</v>
      </c>
      <c r="D335" s="14" t="s">
        <v>25</v>
      </c>
      <c r="E335" s="14" t="s">
        <v>41</v>
      </c>
      <c r="F335" s="14">
        <v>1010</v>
      </c>
      <c r="G335" s="14">
        <v>361</v>
      </c>
      <c r="H335" s="14">
        <v>240</v>
      </c>
      <c r="I335" s="14">
        <v>47229</v>
      </c>
      <c r="J335" s="14">
        <v>72573</v>
      </c>
      <c r="K335" s="14">
        <v>275</v>
      </c>
      <c r="L335" s="14" t="s">
        <v>45</v>
      </c>
      <c r="M335" s="17" t="s">
        <v>18</v>
      </c>
      <c r="N335">
        <f t="shared" si="5"/>
        <v>1611</v>
      </c>
    </row>
    <row r="336" spans="1:14">
      <c r="A336" s="11" t="s">
        <v>250</v>
      </c>
      <c r="B336" s="12" t="s">
        <v>24</v>
      </c>
      <c r="C336" s="35">
        <v>45780</v>
      </c>
      <c r="D336" s="12" t="s">
        <v>25</v>
      </c>
      <c r="E336" s="12" t="s">
        <v>41</v>
      </c>
      <c r="F336" s="12">
        <v>1010</v>
      </c>
      <c r="G336" s="12">
        <v>361</v>
      </c>
      <c r="H336" s="12">
        <v>240</v>
      </c>
      <c r="I336" s="12">
        <v>47229</v>
      </c>
      <c r="J336" s="12">
        <v>72573</v>
      </c>
      <c r="K336" s="12">
        <v>275</v>
      </c>
      <c r="L336" s="12" t="s">
        <v>42</v>
      </c>
      <c r="M336" s="16" t="s">
        <v>18</v>
      </c>
      <c r="N336">
        <f t="shared" si="5"/>
        <v>1611</v>
      </c>
    </row>
    <row r="337" spans="1:14">
      <c r="A337" s="13" t="s">
        <v>251</v>
      </c>
      <c r="B337" s="14" t="s">
        <v>24</v>
      </c>
      <c r="C337" s="36">
        <v>45396</v>
      </c>
      <c r="D337" s="14" t="s">
        <v>25</v>
      </c>
      <c r="E337" s="14" t="s">
        <v>16</v>
      </c>
      <c r="F337" s="14">
        <v>1295</v>
      </c>
      <c r="G337" s="14">
        <v>153</v>
      </c>
      <c r="H337" s="14">
        <v>81</v>
      </c>
      <c r="I337" s="14">
        <v>48350</v>
      </c>
      <c r="J337" s="14">
        <v>61033</v>
      </c>
      <c r="K337" s="14">
        <v>232</v>
      </c>
      <c r="L337" s="14" t="s">
        <v>21</v>
      </c>
      <c r="M337" s="17" t="s">
        <v>18</v>
      </c>
      <c r="N337">
        <f t="shared" si="5"/>
        <v>1529</v>
      </c>
    </row>
    <row r="338" spans="1:14">
      <c r="A338" s="11" t="s">
        <v>251</v>
      </c>
      <c r="B338" s="12" t="s">
        <v>24</v>
      </c>
      <c r="C338" s="35">
        <v>45396</v>
      </c>
      <c r="D338" s="12" t="s">
        <v>25</v>
      </c>
      <c r="E338" s="12" t="s">
        <v>16</v>
      </c>
      <c r="F338" s="12">
        <v>1295</v>
      </c>
      <c r="G338" s="12">
        <v>153</v>
      </c>
      <c r="H338" s="12">
        <v>81</v>
      </c>
      <c r="I338" s="12">
        <v>48350</v>
      </c>
      <c r="J338" s="12">
        <v>61033</v>
      </c>
      <c r="K338" s="12">
        <v>232</v>
      </c>
      <c r="L338" s="12" t="s">
        <v>398</v>
      </c>
      <c r="M338" s="16" t="s">
        <v>18</v>
      </c>
      <c r="N338">
        <f t="shared" si="5"/>
        <v>1529</v>
      </c>
    </row>
    <row r="339" spans="1:14">
      <c r="A339" s="13" t="s">
        <v>252</v>
      </c>
      <c r="B339" s="14" t="s">
        <v>24</v>
      </c>
      <c r="C339" s="36">
        <v>45827</v>
      </c>
      <c r="D339" s="14" t="s">
        <v>25</v>
      </c>
      <c r="E339" s="14" t="s">
        <v>35</v>
      </c>
      <c r="F339" s="14">
        <v>1433</v>
      </c>
      <c r="G339" s="14">
        <v>452</v>
      </c>
      <c r="H339" s="14">
        <v>305</v>
      </c>
      <c r="I339" s="14">
        <v>54541</v>
      </c>
      <c r="J339" s="14">
        <v>63700</v>
      </c>
      <c r="K339" s="14">
        <v>296</v>
      </c>
      <c r="L339" s="14" t="s">
        <v>21</v>
      </c>
      <c r="M339" s="17" t="s">
        <v>18</v>
      </c>
      <c r="N339">
        <f t="shared" si="5"/>
        <v>2190</v>
      </c>
    </row>
    <row r="340" spans="1:14">
      <c r="A340" s="11" t="s">
        <v>252</v>
      </c>
      <c r="B340" s="12" t="s">
        <v>24</v>
      </c>
      <c r="C340" s="35">
        <v>45827</v>
      </c>
      <c r="D340" s="12" t="s">
        <v>25</v>
      </c>
      <c r="E340" s="12" t="s">
        <v>35</v>
      </c>
      <c r="F340" s="12">
        <v>1433</v>
      </c>
      <c r="G340" s="12">
        <v>452</v>
      </c>
      <c r="H340" s="12">
        <v>305</v>
      </c>
      <c r="I340" s="12">
        <v>54541</v>
      </c>
      <c r="J340" s="12">
        <v>63700</v>
      </c>
      <c r="K340" s="12">
        <v>296</v>
      </c>
      <c r="L340" s="12" t="s">
        <v>398</v>
      </c>
      <c r="M340" s="16" t="s">
        <v>18</v>
      </c>
      <c r="N340">
        <f t="shared" si="5"/>
        <v>2190</v>
      </c>
    </row>
    <row r="341" spans="1:14">
      <c r="A341" s="13" t="s">
        <v>253</v>
      </c>
      <c r="B341" s="14" t="s">
        <v>14</v>
      </c>
      <c r="C341" s="36">
        <v>45832</v>
      </c>
      <c r="D341" s="14" t="s">
        <v>25</v>
      </c>
      <c r="E341" s="14" t="s">
        <v>37</v>
      </c>
      <c r="F341" s="14">
        <v>4902</v>
      </c>
      <c r="G341" s="14">
        <v>422</v>
      </c>
      <c r="H341" s="14">
        <v>376</v>
      </c>
      <c r="I341" s="14">
        <v>31674</v>
      </c>
      <c r="J341" s="14">
        <v>53225</v>
      </c>
      <c r="K341" s="14">
        <v>147</v>
      </c>
      <c r="L341" s="14" t="s">
        <v>42</v>
      </c>
      <c r="M341" s="17" t="s">
        <v>55</v>
      </c>
      <c r="N341">
        <f t="shared" si="5"/>
        <v>5700</v>
      </c>
    </row>
    <row r="342" spans="1:14">
      <c r="A342" s="11" t="s">
        <v>254</v>
      </c>
      <c r="B342" s="12" t="s">
        <v>24</v>
      </c>
      <c r="C342" s="35">
        <v>45574</v>
      </c>
      <c r="D342" s="12" t="s">
        <v>15</v>
      </c>
      <c r="E342" s="12" t="s">
        <v>29</v>
      </c>
      <c r="F342" s="12">
        <v>2659</v>
      </c>
      <c r="G342" s="12">
        <v>167</v>
      </c>
      <c r="H342" s="12">
        <v>73</v>
      </c>
      <c r="I342" s="12">
        <v>23090</v>
      </c>
      <c r="J342" s="12">
        <v>25872</v>
      </c>
      <c r="K342" s="12">
        <v>293</v>
      </c>
      <c r="L342" s="12" t="s">
        <v>45</v>
      </c>
      <c r="M342" s="16" t="s">
        <v>22</v>
      </c>
      <c r="N342">
        <f t="shared" si="5"/>
        <v>2899</v>
      </c>
    </row>
    <row r="343" spans="1:14">
      <c r="A343" s="13" t="s">
        <v>255</v>
      </c>
      <c r="B343" s="14" t="s">
        <v>31</v>
      </c>
      <c r="C343" s="36">
        <v>45672</v>
      </c>
      <c r="D343" s="14" t="s">
        <v>15</v>
      </c>
      <c r="E343" s="14" t="s">
        <v>51</v>
      </c>
      <c r="F343" s="14">
        <v>2599</v>
      </c>
      <c r="G343" s="14">
        <v>324</v>
      </c>
      <c r="H343" s="14">
        <v>182</v>
      </c>
      <c r="I343" s="14">
        <v>37525</v>
      </c>
      <c r="J343" s="14">
        <v>37216</v>
      </c>
      <c r="K343" s="14">
        <v>186</v>
      </c>
      <c r="L343" s="14" t="s">
        <v>21</v>
      </c>
      <c r="M343" s="17" t="s">
        <v>22</v>
      </c>
      <c r="N343">
        <f t="shared" si="5"/>
        <v>3105</v>
      </c>
    </row>
    <row r="344" spans="1:14">
      <c r="A344" s="11" t="s">
        <v>255</v>
      </c>
      <c r="B344" s="12" t="s">
        <v>31</v>
      </c>
      <c r="C344" s="35">
        <v>45672</v>
      </c>
      <c r="D344" s="12" t="s">
        <v>15</v>
      </c>
      <c r="E344" s="12" t="s">
        <v>51</v>
      </c>
      <c r="F344" s="12">
        <v>2599</v>
      </c>
      <c r="G344" s="12">
        <v>324</v>
      </c>
      <c r="H344" s="12">
        <v>182</v>
      </c>
      <c r="I344" s="12">
        <v>37525</v>
      </c>
      <c r="J344" s="12">
        <v>37216</v>
      </c>
      <c r="K344" s="12">
        <v>186</v>
      </c>
      <c r="L344" s="12" t="s">
        <v>399</v>
      </c>
      <c r="M344" s="16" t="s">
        <v>22</v>
      </c>
      <c r="N344">
        <f t="shared" si="5"/>
        <v>3105</v>
      </c>
    </row>
    <row r="345" spans="1:14">
      <c r="A345" s="13" t="s">
        <v>256</v>
      </c>
      <c r="B345" s="14" t="s">
        <v>24</v>
      </c>
      <c r="C345" s="36">
        <v>45669</v>
      </c>
      <c r="D345" s="14" t="s">
        <v>15</v>
      </c>
      <c r="E345" s="14" t="s">
        <v>32</v>
      </c>
      <c r="F345" s="14">
        <v>1765</v>
      </c>
      <c r="G345" s="14">
        <v>285</v>
      </c>
      <c r="H345" s="14">
        <v>100</v>
      </c>
      <c r="I345" s="14">
        <v>41313</v>
      </c>
      <c r="J345" s="14">
        <v>56575</v>
      </c>
      <c r="K345" s="14">
        <v>174</v>
      </c>
      <c r="L345" s="14" t="s">
        <v>45</v>
      </c>
      <c r="M345" s="17" t="s">
        <v>22</v>
      </c>
      <c r="N345">
        <f t="shared" si="5"/>
        <v>2150</v>
      </c>
    </row>
    <row r="346" spans="1:14">
      <c r="A346" s="11" t="s">
        <v>257</v>
      </c>
      <c r="B346" s="12" t="s">
        <v>14</v>
      </c>
      <c r="C346" s="35">
        <v>45808</v>
      </c>
      <c r="D346" s="12" t="s">
        <v>15</v>
      </c>
      <c r="E346" s="12" t="s">
        <v>35</v>
      </c>
      <c r="F346" s="12">
        <v>2169</v>
      </c>
      <c r="G346" s="12">
        <v>240</v>
      </c>
      <c r="H346" s="12">
        <v>57</v>
      </c>
      <c r="I346" s="12">
        <v>26109</v>
      </c>
      <c r="J346" s="12">
        <v>46667</v>
      </c>
      <c r="K346" s="12">
        <v>133</v>
      </c>
      <c r="L346" s="12" t="s">
        <v>45</v>
      </c>
      <c r="M346" s="16" t="s">
        <v>18</v>
      </c>
      <c r="N346">
        <f t="shared" si="5"/>
        <v>2466</v>
      </c>
    </row>
    <row r="347" spans="1:14">
      <c r="A347" s="13" t="s">
        <v>257</v>
      </c>
      <c r="B347" s="14" t="s">
        <v>14</v>
      </c>
      <c r="C347" s="36">
        <v>45808</v>
      </c>
      <c r="D347" s="14" t="s">
        <v>15</v>
      </c>
      <c r="E347" s="14" t="s">
        <v>35</v>
      </c>
      <c r="F347" s="14">
        <v>2169</v>
      </c>
      <c r="G347" s="14">
        <v>240</v>
      </c>
      <c r="H347" s="14">
        <v>57</v>
      </c>
      <c r="I347" s="14">
        <v>26109</v>
      </c>
      <c r="J347" s="14">
        <v>46667</v>
      </c>
      <c r="K347" s="14">
        <v>133</v>
      </c>
      <c r="L347" s="14" t="s">
        <v>42</v>
      </c>
      <c r="M347" s="17" t="s">
        <v>18</v>
      </c>
      <c r="N347">
        <f t="shared" si="5"/>
        <v>2466</v>
      </c>
    </row>
    <row r="348" spans="1:14">
      <c r="A348" s="11" t="s">
        <v>258</v>
      </c>
      <c r="B348" s="12" t="s">
        <v>24</v>
      </c>
      <c r="C348" s="35">
        <v>45579</v>
      </c>
      <c r="D348" s="12" t="s">
        <v>25</v>
      </c>
      <c r="E348" s="12" t="s">
        <v>20</v>
      </c>
      <c r="F348" s="12">
        <v>4303</v>
      </c>
      <c r="G348" s="12">
        <v>306</v>
      </c>
      <c r="H348" s="12">
        <v>302</v>
      </c>
      <c r="I348" s="12">
        <v>39575</v>
      </c>
      <c r="J348" s="12">
        <v>33762</v>
      </c>
      <c r="K348" s="12">
        <v>265</v>
      </c>
      <c r="L348" s="12" t="s">
        <v>21</v>
      </c>
      <c r="M348" s="16" t="s">
        <v>18</v>
      </c>
      <c r="N348">
        <f t="shared" si="5"/>
        <v>4911</v>
      </c>
    </row>
    <row r="349" spans="1:14">
      <c r="A349" s="13" t="s">
        <v>258</v>
      </c>
      <c r="B349" s="14" t="s">
        <v>24</v>
      </c>
      <c r="C349" s="36">
        <v>45579</v>
      </c>
      <c r="D349" s="14" t="s">
        <v>25</v>
      </c>
      <c r="E349" s="14" t="s">
        <v>20</v>
      </c>
      <c r="F349" s="14">
        <v>4303</v>
      </c>
      <c r="G349" s="14">
        <v>306</v>
      </c>
      <c r="H349" s="14">
        <v>302</v>
      </c>
      <c r="I349" s="14">
        <v>39575</v>
      </c>
      <c r="J349" s="14">
        <v>33762</v>
      </c>
      <c r="K349" s="14">
        <v>265</v>
      </c>
      <c r="L349" s="14" t="s">
        <v>398</v>
      </c>
      <c r="M349" s="17" t="s">
        <v>18</v>
      </c>
      <c r="N349">
        <f t="shared" si="5"/>
        <v>4911</v>
      </c>
    </row>
    <row r="350" spans="1:14">
      <c r="A350" s="11" t="s">
        <v>259</v>
      </c>
      <c r="B350" s="12" t="s">
        <v>24</v>
      </c>
      <c r="C350" s="35">
        <v>45332</v>
      </c>
      <c r="D350" s="12" t="s">
        <v>15</v>
      </c>
      <c r="E350" s="12" t="s">
        <v>49</v>
      </c>
      <c r="F350" s="12">
        <v>1519</v>
      </c>
      <c r="G350" s="12">
        <v>456</v>
      </c>
      <c r="H350" s="12">
        <v>379</v>
      </c>
      <c r="I350" s="12">
        <v>51611</v>
      </c>
      <c r="J350" s="12">
        <v>45880</v>
      </c>
      <c r="K350" s="12">
        <v>176</v>
      </c>
      <c r="L350" s="12" t="s">
        <v>45</v>
      </c>
      <c r="M350" s="16" t="s">
        <v>22</v>
      </c>
      <c r="N350">
        <f t="shared" si="5"/>
        <v>2354</v>
      </c>
    </row>
    <row r="351" spans="1:14">
      <c r="A351" s="13" t="s">
        <v>260</v>
      </c>
      <c r="B351" s="14" t="s">
        <v>31</v>
      </c>
      <c r="C351" s="36">
        <v>45636</v>
      </c>
      <c r="D351" s="14" t="s">
        <v>15</v>
      </c>
      <c r="E351" s="14" t="s">
        <v>35</v>
      </c>
      <c r="F351" s="14">
        <v>2569</v>
      </c>
      <c r="G351" s="14">
        <v>140</v>
      </c>
      <c r="H351" s="14">
        <v>375</v>
      </c>
      <c r="I351" s="14">
        <v>38372</v>
      </c>
      <c r="J351" s="14">
        <v>22102</v>
      </c>
      <c r="K351" s="14">
        <v>255</v>
      </c>
      <c r="L351" s="14" t="s">
        <v>21</v>
      </c>
      <c r="M351" s="17" t="s">
        <v>22</v>
      </c>
      <c r="N351">
        <f t="shared" si="5"/>
        <v>3084</v>
      </c>
    </row>
    <row r="352" spans="1:14">
      <c r="A352" s="11" t="s">
        <v>260</v>
      </c>
      <c r="B352" s="12" t="s">
        <v>31</v>
      </c>
      <c r="C352" s="35">
        <v>45636</v>
      </c>
      <c r="D352" s="12" t="s">
        <v>15</v>
      </c>
      <c r="E352" s="12" t="s">
        <v>35</v>
      </c>
      <c r="F352" s="12">
        <v>2569</v>
      </c>
      <c r="G352" s="12">
        <v>140</v>
      </c>
      <c r="H352" s="12">
        <v>375</v>
      </c>
      <c r="I352" s="12">
        <v>38372</v>
      </c>
      <c r="J352" s="12">
        <v>22102</v>
      </c>
      <c r="K352" s="12">
        <v>255</v>
      </c>
      <c r="L352" s="12" t="s">
        <v>399</v>
      </c>
      <c r="M352" s="16" t="s">
        <v>22</v>
      </c>
      <c r="N352">
        <f t="shared" si="5"/>
        <v>3084</v>
      </c>
    </row>
    <row r="353" spans="1:14">
      <c r="A353" s="13" t="s">
        <v>261</v>
      </c>
      <c r="B353" s="14" t="s">
        <v>24</v>
      </c>
      <c r="C353" s="36">
        <v>45786</v>
      </c>
      <c r="D353" s="14" t="s">
        <v>25</v>
      </c>
      <c r="E353" s="14" t="s">
        <v>32</v>
      </c>
      <c r="F353" s="14">
        <v>2778</v>
      </c>
      <c r="G353" s="14">
        <v>241</v>
      </c>
      <c r="H353" s="14">
        <v>317</v>
      </c>
      <c r="I353" s="14">
        <v>26247</v>
      </c>
      <c r="J353" s="14">
        <v>20677</v>
      </c>
      <c r="K353" s="14">
        <v>282</v>
      </c>
      <c r="L353" s="14" t="s">
        <v>398</v>
      </c>
      <c r="M353" s="17" t="s">
        <v>18</v>
      </c>
      <c r="N353">
        <f t="shared" si="5"/>
        <v>3336</v>
      </c>
    </row>
    <row r="354" spans="1:14">
      <c r="A354" s="11" t="s">
        <v>261</v>
      </c>
      <c r="B354" s="12" t="s">
        <v>24</v>
      </c>
      <c r="C354" s="35">
        <v>45786</v>
      </c>
      <c r="D354" s="12" t="s">
        <v>25</v>
      </c>
      <c r="E354" s="12" t="s">
        <v>32</v>
      </c>
      <c r="F354" s="12">
        <v>2778</v>
      </c>
      <c r="G354" s="12">
        <v>241</v>
      </c>
      <c r="H354" s="12">
        <v>317</v>
      </c>
      <c r="I354" s="12">
        <v>26247</v>
      </c>
      <c r="J354" s="12">
        <v>20677</v>
      </c>
      <c r="K354" s="12">
        <v>282</v>
      </c>
      <c r="L354" s="12" t="s">
        <v>42</v>
      </c>
      <c r="M354" s="16" t="s">
        <v>18</v>
      </c>
      <c r="N354">
        <f t="shared" si="5"/>
        <v>3336</v>
      </c>
    </row>
    <row r="355" spans="1:14">
      <c r="A355" s="13" t="s">
        <v>262</v>
      </c>
      <c r="B355" s="14" t="s">
        <v>24</v>
      </c>
      <c r="C355" s="36">
        <v>45829</v>
      </c>
      <c r="D355" s="14" t="s">
        <v>15</v>
      </c>
      <c r="E355" s="14" t="s">
        <v>20</v>
      </c>
      <c r="F355" s="14">
        <v>3611</v>
      </c>
      <c r="G355" s="14">
        <v>127</v>
      </c>
      <c r="H355" s="14">
        <v>139</v>
      </c>
      <c r="I355" s="14">
        <v>44768</v>
      </c>
      <c r="J355" s="14">
        <v>29435</v>
      </c>
      <c r="K355" s="14">
        <v>178</v>
      </c>
      <c r="L355" s="14" t="s">
        <v>42</v>
      </c>
      <c r="M355" s="17" t="s">
        <v>18</v>
      </c>
      <c r="N355">
        <f t="shared" si="5"/>
        <v>3877</v>
      </c>
    </row>
    <row r="356" spans="1:14">
      <c r="A356" s="11" t="s">
        <v>263</v>
      </c>
      <c r="B356" s="12" t="s">
        <v>24</v>
      </c>
      <c r="C356" s="35">
        <v>45462</v>
      </c>
      <c r="D356" s="12" t="s">
        <v>15</v>
      </c>
      <c r="E356" s="12" t="s">
        <v>35</v>
      </c>
      <c r="F356" s="12">
        <v>1224</v>
      </c>
      <c r="G356" s="12">
        <v>168</v>
      </c>
      <c r="H356" s="12">
        <v>199</v>
      </c>
      <c r="I356" s="12">
        <v>54232</v>
      </c>
      <c r="J356" s="12">
        <v>52844</v>
      </c>
      <c r="K356" s="12">
        <v>271</v>
      </c>
      <c r="L356" s="12" t="s">
        <v>45</v>
      </c>
      <c r="M356" s="16" t="s">
        <v>22</v>
      </c>
      <c r="N356">
        <f t="shared" si="5"/>
        <v>1591</v>
      </c>
    </row>
    <row r="357" spans="1:14">
      <c r="A357" s="13" t="s">
        <v>264</v>
      </c>
      <c r="B357" s="14" t="s">
        <v>24</v>
      </c>
      <c r="C357" s="36">
        <v>45636</v>
      </c>
      <c r="D357" s="14" t="s">
        <v>15</v>
      </c>
      <c r="E357" s="14" t="s">
        <v>49</v>
      </c>
      <c r="F357" s="14">
        <v>4673</v>
      </c>
      <c r="G357" s="14">
        <v>270</v>
      </c>
      <c r="H357" s="14">
        <v>93</v>
      </c>
      <c r="I357" s="14">
        <v>45260</v>
      </c>
      <c r="J357" s="14">
        <v>57513</v>
      </c>
      <c r="K357" s="14">
        <v>103</v>
      </c>
      <c r="L357" s="14" t="s">
        <v>42</v>
      </c>
      <c r="M357" s="17" t="s">
        <v>18</v>
      </c>
      <c r="N357">
        <f t="shared" si="5"/>
        <v>5036</v>
      </c>
    </row>
    <row r="358" spans="1:14">
      <c r="A358" s="11" t="s">
        <v>265</v>
      </c>
      <c r="B358" s="12" t="s">
        <v>31</v>
      </c>
      <c r="C358" s="35">
        <v>45323</v>
      </c>
      <c r="D358" s="12" t="s">
        <v>15</v>
      </c>
      <c r="E358" s="12" t="s">
        <v>29</v>
      </c>
      <c r="F358" s="12">
        <v>1432</v>
      </c>
      <c r="G358" s="12">
        <v>437</v>
      </c>
      <c r="H358" s="12">
        <v>267</v>
      </c>
      <c r="I358" s="12">
        <v>40634</v>
      </c>
      <c r="J358" s="12">
        <v>54511</v>
      </c>
      <c r="K358" s="12">
        <v>197</v>
      </c>
      <c r="L358" s="12" t="s">
        <v>21</v>
      </c>
      <c r="M358" s="16" t="s">
        <v>22</v>
      </c>
      <c r="N358">
        <f t="shared" si="5"/>
        <v>2136</v>
      </c>
    </row>
    <row r="359" spans="1:14">
      <c r="A359" s="13" t="s">
        <v>265</v>
      </c>
      <c r="B359" s="14" t="s">
        <v>31</v>
      </c>
      <c r="C359" s="36">
        <v>45323</v>
      </c>
      <c r="D359" s="14" t="s">
        <v>15</v>
      </c>
      <c r="E359" s="14" t="s">
        <v>29</v>
      </c>
      <c r="F359" s="14">
        <v>1432</v>
      </c>
      <c r="G359" s="14">
        <v>437</v>
      </c>
      <c r="H359" s="14">
        <v>267</v>
      </c>
      <c r="I359" s="14">
        <v>40634</v>
      </c>
      <c r="J359" s="14">
        <v>54511</v>
      </c>
      <c r="K359" s="14">
        <v>197</v>
      </c>
      <c r="L359" s="14" t="s">
        <v>399</v>
      </c>
      <c r="M359" s="17" t="s">
        <v>22</v>
      </c>
      <c r="N359">
        <f t="shared" si="5"/>
        <v>2136</v>
      </c>
    </row>
    <row r="360" spans="1:14">
      <c r="A360" s="11" t="s">
        <v>266</v>
      </c>
      <c r="B360" s="12" t="s">
        <v>24</v>
      </c>
      <c r="C360" s="35">
        <v>45308</v>
      </c>
      <c r="D360" s="12" t="s">
        <v>25</v>
      </c>
      <c r="E360" s="12" t="s">
        <v>26</v>
      </c>
      <c r="F360" s="12">
        <v>2174</v>
      </c>
      <c r="G360" s="12">
        <v>499</v>
      </c>
      <c r="H360" s="12">
        <v>212</v>
      </c>
      <c r="I360" s="12">
        <v>54938</v>
      </c>
      <c r="J360" s="12">
        <v>27190</v>
      </c>
      <c r="K360" s="12">
        <v>265</v>
      </c>
      <c r="L360" s="12" t="s">
        <v>398</v>
      </c>
      <c r="M360" s="16" t="s">
        <v>18</v>
      </c>
      <c r="N360">
        <f t="shared" si="5"/>
        <v>2885</v>
      </c>
    </row>
    <row r="361" spans="1:14">
      <c r="A361" s="13" t="s">
        <v>266</v>
      </c>
      <c r="B361" s="14" t="s">
        <v>24</v>
      </c>
      <c r="C361" s="36">
        <v>45308</v>
      </c>
      <c r="D361" s="14" t="s">
        <v>25</v>
      </c>
      <c r="E361" s="14" t="s">
        <v>26</v>
      </c>
      <c r="F361" s="14">
        <v>2174</v>
      </c>
      <c r="G361" s="14">
        <v>499</v>
      </c>
      <c r="H361" s="14">
        <v>212</v>
      </c>
      <c r="I361" s="14">
        <v>54938</v>
      </c>
      <c r="J361" s="14">
        <v>27190</v>
      </c>
      <c r="K361" s="14">
        <v>265</v>
      </c>
      <c r="L361" s="14" t="s">
        <v>42</v>
      </c>
      <c r="M361" s="17" t="s">
        <v>18</v>
      </c>
      <c r="N361">
        <f t="shared" si="5"/>
        <v>2885</v>
      </c>
    </row>
    <row r="362" spans="1:14">
      <c r="A362" s="11" t="s">
        <v>267</v>
      </c>
      <c r="B362" s="12" t="s">
        <v>31</v>
      </c>
      <c r="C362" s="35">
        <v>45738</v>
      </c>
      <c r="D362" s="12" t="s">
        <v>15</v>
      </c>
      <c r="E362" s="12" t="s">
        <v>32</v>
      </c>
      <c r="F362" s="12">
        <v>4308</v>
      </c>
      <c r="G362" s="12">
        <v>171</v>
      </c>
      <c r="H362" s="12">
        <v>106</v>
      </c>
      <c r="I362" s="12">
        <v>36955</v>
      </c>
      <c r="J362" s="12">
        <v>23949</v>
      </c>
      <c r="K362" s="12">
        <v>294</v>
      </c>
      <c r="L362" s="12" t="s">
        <v>21</v>
      </c>
      <c r="M362" s="16" t="s">
        <v>22</v>
      </c>
      <c r="N362">
        <f t="shared" si="5"/>
        <v>4585</v>
      </c>
    </row>
    <row r="363" spans="1:14">
      <c r="A363" s="13" t="s">
        <v>267</v>
      </c>
      <c r="B363" s="14" t="s">
        <v>31</v>
      </c>
      <c r="C363" s="36">
        <v>45738</v>
      </c>
      <c r="D363" s="14" t="s">
        <v>15</v>
      </c>
      <c r="E363" s="14" t="s">
        <v>32</v>
      </c>
      <c r="F363" s="14">
        <v>4308</v>
      </c>
      <c r="G363" s="14">
        <v>171</v>
      </c>
      <c r="H363" s="14">
        <v>106</v>
      </c>
      <c r="I363" s="14">
        <v>36955</v>
      </c>
      <c r="J363" s="14">
        <v>23949</v>
      </c>
      <c r="K363" s="14">
        <v>294</v>
      </c>
      <c r="L363" s="14" t="s">
        <v>399</v>
      </c>
      <c r="M363" s="17" t="s">
        <v>22</v>
      </c>
      <c r="N363">
        <f t="shared" si="5"/>
        <v>4585</v>
      </c>
    </row>
    <row r="364" spans="1:14">
      <c r="A364" s="11" t="s">
        <v>268</v>
      </c>
      <c r="B364" s="12" t="s">
        <v>31</v>
      </c>
      <c r="C364" s="35">
        <v>45442</v>
      </c>
      <c r="D364" s="12" t="s">
        <v>57</v>
      </c>
      <c r="E364" s="12" t="s">
        <v>35</v>
      </c>
      <c r="F364" s="12">
        <v>1060</v>
      </c>
      <c r="G364" s="12">
        <v>442</v>
      </c>
      <c r="H364" s="12">
        <v>319</v>
      </c>
      <c r="I364" s="12">
        <v>57194</v>
      </c>
      <c r="J364" s="12">
        <v>24258</v>
      </c>
      <c r="K364" s="12">
        <v>101</v>
      </c>
      <c r="L364" s="12" t="s">
        <v>21</v>
      </c>
      <c r="M364" s="16" t="s">
        <v>59</v>
      </c>
      <c r="N364">
        <f t="shared" si="5"/>
        <v>1821</v>
      </c>
    </row>
    <row r="365" spans="1:14">
      <c r="A365" s="13" t="s">
        <v>268</v>
      </c>
      <c r="B365" s="14" t="s">
        <v>31</v>
      </c>
      <c r="C365" s="36">
        <v>45442</v>
      </c>
      <c r="D365" s="14" t="s">
        <v>57</v>
      </c>
      <c r="E365" s="14" t="s">
        <v>35</v>
      </c>
      <c r="F365" s="14">
        <v>1060</v>
      </c>
      <c r="G365" s="14">
        <v>442</v>
      </c>
      <c r="H365" s="14">
        <v>319</v>
      </c>
      <c r="I365" s="14">
        <v>57194</v>
      </c>
      <c r="J365" s="14">
        <v>24258</v>
      </c>
      <c r="K365" s="14">
        <v>101</v>
      </c>
      <c r="L365" s="14" t="s">
        <v>45</v>
      </c>
      <c r="M365" s="17" t="s">
        <v>59</v>
      </c>
      <c r="N365">
        <f t="shared" si="5"/>
        <v>1821</v>
      </c>
    </row>
    <row r="366" spans="1:14">
      <c r="A366" s="11" t="s">
        <v>269</v>
      </c>
      <c r="B366" s="12" t="s">
        <v>31</v>
      </c>
      <c r="C366" s="35">
        <v>45346</v>
      </c>
      <c r="D366" s="12" t="s">
        <v>15</v>
      </c>
      <c r="E366" s="12" t="s">
        <v>32</v>
      </c>
      <c r="F366" s="12">
        <v>4653</v>
      </c>
      <c r="G366" s="12">
        <v>226</v>
      </c>
      <c r="H366" s="12">
        <v>349</v>
      </c>
      <c r="I366" s="12">
        <v>56876</v>
      </c>
      <c r="J366" s="12">
        <v>28452</v>
      </c>
      <c r="K366" s="12">
        <v>257</v>
      </c>
      <c r="L366" s="12" t="s">
        <v>21</v>
      </c>
      <c r="M366" s="16" t="s">
        <v>22</v>
      </c>
      <c r="N366">
        <f t="shared" si="5"/>
        <v>5228</v>
      </c>
    </row>
    <row r="367" spans="1:14">
      <c r="A367" s="13" t="s">
        <v>269</v>
      </c>
      <c r="B367" s="14" t="s">
        <v>31</v>
      </c>
      <c r="C367" s="36">
        <v>45346</v>
      </c>
      <c r="D367" s="14" t="s">
        <v>15</v>
      </c>
      <c r="E367" s="14" t="s">
        <v>32</v>
      </c>
      <c r="F367" s="14">
        <v>4653</v>
      </c>
      <c r="G367" s="14">
        <v>226</v>
      </c>
      <c r="H367" s="14">
        <v>349</v>
      </c>
      <c r="I367" s="14">
        <v>56876</v>
      </c>
      <c r="J367" s="14">
        <v>28452</v>
      </c>
      <c r="K367" s="14">
        <v>257</v>
      </c>
      <c r="L367" s="14" t="s">
        <v>399</v>
      </c>
      <c r="M367" s="17" t="s">
        <v>22</v>
      </c>
      <c r="N367">
        <f t="shared" si="5"/>
        <v>5228</v>
      </c>
    </row>
    <row r="368" spans="1:14">
      <c r="A368" s="11" t="s">
        <v>270</v>
      </c>
      <c r="B368" s="12" t="s">
        <v>31</v>
      </c>
      <c r="C368" s="35">
        <v>45791</v>
      </c>
      <c r="D368" s="12" t="s">
        <v>15</v>
      </c>
      <c r="E368" s="12" t="s">
        <v>16</v>
      </c>
      <c r="F368" s="12">
        <v>1701</v>
      </c>
      <c r="G368" s="12">
        <v>272</v>
      </c>
      <c r="H368" s="12">
        <v>385</v>
      </c>
      <c r="I368" s="12">
        <v>47496</v>
      </c>
      <c r="J368" s="12">
        <v>40832</v>
      </c>
      <c r="K368" s="12">
        <v>246</v>
      </c>
      <c r="L368" s="12" t="s">
        <v>21</v>
      </c>
      <c r="M368" s="16" t="s">
        <v>22</v>
      </c>
      <c r="N368">
        <f t="shared" si="5"/>
        <v>2358</v>
      </c>
    </row>
    <row r="369" spans="1:14">
      <c r="A369" s="13" t="s">
        <v>270</v>
      </c>
      <c r="B369" s="14" t="s">
        <v>31</v>
      </c>
      <c r="C369" s="36">
        <v>45791</v>
      </c>
      <c r="D369" s="14" t="s">
        <v>15</v>
      </c>
      <c r="E369" s="14" t="s">
        <v>16</v>
      </c>
      <c r="F369" s="14">
        <v>1701</v>
      </c>
      <c r="G369" s="14">
        <v>272</v>
      </c>
      <c r="H369" s="14">
        <v>385</v>
      </c>
      <c r="I369" s="14">
        <v>47496</v>
      </c>
      <c r="J369" s="14">
        <v>40832</v>
      </c>
      <c r="K369" s="14">
        <v>246</v>
      </c>
      <c r="L369" s="14" t="s">
        <v>399</v>
      </c>
      <c r="M369" s="17" t="s">
        <v>22</v>
      </c>
      <c r="N369">
        <f t="shared" si="5"/>
        <v>2358</v>
      </c>
    </row>
    <row r="370" spans="1:14">
      <c r="A370" s="11" t="s">
        <v>271</v>
      </c>
      <c r="B370" s="12" t="s">
        <v>14</v>
      </c>
      <c r="C370" s="35">
        <v>45379</v>
      </c>
      <c r="D370" s="12" t="s">
        <v>15</v>
      </c>
      <c r="E370" s="12" t="s">
        <v>35</v>
      </c>
      <c r="F370" s="12">
        <v>1673</v>
      </c>
      <c r="G370" s="12">
        <v>280</v>
      </c>
      <c r="H370" s="12">
        <v>67</v>
      </c>
      <c r="I370" s="12">
        <v>29847</v>
      </c>
      <c r="J370" s="12">
        <v>48016</v>
      </c>
      <c r="K370" s="12">
        <v>213</v>
      </c>
      <c r="L370" s="12" t="s">
        <v>45</v>
      </c>
      <c r="M370" s="16" t="s">
        <v>18</v>
      </c>
      <c r="N370">
        <f t="shared" si="5"/>
        <v>2020</v>
      </c>
    </row>
    <row r="371" spans="1:14">
      <c r="A371" s="13" t="s">
        <v>271</v>
      </c>
      <c r="B371" s="14" t="s">
        <v>14</v>
      </c>
      <c r="C371" s="36">
        <v>45379</v>
      </c>
      <c r="D371" s="14" t="s">
        <v>15</v>
      </c>
      <c r="E371" s="14" t="s">
        <v>35</v>
      </c>
      <c r="F371" s="14">
        <v>1673</v>
      </c>
      <c r="G371" s="14">
        <v>280</v>
      </c>
      <c r="H371" s="14">
        <v>67</v>
      </c>
      <c r="I371" s="14">
        <v>29847</v>
      </c>
      <c r="J371" s="14">
        <v>48016</v>
      </c>
      <c r="K371" s="14">
        <v>213</v>
      </c>
      <c r="L371" s="14" t="s">
        <v>42</v>
      </c>
      <c r="M371" s="17" t="s">
        <v>18</v>
      </c>
      <c r="N371">
        <f t="shared" si="5"/>
        <v>2020</v>
      </c>
    </row>
    <row r="372" spans="1:14">
      <c r="A372" s="11" t="s">
        <v>272</v>
      </c>
      <c r="B372" s="12" t="s">
        <v>31</v>
      </c>
      <c r="C372" s="35">
        <v>45723</v>
      </c>
      <c r="D372" s="12" t="s">
        <v>15</v>
      </c>
      <c r="E372" s="12" t="s">
        <v>41</v>
      </c>
      <c r="F372" s="12">
        <v>4310</v>
      </c>
      <c r="G372" s="12">
        <v>284</v>
      </c>
      <c r="H372" s="12">
        <v>306</v>
      </c>
      <c r="I372" s="12">
        <v>44606</v>
      </c>
      <c r="J372" s="12">
        <v>42604</v>
      </c>
      <c r="K372" s="12">
        <v>290</v>
      </c>
      <c r="L372" s="12" t="s">
        <v>21</v>
      </c>
      <c r="M372" s="16" t="s">
        <v>22</v>
      </c>
      <c r="N372">
        <f t="shared" si="5"/>
        <v>4900</v>
      </c>
    </row>
    <row r="373" spans="1:14">
      <c r="A373" s="13" t="s">
        <v>272</v>
      </c>
      <c r="B373" s="14" t="s">
        <v>31</v>
      </c>
      <c r="C373" s="36">
        <v>45723</v>
      </c>
      <c r="D373" s="14" t="s">
        <v>15</v>
      </c>
      <c r="E373" s="14" t="s">
        <v>41</v>
      </c>
      <c r="F373" s="14">
        <v>4310</v>
      </c>
      <c r="G373" s="14">
        <v>284</v>
      </c>
      <c r="H373" s="14">
        <v>306</v>
      </c>
      <c r="I373" s="14">
        <v>44606</v>
      </c>
      <c r="J373" s="14">
        <v>42604</v>
      </c>
      <c r="K373" s="14">
        <v>290</v>
      </c>
      <c r="L373" s="14" t="s">
        <v>399</v>
      </c>
      <c r="M373" s="17" t="s">
        <v>22</v>
      </c>
      <c r="N373">
        <f t="shared" si="5"/>
        <v>4900</v>
      </c>
    </row>
    <row r="374" spans="1:14">
      <c r="A374" s="11" t="s">
        <v>273</v>
      </c>
      <c r="B374" s="12" t="s">
        <v>24</v>
      </c>
      <c r="C374" s="35">
        <v>45585</v>
      </c>
      <c r="D374" s="12" t="s">
        <v>15</v>
      </c>
      <c r="E374" s="12" t="s">
        <v>49</v>
      </c>
      <c r="F374" s="12">
        <v>2752</v>
      </c>
      <c r="G374" s="12">
        <v>309</v>
      </c>
      <c r="H374" s="12">
        <v>91</v>
      </c>
      <c r="I374" s="12">
        <v>39038</v>
      </c>
      <c r="J374" s="12">
        <v>28095</v>
      </c>
      <c r="K374" s="12">
        <v>277</v>
      </c>
      <c r="L374" s="12" t="s">
        <v>42</v>
      </c>
      <c r="M374" s="16" t="s">
        <v>18</v>
      </c>
      <c r="N374">
        <f t="shared" si="5"/>
        <v>3152</v>
      </c>
    </row>
    <row r="375" spans="1:14">
      <c r="A375" s="13" t="s">
        <v>274</v>
      </c>
      <c r="B375" s="14" t="s">
        <v>24</v>
      </c>
      <c r="C375" s="36">
        <v>45324</v>
      </c>
      <c r="D375" s="14" t="s">
        <v>15</v>
      </c>
      <c r="E375" s="14" t="s">
        <v>49</v>
      </c>
      <c r="F375" s="14">
        <v>3818</v>
      </c>
      <c r="G375" s="14">
        <v>115</v>
      </c>
      <c r="H375" s="14">
        <v>286</v>
      </c>
      <c r="I375" s="14">
        <v>25127</v>
      </c>
      <c r="J375" s="14">
        <v>22277</v>
      </c>
      <c r="K375" s="14">
        <v>263</v>
      </c>
      <c r="L375" s="14" t="s">
        <v>42</v>
      </c>
      <c r="M375" s="17" t="s">
        <v>18</v>
      </c>
      <c r="N375">
        <f t="shared" si="5"/>
        <v>4219</v>
      </c>
    </row>
    <row r="376" spans="1:14">
      <c r="A376" s="11" t="s">
        <v>275</v>
      </c>
      <c r="B376" s="12" t="s">
        <v>31</v>
      </c>
      <c r="C376" s="35">
        <v>45542</v>
      </c>
      <c r="D376" s="12" t="s">
        <v>15</v>
      </c>
      <c r="E376" s="12" t="s">
        <v>51</v>
      </c>
      <c r="F376" s="12">
        <v>2101</v>
      </c>
      <c r="G376" s="12">
        <v>411</v>
      </c>
      <c r="H376" s="12">
        <v>190</v>
      </c>
      <c r="I376" s="12">
        <v>41791</v>
      </c>
      <c r="J376" s="12">
        <v>57090</v>
      </c>
      <c r="K376" s="12">
        <v>172</v>
      </c>
      <c r="L376" s="12" t="s">
        <v>21</v>
      </c>
      <c r="M376" s="16" t="s">
        <v>22</v>
      </c>
      <c r="N376">
        <f t="shared" si="5"/>
        <v>2702</v>
      </c>
    </row>
    <row r="377" spans="1:14">
      <c r="A377" s="13" t="s">
        <v>275</v>
      </c>
      <c r="B377" s="14" t="s">
        <v>31</v>
      </c>
      <c r="C377" s="36">
        <v>45542</v>
      </c>
      <c r="D377" s="14" t="s">
        <v>15</v>
      </c>
      <c r="E377" s="14" t="s">
        <v>51</v>
      </c>
      <c r="F377" s="14">
        <v>2101</v>
      </c>
      <c r="G377" s="14">
        <v>411</v>
      </c>
      <c r="H377" s="14">
        <v>190</v>
      </c>
      <c r="I377" s="14">
        <v>41791</v>
      </c>
      <c r="J377" s="14">
        <v>57090</v>
      </c>
      <c r="K377" s="14">
        <v>172</v>
      </c>
      <c r="L377" s="14" t="s">
        <v>399</v>
      </c>
      <c r="M377" s="17" t="s">
        <v>22</v>
      </c>
      <c r="N377">
        <f t="shared" si="5"/>
        <v>2702</v>
      </c>
    </row>
    <row r="378" spans="1:14">
      <c r="A378" s="11" t="s">
        <v>276</v>
      </c>
      <c r="B378" s="12" t="s">
        <v>14</v>
      </c>
      <c r="C378" s="35">
        <v>45646</v>
      </c>
      <c r="D378" s="12" t="s">
        <v>15</v>
      </c>
      <c r="E378" s="12" t="s">
        <v>16</v>
      </c>
      <c r="F378" s="12">
        <v>2519</v>
      </c>
      <c r="G378" s="12">
        <v>202</v>
      </c>
      <c r="H378" s="12">
        <v>239</v>
      </c>
      <c r="I378" s="12">
        <v>36245</v>
      </c>
      <c r="J378" s="12">
        <v>48606</v>
      </c>
      <c r="K378" s="12">
        <v>145</v>
      </c>
      <c r="L378" s="12" t="s">
        <v>21</v>
      </c>
      <c r="M378" s="16" t="s">
        <v>22</v>
      </c>
      <c r="N378">
        <f t="shared" si="5"/>
        <v>2960</v>
      </c>
    </row>
    <row r="379" spans="1:14">
      <c r="A379" s="13" t="s">
        <v>277</v>
      </c>
      <c r="B379" s="14" t="s">
        <v>31</v>
      </c>
      <c r="C379" s="36">
        <v>45305</v>
      </c>
      <c r="D379" s="14" t="s">
        <v>15</v>
      </c>
      <c r="E379" s="14" t="s">
        <v>35</v>
      </c>
      <c r="F379" s="14">
        <v>4502</v>
      </c>
      <c r="G379" s="14">
        <v>238</v>
      </c>
      <c r="H379" s="14">
        <v>386</v>
      </c>
      <c r="I379" s="14">
        <v>39198</v>
      </c>
      <c r="J379" s="14">
        <v>25050</v>
      </c>
      <c r="K379" s="14">
        <v>297</v>
      </c>
      <c r="L379" s="14" t="s">
        <v>21</v>
      </c>
      <c r="M379" s="17" t="s">
        <v>22</v>
      </c>
      <c r="N379">
        <f t="shared" si="5"/>
        <v>5126</v>
      </c>
    </row>
    <row r="380" spans="1:14">
      <c r="A380" s="11" t="s">
        <v>277</v>
      </c>
      <c r="B380" s="12" t="s">
        <v>31</v>
      </c>
      <c r="C380" s="35">
        <v>45305</v>
      </c>
      <c r="D380" s="12" t="s">
        <v>15</v>
      </c>
      <c r="E380" s="12" t="s">
        <v>35</v>
      </c>
      <c r="F380" s="12">
        <v>4502</v>
      </c>
      <c r="G380" s="12">
        <v>238</v>
      </c>
      <c r="H380" s="12">
        <v>386</v>
      </c>
      <c r="I380" s="12">
        <v>39198</v>
      </c>
      <c r="J380" s="12">
        <v>25050</v>
      </c>
      <c r="K380" s="12">
        <v>297</v>
      </c>
      <c r="L380" s="12" t="s">
        <v>399</v>
      </c>
      <c r="M380" s="16" t="s">
        <v>22</v>
      </c>
      <c r="N380">
        <f t="shared" si="5"/>
        <v>5126</v>
      </c>
    </row>
    <row r="381" spans="1:14">
      <c r="A381" s="13" t="s">
        <v>278</v>
      </c>
      <c r="B381" s="14" t="s">
        <v>14</v>
      </c>
      <c r="C381" s="36">
        <v>45823</v>
      </c>
      <c r="D381" s="14" t="s">
        <v>15</v>
      </c>
      <c r="E381" s="14" t="s">
        <v>20</v>
      </c>
      <c r="F381" s="14">
        <v>2478</v>
      </c>
      <c r="G381" s="14">
        <v>427</v>
      </c>
      <c r="H381" s="14">
        <v>242</v>
      </c>
      <c r="I381" s="14">
        <v>59272</v>
      </c>
      <c r="J381" s="14">
        <v>37833</v>
      </c>
      <c r="K381" s="14">
        <v>214</v>
      </c>
      <c r="L381" s="14" t="s">
        <v>45</v>
      </c>
      <c r="M381" s="17" t="s">
        <v>18</v>
      </c>
      <c r="N381">
        <f t="shared" si="5"/>
        <v>3147</v>
      </c>
    </row>
    <row r="382" spans="1:14">
      <c r="A382" s="11" t="s">
        <v>278</v>
      </c>
      <c r="B382" s="12" t="s">
        <v>14</v>
      </c>
      <c r="C382" s="35">
        <v>45823</v>
      </c>
      <c r="D382" s="12" t="s">
        <v>15</v>
      </c>
      <c r="E382" s="12" t="s">
        <v>20</v>
      </c>
      <c r="F382" s="12">
        <v>2478</v>
      </c>
      <c r="G382" s="12">
        <v>427</v>
      </c>
      <c r="H382" s="12">
        <v>242</v>
      </c>
      <c r="I382" s="12">
        <v>59272</v>
      </c>
      <c r="J382" s="12">
        <v>37833</v>
      </c>
      <c r="K382" s="12">
        <v>214</v>
      </c>
      <c r="L382" s="12" t="s">
        <v>42</v>
      </c>
      <c r="M382" s="16" t="s">
        <v>18</v>
      </c>
      <c r="N382">
        <f t="shared" si="5"/>
        <v>3147</v>
      </c>
    </row>
    <row r="383" spans="1:14">
      <c r="A383" s="13" t="s">
        <v>279</v>
      </c>
      <c r="B383" s="14" t="s">
        <v>24</v>
      </c>
      <c r="C383" s="36">
        <v>45639</v>
      </c>
      <c r="D383" s="14" t="s">
        <v>25</v>
      </c>
      <c r="E383" s="14" t="s">
        <v>26</v>
      </c>
      <c r="F383" s="14">
        <v>4984</v>
      </c>
      <c r="G383" s="14">
        <v>300</v>
      </c>
      <c r="H383" s="14">
        <v>338</v>
      </c>
      <c r="I383" s="14">
        <v>32900</v>
      </c>
      <c r="J383" s="14">
        <v>31691</v>
      </c>
      <c r="K383" s="14">
        <v>160</v>
      </c>
      <c r="L383" s="14" t="s">
        <v>398</v>
      </c>
      <c r="M383" s="17" t="s">
        <v>18</v>
      </c>
      <c r="N383">
        <f t="shared" si="5"/>
        <v>5622</v>
      </c>
    </row>
    <row r="384" spans="1:14">
      <c r="A384" s="11" t="s">
        <v>279</v>
      </c>
      <c r="B384" s="12" t="s">
        <v>24</v>
      </c>
      <c r="C384" s="35">
        <v>45639</v>
      </c>
      <c r="D384" s="12" t="s">
        <v>25</v>
      </c>
      <c r="E384" s="12" t="s">
        <v>26</v>
      </c>
      <c r="F384" s="12">
        <v>4984</v>
      </c>
      <c r="G384" s="12">
        <v>300</v>
      </c>
      <c r="H384" s="12">
        <v>338</v>
      </c>
      <c r="I384" s="12">
        <v>32900</v>
      </c>
      <c r="J384" s="12">
        <v>31691</v>
      </c>
      <c r="K384" s="12">
        <v>160</v>
      </c>
      <c r="L384" s="12" t="s">
        <v>42</v>
      </c>
      <c r="M384" s="16" t="s">
        <v>18</v>
      </c>
      <c r="N384">
        <f t="shared" si="5"/>
        <v>5622</v>
      </c>
    </row>
    <row r="385" spans="1:14">
      <c r="A385" s="13" t="s">
        <v>280</v>
      </c>
      <c r="B385" s="14" t="s">
        <v>31</v>
      </c>
      <c r="C385" s="36">
        <v>45533</v>
      </c>
      <c r="D385" s="14" t="s">
        <v>15</v>
      </c>
      <c r="E385" s="14" t="s">
        <v>29</v>
      </c>
      <c r="F385" s="14">
        <v>4774</v>
      </c>
      <c r="G385" s="14">
        <v>389</v>
      </c>
      <c r="H385" s="14">
        <v>358</v>
      </c>
      <c r="I385" s="14">
        <v>52346</v>
      </c>
      <c r="J385" s="14">
        <v>30518</v>
      </c>
      <c r="K385" s="14">
        <v>277</v>
      </c>
      <c r="L385" s="14" t="s">
        <v>21</v>
      </c>
      <c r="M385" s="17" t="s">
        <v>22</v>
      </c>
      <c r="N385">
        <f t="shared" si="5"/>
        <v>5521</v>
      </c>
    </row>
    <row r="386" spans="1:14">
      <c r="A386" s="11" t="s">
        <v>280</v>
      </c>
      <c r="B386" s="12" t="s">
        <v>31</v>
      </c>
      <c r="C386" s="35">
        <v>45533</v>
      </c>
      <c r="D386" s="12" t="s">
        <v>15</v>
      </c>
      <c r="E386" s="12" t="s">
        <v>29</v>
      </c>
      <c r="F386" s="12">
        <v>4774</v>
      </c>
      <c r="G386" s="12">
        <v>389</v>
      </c>
      <c r="H386" s="12">
        <v>358</v>
      </c>
      <c r="I386" s="12">
        <v>52346</v>
      </c>
      <c r="J386" s="12">
        <v>30518</v>
      </c>
      <c r="K386" s="12">
        <v>277</v>
      </c>
      <c r="L386" s="12" t="s">
        <v>399</v>
      </c>
      <c r="M386" s="16" t="s">
        <v>22</v>
      </c>
      <c r="N386">
        <f t="shared" si="5"/>
        <v>5521</v>
      </c>
    </row>
    <row r="387" spans="1:14">
      <c r="A387" s="13" t="s">
        <v>281</v>
      </c>
      <c r="B387" s="14" t="s">
        <v>24</v>
      </c>
      <c r="C387" s="36">
        <v>45550</v>
      </c>
      <c r="D387" s="14" t="s">
        <v>15</v>
      </c>
      <c r="E387" s="14" t="s">
        <v>37</v>
      </c>
      <c r="F387" s="14">
        <v>2145</v>
      </c>
      <c r="G387" s="14">
        <v>340</v>
      </c>
      <c r="H387" s="14">
        <v>85</v>
      </c>
      <c r="I387" s="14">
        <v>53323</v>
      </c>
      <c r="J387" s="14">
        <v>49938</v>
      </c>
      <c r="K387" s="14">
        <v>104</v>
      </c>
      <c r="L387" s="14" t="s">
        <v>42</v>
      </c>
      <c r="M387" s="17" t="s">
        <v>18</v>
      </c>
      <c r="N387">
        <f t="shared" ref="N387:N450" si="6">F387+G387+H387</f>
        <v>2570</v>
      </c>
    </row>
    <row r="388" spans="1:14">
      <c r="A388" s="11" t="s">
        <v>282</v>
      </c>
      <c r="B388" s="12" t="s">
        <v>24</v>
      </c>
      <c r="C388" s="35">
        <v>45759</v>
      </c>
      <c r="D388" s="12" t="s">
        <v>25</v>
      </c>
      <c r="E388" s="12" t="s">
        <v>49</v>
      </c>
      <c r="F388" s="12">
        <v>4315</v>
      </c>
      <c r="G388" s="12">
        <v>208</v>
      </c>
      <c r="H388" s="12">
        <v>273</v>
      </c>
      <c r="I388" s="12">
        <v>35780</v>
      </c>
      <c r="J388" s="12">
        <v>44349</v>
      </c>
      <c r="K388" s="12">
        <v>133</v>
      </c>
      <c r="L388" s="12" t="s">
        <v>21</v>
      </c>
      <c r="M388" s="16" t="s">
        <v>18</v>
      </c>
      <c r="N388">
        <f t="shared" si="6"/>
        <v>4796</v>
      </c>
    </row>
    <row r="389" spans="1:14">
      <c r="A389" s="13" t="s">
        <v>282</v>
      </c>
      <c r="B389" s="14" t="s">
        <v>24</v>
      </c>
      <c r="C389" s="36">
        <v>45759</v>
      </c>
      <c r="D389" s="14" t="s">
        <v>25</v>
      </c>
      <c r="E389" s="14" t="s">
        <v>49</v>
      </c>
      <c r="F389" s="14">
        <v>4315</v>
      </c>
      <c r="G389" s="14">
        <v>208</v>
      </c>
      <c r="H389" s="14">
        <v>273</v>
      </c>
      <c r="I389" s="14">
        <v>35780</v>
      </c>
      <c r="J389" s="14">
        <v>44349</v>
      </c>
      <c r="K389" s="14">
        <v>133</v>
      </c>
      <c r="L389" s="14" t="s">
        <v>398</v>
      </c>
      <c r="M389" s="17" t="s">
        <v>18</v>
      </c>
      <c r="N389">
        <f t="shared" si="6"/>
        <v>4796</v>
      </c>
    </row>
    <row r="390" spans="1:14">
      <c r="A390" s="11" t="s">
        <v>283</v>
      </c>
      <c r="B390" s="12" t="s">
        <v>24</v>
      </c>
      <c r="C390" s="35">
        <v>45636</v>
      </c>
      <c r="D390" s="12" t="s">
        <v>25</v>
      </c>
      <c r="E390" s="12" t="s">
        <v>29</v>
      </c>
      <c r="F390" s="12">
        <v>2267</v>
      </c>
      <c r="G390" s="12">
        <v>230</v>
      </c>
      <c r="H390" s="12">
        <v>243</v>
      </c>
      <c r="I390" s="12">
        <v>27904</v>
      </c>
      <c r="J390" s="12">
        <v>69771</v>
      </c>
      <c r="K390" s="12">
        <v>255</v>
      </c>
      <c r="L390" s="12" t="s">
        <v>21</v>
      </c>
      <c r="M390" s="16" t="s">
        <v>18</v>
      </c>
      <c r="N390">
        <f t="shared" si="6"/>
        <v>2740</v>
      </c>
    </row>
    <row r="391" spans="1:14">
      <c r="A391" s="13" t="s">
        <v>283</v>
      </c>
      <c r="B391" s="14" t="s">
        <v>24</v>
      </c>
      <c r="C391" s="36">
        <v>45636</v>
      </c>
      <c r="D391" s="14" t="s">
        <v>25</v>
      </c>
      <c r="E391" s="14" t="s">
        <v>29</v>
      </c>
      <c r="F391" s="14">
        <v>2267</v>
      </c>
      <c r="G391" s="14">
        <v>230</v>
      </c>
      <c r="H391" s="14">
        <v>243</v>
      </c>
      <c r="I391" s="14">
        <v>27904</v>
      </c>
      <c r="J391" s="14">
        <v>69771</v>
      </c>
      <c r="K391" s="14">
        <v>255</v>
      </c>
      <c r="L391" s="14" t="s">
        <v>398</v>
      </c>
      <c r="M391" s="17" t="s">
        <v>18</v>
      </c>
      <c r="N391">
        <f t="shared" si="6"/>
        <v>2740</v>
      </c>
    </row>
    <row r="392" spans="1:14">
      <c r="A392" s="11" t="s">
        <v>284</v>
      </c>
      <c r="B392" s="12" t="s">
        <v>31</v>
      </c>
      <c r="C392" s="35">
        <v>45816</v>
      </c>
      <c r="D392" s="12" t="s">
        <v>15</v>
      </c>
      <c r="E392" s="12" t="s">
        <v>32</v>
      </c>
      <c r="F392" s="12">
        <v>4375</v>
      </c>
      <c r="G392" s="12">
        <v>303</v>
      </c>
      <c r="H392" s="12">
        <v>294</v>
      </c>
      <c r="I392" s="12">
        <v>57468</v>
      </c>
      <c r="J392" s="12">
        <v>53397</v>
      </c>
      <c r="K392" s="12">
        <v>159</v>
      </c>
      <c r="L392" s="12" t="s">
        <v>21</v>
      </c>
      <c r="M392" s="16" t="s">
        <v>22</v>
      </c>
      <c r="N392">
        <f t="shared" si="6"/>
        <v>4972</v>
      </c>
    </row>
    <row r="393" spans="1:14">
      <c r="A393" s="13" t="s">
        <v>284</v>
      </c>
      <c r="B393" s="14" t="s">
        <v>31</v>
      </c>
      <c r="C393" s="36">
        <v>45816</v>
      </c>
      <c r="D393" s="14" t="s">
        <v>15</v>
      </c>
      <c r="E393" s="14" t="s">
        <v>32</v>
      </c>
      <c r="F393" s="14">
        <v>4375</v>
      </c>
      <c r="G393" s="14">
        <v>303</v>
      </c>
      <c r="H393" s="14">
        <v>294</v>
      </c>
      <c r="I393" s="14">
        <v>57468</v>
      </c>
      <c r="J393" s="14">
        <v>53397</v>
      </c>
      <c r="K393" s="14">
        <v>159</v>
      </c>
      <c r="L393" s="14" t="s">
        <v>399</v>
      </c>
      <c r="M393" s="17" t="s">
        <v>22</v>
      </c>
      <c r="N393">
        <f t="shared" si="6"/>
        <v>4972</v>
      </c>
    </row>
    <row r="394" spans="1:14">
      <c r="A394" s="11" t="s">
        <v>285</v>
      </c>
      <c r="B394" s="12" t="s">
        <v>24</v>
      </c>
      <c r="C394" s="35">
        <v>45666</v>
      </c>
      <c r="D394" s="12" t="s">
        <v>25</v>
      </c>
      <c r="E394" s="12" t="s">
        <v>51</v>
      </c>
      <c r="F394" s="12">
        <v>3817</v>
      </c>
      <c r="G394" s="12">
        <v>284</v>
      </c>
      <c r="H394" s="12">
        <v>204</v>
      </c>
      <c r="I394" s="12">
        <v>46434</v>
      </c>
      <c r="J394" s="12">
        <v>53396</v>
      </c>
      <c r="K394" s="12">
        <v>104</v>
      </c>
      <c r="L394" s="12" t="s">
        <v>398</v>
      </c>
      <c r="M394" s="16" t="s">
        <v>18</v>
      </c>
      <c r="N394">
        <f t="shared" si="6"/>
        <v>4305</v>
      </c>
    </row>
    <row r="395" spans="1:14">
      <c r="A395" s="13" t="s">
        <v>285</v>
      </c>
      <c r="B395" s="14" t="s">
        <v>24</v>
      </c>
      <c r="C395" s="36">
        <v>45666</v>
      </c>
      <c r="D395" s="14" t="s">
        <v>25</v>
      </c>
      <c r="E395" s="14" t="s">
        <v>51</v>
      </c>
      <c r="F395" s="14">
        <v>3817</v>
      </c>
      <c r="G395" s="14">
        <v>284</v>
      </c>
      <c r="H395" s="14">
        <v>204</v>
      </c>
      <c r="I395" s="14">
        <v>46434</v>
      </c>
      <c r="J395" s="14">
        <v>53396</v>
      </c>
      <c r="K395" s="14">
        <v>104</v>
      </c>
      <c r="L395" s="14" t="s">
        <v>42</v>
      </c>
      <c r="M395" s="17" t="s">
        <v>18</v>
      </c>
      <c r="N395">
        <f t="shared" si="6"/>
        <v>4305</v>
      </c>
    </row>
    <row r="396" spans="1:14">
      <c r="A396" s="11" t="s">
        <v>286</v>
      </c>
      <c r="B396" s="12" t="s">
        <v>24</v>
      </c>
      <c r="C396" s="35">
        <v>45481</v>
      </c>
      <c r="D396" s="12" t="s">
        <v>25</v>
      </c>
      <c r="E396" s="12" t="s">
        <v>41</v>
      </c>
      <c r="F396" s="12">
        <v>2981</v>
      </c>
      <c r="G396" s="12">
        <v>258</v>
      </c>
      <c r="H396" s="12">
        <v>168</v>
      </c>
      <c r="I396" s="12">
        <v>20677</v>
      </c>
      <c r="J396" s="12">
        <v>68290</v>
      </c>
      <c r="K396" s="12">
        <v>130</v>
      </c>
      <c r="L396" s="12" t="s">
        <v>45</v>
      </c>
      <c r="M396" s="16" t="s">
        <v>18</v>
      </c>
      <c r="N396">
        <f t="shared" si="6"/>
        <v>3407</v>
      </c>
    </row>
    <row r="397" spans="1:14">
      <c r="A397" s="13" t="s">
        <v>286</v>
      </c>
      <c r="B397" s="14" t="s">
        <v>24</v>
      </c>
      <c r="C397" s="36">
        <v>45481</v>
      </c>
      <c r="D397" s="14" t="s">
        <v>25</v>
      </c>
      <c r="E397" s="14" t="s">
        <v>41</v>
      </c>
      <c r="F397" s="14">
        <v>2981</v>
      </c>
      <c r="G397" s="14">
        <v>258</v>
      </c>
      <c r="H397" s="14">
        <v>168</v>
      </c>
      <c r="I397" s="14">
        <v>20677</v>
      </c>
      <c r="J397" s="14">
        <v>68290</v>
      </c>
      <c r="K397" s="14">
        <v>130</v>
      </c>
      <c r="L397" s="14" t="s">
        <v>42</v>
      </c>
      <c r="M397" s="17" t="s">
        <v>18</v>
      </c>
      <c r="N397">
        <f t="shared" si="6"/>
        <v>3407</v>
      </c>
    </row>
    <row r="398" spans="1:14">
      <c r="A398" s="11" t="s">
        <v>287</v>
      </c>
      <c r="B398" s="12" t="s">
        <v>24</v>
      </c>
      <c r="C398" s="35">
        <v>45551</v>
      </c>
      <c r="D398" s="12" t="s">
        <v>25</v>
      </c>
      <c r="E398" s="12" t="s">
        <v>51</v>
      </c>
      <c r="F398" s="12">
        <v>3300</v>
      </c>
      <c r="G398" s="12">
        <v>354</v>
      </c>
      <c r="H398" s="12">
        <v>397</v>
      </c>
      <c r="I398" s="12">
        <v>56773</v>
      </c>
      <c r="J398" s="12">
        <v>72110</v>
      </c>
      <c r="K398" s="12">
        <v>163</v>
      </c>
      <c r="L398" s="12" t="s">
        <v>21</v>
      </c>
      <c r="M398" s="16" t="s">
        <v>18</v>
      </c>
      <c r="N398">
        <f t="shared" si="6"/>
        <v>4051</v>
      </c>
    </row>
    <row r="399" spans="1:14">
      <c r="A399" s="13" t="s">
        <v>287</v>
      </c>
      <c r="B399" s="14" t="s">
        <v>24</v>
      </c>
      <c r="C399" s="36">
        <v>45551</v>
      </c>
      <c r="D399" s="14" t="s">
        <v>25</v>
      </c>
      <c r="E399" s="14" t="s">
        <v>51</v>
      </c>
      <c r="F399" s="14">
        <v>3300</v>
      </c>
      <c r="G399" s="14">
        <v>354</v>
      </c>
      <c r="H399" s="14">
        <v>397</v>
      </c>
      <c r="I399" s="14">
        <v>56773</v>
      </c>
      <c r="J399" s="14">
        <v>72110</v>
      </c>
      <c r="K399" s="14">
        <v>163</v>
      </c>
      <c r="L399" s="14" t="s">
        <v>398</v>
      </c>
      <c r="M399" s="17" t="s">
        <v>18</v>
      </c>
      <c r="N399">
        <f t="shared" si="6"/>
        <v>4051</v>
      </c>
    </row>
    <row r="400" spans="1:14">
      <c r="A400" s="11" t="s">
        <v>288</v>
      </c>
      <c r="B400" s="12" t="s">
        <v>31</v>
      </c>
      <c r="C400" s="35">
        <v>45457</v>
      </c>
      <c r="D400" s="12" t="s">
        <v>57</v>
      </c>
      <c r="E400" s="12" t="s">
        <v>29</v>
      </c>
      <c r="F400" s="12">
        <v>4722</v>
      </c>
      <c r="G400" s="12">
        <v>310</v>
      </c>
      <c r="H400" s="12">
        <v>344</v>
      </c>
      <c r="I400" s="12">
        <v>27911</v>
      </c>
      <c r="J400" s="12">
        <v>19000</v>
      </c>
      <c r="K400" s="12">
        <v>225</v>
      </c>
      <c r="L400" s="12" t="s">
        <v>21</v>
      </c>
      <c r="M400" s="16" t="s">
        <v>59</v>
      </c>
      <c r="N400">
        <f t="shared" si="6"/>
        <v>5376</v>
      </c>
    </row>
    <row r="401" spans="1:14">
      <c r="A401" s="13" t="s">
        <v>288</v>
      </c>
      <c r="B401" s="14" t="s">
        <v>31</v>
      </c>
      <c r="C401" s="36">
        <v>45457</v>
      </c>
      <c r="D401" s="14" t="s">
        <v>57</v>
      </c>
      <c r="E401" s="14" t="s">
        <v>29</v>
      </c>
      <c r="F401" s="14">
        <v>4722</v>
      </c>
      <c r="G401" s="14">
        <v>310</v>
      </c>
      <c r="H401" s="14">
        <v>344</v>
      </c>
      <c r="I401" s="14">
        <v>27911</v>
      </c>
      <c r="J401" s="14">
        <v>19000</v>
      </c>
      <c r="K401" s="14">
        <v>225</v>
      </c>
      <c r="L401" s="14" t="s">
        <v>45</v>
      </c>
      <c r="M401" s="17" t="s">
        <v>59</v>
      </c>
      <c r="N401">
        <f t="shared" si="6"/>
        <v>5376</v>
      </c>
    </row>
    <row r="402" spans="1:14">
      <c r="A402" s="11" t="s">
        <v>289</v>
      </c>
      <c r="B402" s="12" t="s">
        <v>14</v>
      </c>
      <c r="C402" s="35">
        <v>45357</v>
      </c>
      <c r="D402" s="12" t="s">
        <v>15</v>
      </c>
      <c r="E402" s="12" t="s">
        <v>35</v>
      </c>
      <c r="F402" s="12">
        <v>3529</v>
      </c>
      <c r="G402" s="12">
        <v>263</v>
      </c>
      <c r="H402" s="12">
        <v>107</v>
      </c>
      <c r="I402" s="12">
        <v>26570</v>
      </c>
      <c r="J402" s="12">
        <v>19367</v>
      </c>
      <c r="K402" s="12">
        <v>96</v>
      </c>
      <c r="L402" s="12" t="s">
        <v>21</v>
      </c>
      <c r="M402" s="16" t="s">
        <v>22</v>
      </c>
      <c r="N402">
        <f t="shared" si="6"/>
        <v>3899</v>
      </c>
    </row>
    <row r="403" spans="1:14">
      <c r="A403" s="13" t="s">
        <v>290</v>
      </c>
      <c r="B403" s="14" t="s">
        <v>24</v>
      </c>
      <c r="C403" s="36">
        <v>45792</v>
      </c>
      <c r="D403" s="14" t="s">
        <v>15</v>
      </c>
      <c r="E403" s="14" t="s">
        <v>51</v>
      </c>
      <c r="F403" s="14">
        <v>4782</v>
      </c>
      <c r="G403" s="14">
        <v>210</v>
      </c>
      <c r="H403" s="14">
        <v>311</v>
      </c>
      <c r="I403" s="14">
        <v>29793</v>
      </c>
      <c r="J403" s="14">
        <v>37543</v>
      </c>
      <c r="K403" s="14">
        <v>145</v>
      </c>
      <c r="L403" s="14" t="s">
        <v>42</v>
      </c>
      <c r="M403" s="17" t="s">
        <v>18</v>
      </c>
      <c r="N403">
        <f t="shared" si="6"/>
        <v>5303</v>
      </c>
    </row>
    <row r="404" spans="1:14">
      <c r="A404" s="11" t="s">
        <v>291</v>
      </c>
      <c r="B404" s="12" t="s">
        <v>24</v>
      </c>
      <c r="C404" s="35">
        <v>45480</v>
      </c>
      <c r="D404" s="12" t="s">
        <v>15</v>
      </c>
      <c r="E404" s="12" t="s">
        <v>35</v>
      </c>
      <c r="F404" s="12">
        <v>1848</v>
      </c>
      <c r="G404" s="12">
        <v>417</v>
      </c>
      <c r="H404" s="12">
        <v>294</v>
      </c>
      <c r="I404" s="12">
        <v>57819</v>
      </c>
      <c r="J404" s="12">
        <v>19798</v>
      </c>
      <c r="K404" s="12">
        <v>262</v>
      </c>
      <c r="L404" s="12" t="s">
        <v>45</v>
      </c>
      <c r="M404" s="16" t="s">
        <v>22</v>
      </c>
      <c r="N404">
        <f t="shared" si="6"/>
        <v>2559</v>
      </c>
    </row>
    <row r="405" spans="1:14">
      <c r="A405" s="13" t="s">
        <v>292</v>
      </c>
      <c r="B405" s="14" t="s">
        <v>31</v>
      </c>
      <c r="C405" s="36">
        <v>45591</v>
      </c>
      <c r="D405" s="14" t="s">
        <v>15</v>
      </c>
      <c r="E405" s="14" t="s">
        <v>26</v>
      </c>
      <c r="F405" s="14">
        <v>4676</v>
      </c>
      <c r="G405" s="14">
        <v>211</v>
      </c>
      <c r="H405" s="14">
        <v>55</v>
      </c>
      <c r="I405" s="14">
        <v>45917</v>
      </c>
      <c r="J405" s="14">
        <v>73503</v>
      </c>
      <c r="K405" s="14">
        <v>248</v>
      </c>
      <c r="L405" s="14" t="s">
        <v>21</v>
      </c>
      <c r="M405" s="17" t="s">
        <v>22</v>
      </c>
      <c r="N405">
        <f t="shared" si="6"/>
        <v>4942</v>
      </c>
    </row>
    <row r="406" spans="1:14">
      <c r="A406" s="11" t="s">
        <v>292</v>
      </c>
      <c r="B406" s="12" t="s">
        <v>31</v>
      </c>
      <c r="C406" s="35">
        <v>45591</v>
      </c>
      <c r="D406" s="12" t="s">
        <v>15</v>
      </c>
      <c r="E406" s="12" t="s">
        <v>26</v>
      </c>
      <c r="F406" s="12">
        <v>4676</v>
      </c>
      <c r="G406" s="12">
        <v>211</v>
      </c>
      <c r="H406" s="12">
        <v>55</v>
      </c>
      <c r="I406" s="12">
        <v>45917</v>
      </c>
      <c r="J406" s="12">
        <v>73503</v>
      </c>
      <c r="K406" s="12">
        <v>248</v>
      </c>
      <c r="L406" s="12" t="s">
        <v>399</v>
      </c>
      <c r="M406" s="16" t="s">
        <v>22</v>
      </c>
      <c r="N406">
        <f t="shared" si="6"/>
        <v>4942</v>
      </c>
    </row>
    <row r="407" spans="1:14">
      <c r="A407" s="13" t="s">
        <v>293</v>
      </c>
      <c r="B407" s="14" t="s">
        <v>31</v>
      </c>
      <c r="C407" s="36">
        <v>45512</v>
      </c>
      <c r="D407" s="14" t="s">
        <v>15</v>
      </c>
      <c r="E407" s="14" t="s">
        <v>49</v>
      </c>
      <c r="F407" s="14">
        <v>1994</v>
      </c>
      <c r="G407" s="14">
        <v>197</v>
      </c>
      <c r="H407" s="14">
        <v>290</v>
      </c>
      <c r="I407" s="14">
        <v>49500</v>
      </c>
      <c r="J407" s="14">
        <v>23343</v>
      </c>
      <c r="K407" s="14">
        <v>160</v>
      </c>
      <c r="L407" s="14" t="s">
        <v>21</v>
      </c>
      <c r="M407" s="17" t="s">
        <v>22</v>
      </c>
      <c r="N407">
        <f t="shared" si="6"/>
        <v>2481</v>
      </c>
    </row>
    <row r="408" spans="1:14">
      <c r="A408" s="11" t="s">
        <v>293</v>
      </c>
      <c r="B408" s="12" t="s">
        <v>31</v>
      </c>
      <c r="C408" s="35">
        <v>45512</v>
      </c>
      <c r="D408" s="12" t="s">
        <v>15</v>
      </c>
      <c r="E408" s="12" t="s">
        <v>49</v>
      </c>
      <c r="F408" s="12">
        <v>1994</v>
      </c>
      <c r="G408" s="12">
        <v>197</v>
      </c>
      <c r="H408" s="12">
        <v>290</v>
      </c>
      <c r="I408" s="12">
        <v>49500</v>
      </c>
      <c r="J408" s="12">
        <v>23343</v>
      </c>
      <c r="K408" s="12">
        <v>160</v>
      </c>
      <c r="L408" s="12" t="s">
        <v>399</v>
      </c>
      <c r="M408" s="16" t="s">
        <v>22</v>
      </c>
      <c r="N408">
        <f t="shared" si="6"/>
        <v>2481</v>
      </c>
    </row>
    <row r="409" spans="1:14">
      <c r="A409" s="13" t="s">
        <v>294</v>
      </c>
      <c r="B409" s="14" t="s">
        <v>24</v>
      </c>
      <c r="C409" s="36">
        <v>45691</v>
      </c>
      <c r="D409" s="14" t="s">
        <v>15</v>
      </c>
      <c r="E409" s="14" t="s">
        <v>35</v>
      </c>
      <c r="F409" s="14">
        <v>4995</v>
      </c>
      <c r="G409" s="14">
        <v>231</v>
      </c>
      <c r="H409" s="14">
        <v>94</v>
      </c>
      <c r="I409" s="14">
        <v>34431</v>
      </c>
      <c r="J409" s="14">
        <v>32560</v>
      </c>
      <c r="K409" s="14">
        <v>262</v>
      </c>
      <c r="L409" s="14" t="s">
        <v>42</v>
      </c>
      <c r="M409" s="17" t="s">
        <v>18</v>
      </c>
      <c r="N409">
        <f t="shared" si="6"/>
        <v>5320</v>
      </c>
    </row>
    <row r="410" spans="1:14">
      <c r="A410" s="11" t="s">
        <v>295</v>
      </c>
      <c r="B410" s="12" t="s">
        <v>24</v>
      </c>
      <c r="C410" s="35">
        <v>45385</v>
      </c>
      <c r="D410" s="12" t="s">
        <v>25</v>
      </c>
      <c r="E410" s="12" t="s">
        <v>41</v>
      </c>
      <c r="F410" s="12">
        <v>2291</v>
      </c>
      <c r="G410" s="12">
        <v>146</v>
      </c>
      <c r="H410" s="12">
        <v>399</v>
      </c>
      <c r="I410" s="12">
        <v>49319</v>
      </c>
      <c r="J410" s="12">
        <v>28056</v>
      </c>
      <c r="K410" s="12">
        <v>90</v>
      </c>
      <c r="L410" s="12" t="s">
        <v>21</v>
      </c>
      <c r="M410" s="16" t="s">
        <v>18</v>
      </c>
      <c r="N410">
        <f t="shared" si="6"/>
        <v>2836</v>
      </c>
    </row>
    <row r="411" spans="1:14">
      <c r="A411" s="13" t="s">
        <v>295</v>
      </c>
      <c r="B411" s="14" t="s">
        <v>24</v>
      </c>
      <c r="C411" s="36">
        <v>45385</v>
      </c>
      <c r="D411" s="14" t="s">
        <v>25</v>
      </c>
      <c r="E411" s="14" t="s">
        <v>41</v>
      </c>
      <c r="F411" s="14">
        <v>2291</v>
      </c>
      <c r="G411" s="14">
        <v>146</v>
      </c>
      <c r="H411" s="14">
        <v>399</v>
      </c>
      <c r="I411" s="14">
        <v>49319</v>
      </c>
      <c r="J411" s="14">
        <v>28056</v>
      </c>
      <c r="K411" s="14">
        <v>90</v>
      </c>
      <c r="L411" s="14" t="s">
        <v>398</v>
      </c>
      <c r="M411" s="17" t="s">
        <v>18</v>
      </c>
      <c r="N411">
        <f t="shared" si="6"/>
        <v>2836</v>
      </c>
    </row>
    <row r="412" spans="1:14">
      <c r="A412" s="11" t="s">
        <v>296</v>
      </c>
      <c r="B412" s="12" t="s">
        <v>24</v>
      </c>
      <c r="C412" s="35">
        <v>45481</v>
      </c>
      <c r="D412" s="12" t="s">
        <v>25</v>
      </c>
      <c r="E412" s="12" t="s">
        <v>29</v>
      </c>
      <c r="F412" s="12">
        <v>2304</v>
      </c>
      <c r="G412" s="12">
        <v>289</v>
      </c>
      <c r="H412" s="12">
        <v>161</v>
      </c>
      <c r="I412" s="12">
        <v>52645</v>
      </c>
      <c r="J412" s="12">
        <v>66262</v>
      </c>
      <c r="K412" s="12">
        <v>146</v>
      </c>
      <c r="L412" s="12" t="s">
        <v>398</v>
      </c>
      <c r="M412" s="16" t="s">
        <v>18</v>
      </c>
      <c r="N412">
        <f t="shared" si="6"/>
        <v>2754</v>
      </c>
    </row>
    <row r="413" spans="1:14">
      <c r="A413" s="23" t="s">
        <v>296</v>
      </c>
      <c r="B413" s="20" t="s">
        <v>24</v>
      </c>
      <c r="C413" s="36">
        <v>45481</v>
      </c>
      <c r="D413" s="20" t="s">
        <v>25</v>
      </c>
      <c r="E413" s="20" t="s">
        <v>29</v>
      </c>
      <c r="F413" s="20">
        <v>2304</v>
      </c>
      <c r="G413" s="20">
        <v>289</v>
      </c>
      <c r="H413" s="20">
        <v>161</v>
      </c>
      <c r="I413" s="20">
        <v>52645</v>
      </c>
      <c r="J413" s="20">
        <v>66262</v>
      </c>
      <c r="K413" s="20">
        <v>146</v>
      </c>
      <c r="L413" s="20" t="s">
        <v>42</v>
      </c>
      <c r="M413" s="21" t="s">
        <v>18</v>
      </c>
      <c r="N413">
        <f t="shared" si="6"/>
        <v>2754</v>
      </c>
    </row>
    <row r="414" spans="1:14">
      <c r="A414" s="22" t="s">
        <v>297</v>
      </c>
      <c r="B414" s="18" t="s">
        <v>24</v>
      </c>
      <c r="C414" s="35">
        <v>45451</v>
      </c>
      <c r="D414" s="18" t="s">
        <v>25</v>
      </c>
      <c r="E414" s="18" t="s">
        <v>41</v>
      </c>
      <c r="F414" s="18">
        <v>3413</v>
      </c>
      <c r="G414" s="18">
        <v>326</v>
      </c>
      <c r="H414" s="18">
        <v>86</v>
      </c>
      <c r="I414" s="18">
        <v>44680</v>
      </c>
      <c r="J414" s="18">
        <v>52719</v>
      </c>
      <c r="K414" s="18">
        <v>272</v>
      </c>
      <c r="L414" s="18" t="s">
        <v>21</v>
      </c>
      <c r="M414" s="19" t="s">
        <v>18</v>
      </c>
      <c r="N414">
        <f t="shared" si="6"/>
        <v>3825</v>
      </c>
    </row>
    <row r="415" spans="1:14">
      <c r="A415" s="23" t="s">
        <v>297</v>
      </c>
      <c r="B415" s="20" t="s">
        <v>24</v>
      </c>
      <c r="C415" s="36">
        <v>45451</v>
      </c>
      <c r="D415" s="20" t="s">
        <v>25</v>
      </c>
      <c r="E415" s="20" t="s">
        <v>41</v>
      </c>
      <c r="F415" s="20">
        <v>3413</v>
      </c>
      <c r="G415" s="20">
        <v>326</v>
      </c>
      <c r="H415" s="20">
        <v>86</v>
      </c>
      <c r="I415" s="20">
        <v>44680</v>
      </c>
      <c r="J415" s="20">
        <v>52719</v>
      </c>
      <c r="K415" s="20">
        <v>272</v>
      </c>
      <c r="L415" s="20" t="s">
        <v>398</v>
      </c>
      <c r="M415" s="21" t="s">
        <v>18</v>
      </c>
      <c r="N415">
        <f t="shared" si="6"/>
        <v>3825</v>
      </c>
    </row>
    <row r="416" spans="1:14">
      <c r="A416" s="22" t="s">
        <v>298</v>
      </c>
      <c r="B416" s="18" t="s">
        <v>31</v>
      </c>
      <c r="C416" s="35">
        <v>45736</v>
      </c>
      <c r="D416" s="18" t="s">
        <v>57</v>
      </c>
      <c r="E416" s="18" t="s">
        <v>49</v>
      </c>
      <c r="F416" s="18">
        <v>1453</v>
      </c>
      <c r="G416" s="18">
        <v>156</v>
      </c>
      <c r="H416" s="18">
        <v>178</v>
      </c>
      <c r="I416" s="18">
        <v>52980</v>
      </c>
      <c r="J416" s="18">
        <v>57180</v>
      </c>
      <c r="K416" s="18">
        <v>286</v>
      </c>
      <c r="L416" s="18" t="s">
        <v>21</v>
      </c>
      <c r="M416" s="19" t="s">
        <v>59</v>
      </c>
      <c r="N416">
        <f t="shared" si="6"/>
        <v>1787</v>
      </c>
    </row>
    <row r="417" spans="1:14">
      <c r="A417" s="23" t="s">
        <v>298</v>
      </c>
      <c r="B417" s="20" t="s">
        <v>31</v>
      </c>
      <c r="C417" s="36">
        <v>45736</v>
      </c>
      <c r="D417" s="20" t="s">
        <v>57</v>
      </c>
      <c r="E417" s="20" t="s">
        <v>49</v>
      </c>
      <c r="F417" s="20">
        <v>1453</v>
      </c>
      <c r="G417" s="20">
        <v>156</v>
      </c>
      <c r="H417" s="20">
        <v>178</v>
      </c>
      <c r="I417" s="20">
        <v>52980</v>
      </c>
      <c r="J417" s="20">
        <v>57180</v>
      </c>
      <c r="K417" s="20">
        <v>286</v>
      </c>
      <c r="L417" s="20" t="s">
        <v>45</v>
      </c>
      <c r="M417" s="21" t="s">
        <v>59</v>
      </c>
      <c r="N417">
        <f t="shared" si="6"/>
        <v>1787</v>
      </c>
    </row>
    <row r="418" spans="1:14">
      <c r="A418" s="22" t="s">
        <v>299</v>
      </c>
      <c r="B418" s="18" t="s">
        <v>24</v>
      </c>
      <c r="C418" s="35">
        <v>45676</v>
      </c>
      <c r="D418" s="18" t="s">
        <v>25</v>
      </c>
      <c r="E418" s="18" t="s">
        <v>32</v>
      </c>
      <c r="F418" s="18">
        <v>1651</v>
      </c>
      <c r="G418" s="18">
        <v>480</v>
      </c>
      <c r="H418" s="18">
        <v>282</v>
      </c>
      <c r="I418" s="18">
        <v>32140</v>
      </c>
      <c r="J418" s="18">
        <v>70560</v>
      </c>
      <c r="K418" s="18">
        <v>138</v>
      </c>
      <c r="L418" s="18" t="s">
        <v>45</v>
      </c>
      <c r="M418" s="19" t="s">
        <v>18</v>
      </c>
      <c r="N418">
        <f t="shared" si="6"/>
        <v>2413</v>
      </c>
    </row>
    <row r="419" spans="1:14">
      <c r="A419" s="23" t="s">
        <v>299</v>
      </c>
      <c r="B419" s="20" t="s">
        <v>24</v>
      </c>
      <c r="C419" s="36">
        <v>45676</v>
      </c>
      <c r="D419" s="20" t="s">
        <v>25</v>
      </c>
      <c r="E419" s="20" t="s">
        <v>32</v>
      </c>
      <c r="F419" s="20">
        <v>1651</v>
      </c>
      <c r="G419" s="20">
        <v>480</v>
      </c>
      <c r="H419" s="20">
        <v>282</v>
      </c>
      <c r="I419" s="20">
        <v>32140</v>
      </c>
      <c r="J419" s="20">
        <v>70560</v>
      </c>
      <c r="K419" s="20">
        <v>138</v>
      </c>
      <c r="L419" s="20" t="s">
        <v>42</v>
      </c>
      <c r="M419" s="21" t="s">
        <v>18</v>
      </c>
      <c r="N419">
        <f t="shared" si="6"/>
        <v>2413</v>
      </c>
    </row>
    <row r="420" spans="1:14">
      <c r="A420" s="22" t="s">
        <v>300</v>
      </c>
      <c r="B420" s="18" t="s">
        <v>24</v>
      </c>
      <c r="C420" s="35">
        <v>45662</v>
      </c>
      <c r="D420" s="18" t="s">
        <v>25</v>
      </c>
      <c r="E420" s="18" t="s">
        <v>20</v>
      </c>
      <c r="F420" s="18">
        <v>3341</v>
      </c>
      <c r="G420" s="18">
        <v>154</v>
      </c>
      <c r="H420" s="18">
        <v>123</v>
      </c>
      <c r="I420" s="18">
        <v>43369</v>
      </c>
      <c r="J420" s="18">
        <v>49035</v>
      </c>
      <c r="K420" s="18">
        <v>128</v>
      </c>
      <c r="L420" s="18" t="s">
        <v>398</v>
      </c>
      <c r="M420" s="19" t="s">
        <v>18</v>
      </c>
      <c r="N420">
        <f t="shared" si="6"/>
        <v>3618</v>
      </c>
    </row>
    <row r="421" spans="1:14">
      <c r="A421" s="23" t="s">
        <v>300</v>
      </c>
      <c r="B421" s="20" t="s">
        <v>24</v>
      </c>
      <c r="C421" s="36">
        <v>45662</v>
      </c>
      <c r="D421" s="20" t="s">
        <v>25</v>
      </c>
      <c r="E421" s="20" t="s">
        <v>20</v>
      </c>
      <c r="F421" s="20">
        <v>3341</v>
      </c>
      <c r="G421" s="20">
        <v>154</v>
      </c>
      <c r="H421" s="20">
        <v>123</v>
      </c>
      <c r="I421" s="20">
        <v>43369</v>
      </c>
      <c r="J421" s="20">
        <v>49035</v>
      </c>
      <c r="K421" s="20">
        <v>128</v>
      </c>
      <c r="L421" s="20" t="s">
        <v>42</v>
      </c>
      <c r="M421" s="21" t="s">
        <v>18</v>
      </c>
      <c r="N421">
        <f t="shared" si="6"/>
        <v>3618</v>
      </c>
    </row>
    <row r="422" spans="1:14">
      <c r="A422" s="22" t="s">
        <v>301</v>
      </c>
      <c r="B422" s="18" t="s">
        <v>24</v>
      </c>
      <c r="C422" s="35">
        <v>45612</v>
      </c>
      <c r="D422" s="18" t="s">
        <v>15</v>
      </c>
      <c r="E422" s="18" t="s">
        <v>49</v>
      </c>
      <c r="F422" s="18">
        <v>2972</v>
      </c>
      <c r="G422" s="18">
        <v>263</v>
      </c>
      <c r="H422" s="18">
        <v>308</v>
      </c>
      <c r="I422" s="18">
        <v>51740</v>
      </c>
      <c r="J422" s="18">
        <v>28214</v>
      </c>
      <c r="K422" s="18">
        <v>190</v>
      </c>
      <c r="L422" s="18" t="s">
        <v>45</v>
      </c>
      <c r="M422" s="19" t="s">
        <v>22</v>
      </c>
      <c r="N422">
        <f t="shared" si="6"/>
        <v>3543</v>
      </c>
    </row>
    <row r="423" spans="1:14">
      <c r="A423" s="23" t="s">
        <v>302</v>
      </c>
      <c r="B423" s="20" t="s">
        <v>24</v>
      </c>
      <c r="C423" s="36">
        <v>45626</v>
      </c>
      <c r="D423" s="20" t="s">
        <v>25</v>
      </c>
      <c r="E423" s="20" t="s">
        <v>20</v>
      </c>
      <c r="F423" s="20">
        <v>4963</v>
      </c>
      <c r="G423" s="20">
        <v>255</v>
      </c>
      <c r="H423" s="20">
        <v>193</v>
      </c>
      <c r="I423" s="20">
        <v>44386</v>
      </c>
      <c r="J423" s="20">
        <v>28415</v>
      </c>
      <c r="K423" s="20">
        <v>174</v>
      </c>
      <c r="L423" s="20" t="s">
        <v>398</v>
      </c>
      <c r="M423" s="21" t="s">
        <v>18</v>
      </c>
      <c r="N423">
        <f t="shared" si="6"/>
        <v>5411</v>
      </c>
    </row>
    <row r="424" spans="1:14">
      <c r="A424" s="22" t="s">
        <v>302</v>
      </c>
      <c r="B424" s="18" t="s">
        <v>24</v>
      </c>
      <c r="C424" s="35">
        <v>45626</v>
      </c>
      <c r="D424" s="18" t="s">
        <v>25</v>
      </c>
      <c r="E424" s="18" t="s">
        <v>20</v>
      </c>
      <c r="F424" s="18">
        <v>4963</v>
      </c>
      <c r="G424" s="18">
        <v>255</v>
      </c>
      <c r="H424" s="18">
        <v>193</v>
      </c>
      <c r="I424" s="18">
        <v>44386</v>
      </c>
      <c r="J424" s="18">
        <v>28415</v>
      </c>
      <c r="K424" s="18">
        <v>174</v>
      </c>
      <c r="L424" s="18" t="s">
        <v>42</v>
      </c>
      <c r="M424" s="19" t="s">
        <v>18</v>
      </c>
      <c r="N424">
        <f t="shared" si="6"/>
        <v>5411</v>
      </c>
    </row>
    <row r="425" spans="1:14">
      <c r="A425" s="23" t="s">
        <v>303</v>
      </c>
      <c r="B425" s="20" t="s">
        <v>31</v>
      </c>
      <c r="C425" s="36">
        <v>45378</v>
      </c>
      <c r="D425" s="20" t="s">
        <v>15</v>
      </c>
      <c r="E425" s="20" t="s">
        <v>32</v>
      </c>
      <c r="F425" s="20">
        <v>2399</v>
      </c>
      <c r="G425" s="20">
        <v>191</v>
      </c>
      <c r="H425" s="20">
        <v>221</v>
      </c>
      <c r="I425" s="20">
        <v>51603</v>
      </c>
      <c r="J425" s="20">
        <v>40033</v>
      </c>
      <c r="K425" s="20">
        <v>173</v>
      </c>
      <c r="L425" s="20" t="s">
        <v>21</v>
      </c>
      <c r="M425" s="21" t="s">
        <v>22</v>
      </c>
      <c r="N425">
        <f t="shared" si="6"/>
        <v>2811</v>
      </c>
    </row>
    <row r="426" spans="1:14">
      <c r="A426" s="22" t="s">
        <v>303</v>
      </c>
      <c r="B426" s="18" t="s">
        <v>31</v>
      </c>
      <c r="C426" s="35">
        <v>45378</v>
      </c>
      <c r="D426" s="18" t="s">
        <v>15</v>
      </c>
      <c r="E426" s="18" t="s">
        <v>32</v>
      </c>
      <c r="F426" s="18">
        <v>2399</v>
      </c>
      <c r="G426" s="18">
        <v>191</v>
      </c>
      <c r="H426" s="18">
        <v>221</v>
      </c>
      <c r="I426" s="18">
        <v>51603</v>
      </c>
      <c r="J426" s="18">
        <v>40033</v>
      </c>
      <c r="K426" s="18">
        <v>173</v>
      </c>
      <c r="L426" s="18" t="s">
        <v>399</v>
      </c>
      <c r="M426" s="19" t="s">
        <v>22</v>
      </c>
      <c r="N426">
        <f t="shared" si="6"/>
        <v>2811</v>
      </c>
    </row>
    <row r="427" spans="1:14">
      <c r="A427" s="23" t="s">
        <v>304</v>
      </c>
      <c r="B427" s="20" t="s">
        <v>31</v>
      </c>
      <c r="C427" s="36">
        <v>45808</v>
      </c>
      <c r="D427" s="20" t="s">
        <v>57</v>
      </c>
      <c r="E427" s="20" t="s">
        <v>37</v>
      </c>
      <c r="F427" s="20">
        <v>2162</v>
      </c>
      <c r="G427" s="20">
        <v>318</v>
      </c>
      <c r="H427" s="20">
        <v>83</v>
      </c>
      <c r="I427" s="20">
        <v>46719</v>
      </c>
      <c r="J427" s="20">
        <v>20482</v>
      </c>
      <c r="K427" s="20">
        <v>185</v>
      </c>
      <c r="L427" s="20" t="s">
        <v>21</v>
      </c>
      <c r="M427" s="21" t="s">
        <v>59</v>
      </c>
      <c r="N427">
        <f t="shared" si="6"/>
        <v>2563</v>
      </c>
    </row>
    <row r="428" spans="1:14">
      <c r="A428" s="22" t="s">
        <v>304</v>
      </c>
      <c r="B428" s="18" t="s">
        <v>31</v>
      </c>
      <c r="C428" s="35">
        <v>45808</v>
      </c>
      <c r="D428" s="18" t="s">
        <v>57</v>
      </c>
      <c r="E428" s="18" t="s">
        <v>37</v>
      </c>
      <c r="F428" s="18">
        <v>2162</v>
      </c>
      <c r="G428" s="18">
        <v>318</v>
      </c>
      <c r="H428" s="18">
        <v>83</v>
      </c>
      <c r="I428" s="18">
        <v>46719</v>
      </c>
      <c r="J428" s="18">
        <v>20482</v>
      </c>
      <c r="K428" s="18">
        <v>185</v>
      </c>
      <c r="L428" s="18" t="s">
        <v>45</v>
      </c>
      <c r="M428" s="19" t="s">
        <v>59</v>
      </c>
      <c r="N428">
        <f t="shared" si="6"/>
        <v>2563</v>
      </c>
    </row>
    <row r="429" spans="1:14">
      <c r="A429" s="23" t="s">
        <v>305</v>
      </c>
      <c r="B429" s="20" t="s">
        <v>24</v>
      </c>
      <c r="C429" s="36">
        <v>45825</v>
      </c>
      <c r="D429" s="20" t="s">
        <v>25</v>
      </c>
      <c r="E429" s="20" t="s">
        <v>20</v>
      </c>
      <c r="F429" s="20">
        <v>4341</v>
      </c>
      <c r="G429" s="20">
        <v>141</v>
      </c>
      <c r="H429" s="20">
        <v>63</v>
      </c>
      <c r="I429" s="20">
        <v>50081</v>
      </c>
      <c r="J429" s="20">
        <v>27507</v>
      </c>
      <c r="K429" s="20">
        <v>221</v>
      </c>
      <c r="L429" s="20" t="s">
        <v>21</v>
      </c>
      <c r="M429" s="21" t="s">
        <v>18</v>
      </c>
      <c r="N429">
        <f t="shared" si="6"/>
        <v>4545</v>
      </c>
    </row>
    <row r="430" spans="1:14">
      <c r="A430" s="22" t="s">
        <v>305</v>
      </c>
      <c r="B430" s="18" t="s">
        <v>24</v>
      </c>
      <c r="C430" s="35">
        <v>45825</v>
      </c>
      <c r="D430" s="18" t="s">
        <v>25</v>
      </c>
      <c r="E430" s="18" t="s">
        <v>20</v>
      </c>
      <c r="F430" s="18">
        <v>4341</v>
      </c>
      <c r="G430" s="18">
        <v>141</v>
      </c>
      <c r="H430" s="18">
        <v>63</v>
      </c>
      <c r="I430" s="18">
        <v>50081</v>
      </c>
      <c r="J430" s="18">
        <v>27507</v>
      </c>
      <c r="K430" s="18">
        <v>221</v>
      </c>
      <c r="L430" s="18" t="s">
        <v>398</v>
      </c>
      <c r="M430" s="19" t="s">
        <v>18</v>
      </c>
      <c r="N430">
        <f t="shared" si="6"/>
        <v>4545</v>
      </c>
    </row>
    <row r="431" spans="1:14">
      <c r="A431" s="23" t="s">
        <v>306</v>
      </c>
      <c r="B431" s="20" t="s">
        <v>14</v>
      </c>
      <c r="C431" s="36">
        <v>45442</v>
      </c>
      <c r="D431" s="20" t="s">
        <v>25</v>
      </c>
      <c r="E431" s="20" t="s">
        <v>37</v>
      </c>
      <c r="F431" s="20">
        <v>2448</v>
      </c>
      <c r="G431" s="20">
        <v>464</v>
      </c>
      <c r="H431" s="20">
        <v>98</v>
      </c>
      <c r="I431" s="20">
        <v>25737</v>
      </c>
      <c r="J431" s="20">
        <v>48545</v>
      </c>
      <c r="K431" s="20">
        <v>246</v>
      </c>
      <c r="L431" s="20" t="s">
        <v>42</v>
      </c>
      <c r="M431" s="21" t="s">
        <v>55</v>
      </c>
      <c r="N431">
        <f t="shared" si="6"/>
        <v>3010</v>
      </c>
    </row>
    <row r="432" spans="1:14">
      <c r="A432" s="22" t="s">
        <v>307</v>
      </c>
      <c r="B432" s="18" t="s">
        <v>31</v>
      </c>
      <c r="C432" s="35">
        <v>45604</v>
      </c>
      <c r="D432" s="18" t="s">
        <v>15</v>
      </c>
      <c r="E432" s="18" t="s">
        <v>41</v>
      </c>
      <c r="F432" s="18">
        <v>2471</v>
      </c>
      <c r="G432" s="18">
        <v>166</v>
      </c>
      <c r="H432" s="18">
        <v>320</v>
      </c>
      <c r="I432" s="18">
        <v>48254</v>
      </c>
      <c r="J432" s="18">
        <v>46900</v>
      </c>
      <c r="K432" s="18">
        <v>111</v>
      </c>
      <c r="L432" s="18" t="s">
        <v>21</v>
      </c>
      <c r="M432" s="19" t="s">
        <v>22</v>
      </c>
      <c r="N432">
        <f t="shared" si="6"/>
        <v>2957</v>
      </c>
    </row>
    <row r="433" spans="1:14">
      <c r="A433" s="23" t="s">
        <v>307</v>
      </c>
      <c r="B433" s="20" t="s">
        <v>31</v>
      </c>
      <c r="C433" s="36">
        <v>45604</v>
      </c>
      <c r="D433" s="20" t="s">
        <v>15</v>
      </c>
      <c r="E433" s="20" t="s">
        <v>41</v>
      </c>
      <c r="F433" s="20">
        <v>2471</v>
      </c>
      <c r="G433" s="20">
        <v>166</v>
      </c>
      <c r="H433" s="20">
        <v>320</v>
      </c>
      <c r="I433" s="20">
        <v>48254</v>
      </c>
      <c r="J433" s="20">
        <v>46900</v>
      </c>
      <c r="K433" s="20">
        <v>111</v>
      </c>
      <c r="L433" s="20" t="s">
        <v>399</v>
      </c>
      <c r="M433" s="21" t="s">
        <v>22</v>
      </c>
      <c r="N433">
        <f t="shared" si="6"/>
        <v>2957</v>
      </c>
    </row>
    <row r="434" spans="1:14">
      <c r="A434" s="22" t="s">
        <v>308</v>
      </c>
      <c r="B434" s="18" t="s">
        <v>31</v>
      </c>
      <c r="C434" s="35">
        <v>45368</v>
      </c>
      <c r="D434" s="18" t="s">
        <v>57</v>
      </c>
      <c r="E434" s="18" t="s">
        <v>20</v>
      </c>
      <c r="F434" s="18">
        <v>2692</v>
      </c>
      <c r="G434" s="18">
        <v>446</v>
      </c>
      <c r="H434" s="18">
        <v>216</v>
      </c>
      <c r="I434" s="18">
        <v>45818</v>
      </c>
      <c r="J434" s="18">
        <v>62723</v>
      </c>
      <c r="K434" s="18">
        <v>85</v>
      </c>
      <c r="L434" s="18" t="s">
        <v>21</v>
      </c>
      <c r="M434" s="19" t="s">
        <v>59</v>
      </c>
      <c r="N434">
        <f t="shared" si="6"/>
        <v>3354</v>
      </c>
    </row>
    <row r="435" spans="1:14">
      <c r="A435" s="23" t="s">
        <v>308</v>
      </c>
      <c r="B435" s="20" t="s">
        <v>31</v>
      </c>
      <c r="C435" s="36">
        <v>45368</v>
      </c>
      <c r="D435" s="20" t="s">
        <v>57</v>
      </c>
      <c r="E435" s="20" t="s">
        <v>20</v>
      </c>
      <c r="F435" s="20">
        <v>2692</v>
      </c>
      <c r="G435" s="20">
        <v>446</v>
      </c>
      <c r="H435" s="20">
        <v>216</v>
      </c>
      <c r="I435" s="20">
        <v>45818</v>
      </c>
      <c r="J435" s="20">
        <v>62723</v>
      </c>
      <c r="K435" s="20">
        <v>85</v>
      </c>
      <c r="L435" s="20" t="s">
        <v>45</v>
      </c>
      <c r="M435" s="21" t="s">
        <v>59</v>
      </c>
      <c r="N435">
        <f t="shared" si="6"/>
        <v>3354</v>
      </c>
    </row>
    <row r="436" spans="1:14">
      <c r="A436" s="22" t="s">
        <v>309</v>
      </c>
      <c r="B436" s="18" t="s">
        <v>31</v>
      </c>
      <c r="C436" s="35">
        <v>45464</v>
      </c>
      <c r="D436" s="18" t="s">
        <v>57</v>
      </c>
      <c r="E436" s="18" t="s">
        <v>32</v>
      </c>
      <c r="F436" s="18">
        <v>4621</v>
      </c>
      <c r="G436" s="18">
        <v>374</v>
      </c>
      <c r="H436" s="18">
        <v>298</v>
      </c>
      <c r="I436" s="18">
        <v>56979</v>
      </c>
      <c r="J436" s="18">
        <v>24098</v>
      </c>
      <c r="K436" s="18">
        <v>205</v>
      </c>
      <c r="L436" s="18" t="s">
        <v>21</v>
      </c>
      <c r="M436" s="19" t="s">
        <v>59</v>
      </c>
      <c r="N436">
        <f t="shared" si="6"/>
        <v>5293</v>
      </c>
    </row>
    <row r="437" spans="1:14">
      <c r="A437" s="23" t="s">
        <v>309</v>
      </c>
      <c r="B437" s="20" t="s">
        <v>31</v>
      </c>
      <c r="C437" s="36">
        <v>45464</v>
      </c>
      <c r="D437" s="20" t="s">
        <v>57</v>
      </c>
      <c r="E437" s="20" t="s">
        <v>32</v>
      </c>
      <c r="F437" s="20">
        <v>4621</v>
      </c>
      <c r="G437" s="20">
        <v>374</v>
      </c>
      <c r="H437" s="20">
        <v>298</v>
      </c>
      <c r="I437" s="20">
        <v>56979</v>
      </c>
      <c r="J437" s="20">
        <v>24098</v>
      </c>
      <c r="K437" s="20">
        <v>205</v>
      </c>
      <c r="L437" s="20" t="s">
        <v>45</v>
      </c>
      <c r="M437" s="21" t="s">
        <v>59</v>
      </c>
      <c r="N437">
        <f t="shared" si="6"/>
        <v>5293</v>
      </c>
    </row>
    <row r="438" spans="1:14">
      <c r="A438" s="22" t="s">
        <v>310</v>
      </c>
      <c r="B438" s="18" t="s">
        <v>24</v>
      </c>
      <c r="C438" s="35">
        <v>45609</v>
      </c>
      <c r="D438" s="18" t="s">
        <v>25</v>
      </c>
      <c r="E438" s="18" t="s">
        <v>26</v>
      </c>
      <c r="F438" s="18">
        <v>1409</v>
      </c>
      <c r="G438" s="18">
        <v>466</v>
      </c>
      <c r="H438" s="18">
        <v>105</v>
      </c>
      <c r="I438" s="18">
        <v>58923</v>
      </c>
      <c r="J438" s="18">
        <v>38753</v>
      </c>
      <c r="K438" s="18">
        <v>265</v>
      </c>
      <c r="L438" s="18" t="s">
        <v>21</v>
      </c>
      <c r="M438" s="19" t="s">
        <v>18</v>
      </c>
      <c r="N438">
        <f t="shared" si="6"/>
        <v>1980</v>
      </c>
    </row>
    <row r="439" spans="1:14">
      <c r="A439" s="23" t="s">
        <v>310</v>
      </c>
      <c r="B439" s="20" t="s">
        <v>24</v>
      </c>
      <c r="C439" s="36">
        <v>45609</v>
      </c>
      <c r="D439" s="20" t="s">
        <v>25</v>
      </c>
      <c r="E439" s="20" t="s">
        <v>26</v>
      </c>
      <c r="F439" s="20">
        <v>1409</v>
      </c>
      <c r="G439" s="20">
        <v>466</v>
      </c>
      <c r="H439" s="20">
        <v>105</v>
      </c>
      <c r="I439" s="20">
        <v>58923</v>
      </c>
      <c r="J439" s="20">
        <v>38753</v>
      </c>
      <c r="K439" s="20">
        <v>265</v>
      </c>
      <c r="L439" s="20" t="s">
        <v>398</v>
      </c>
      <c r="M439" s="21" t="s">
        <v>18</v>
      </c>
      <c r="N439">
        <f t="shared" si="6"/>
        <v>1980</v>
      </c>
    </row>
    <row r="440" spans="1:14">
      <c r="A440" s="22" t="s">
        <v>311</v>
      </c>
      <c r="B440" s="18" t="s">
        <v>24</v>
      </c>
      <c r="C440" s="35">
        <v>45693</v>
      </c>
      <c r="D440" s="18" t="s">
        <v>25</v>
      </c>
      <c r="E440" s="18" t="s">
        <v>16</v>
      </c>
      <c r="F440" s="18">
        <v>3029</v>
      </c>
      <c r="G440" s="18">
        <v>440</v>
      </c>
      <c r="H440" s="18">
        <v>66</v>
      </c>
      <c r="I440" s="18">
        <v>23815</v>
      </c>
      <c r="J440" s="18">
        <v>47895</v>
      </c>
      <c r="K440" s="18">
        <v>210</v>
      </c>
      <c r="L440" s="18" t="s">
        <v>21</v>
      </c>
      <c r="M440" s="19" t="s">
        <v>18</v>
      </c>
      <c r="N440">
        <f t="shared" si="6"/>
        <v>3535</v>
      </c>
    </row>
    <row r="441" spans="1:14">
      <c r="A441" s="23" t="s">
        <v>311</v>
      </c>
      <c r="B441" s="20" t="s">
        <v>24</v>
      </c>
      <c r="C441" s="36">
        <v>45693</v>
      </c>
      <c r="D441" s="20" t="s">
        <v>25</v>
      </c>
      <c r="E441" s="20" t="s">
        <v>16</v>
      </c>
      <c r="F441" s="20">
        <v>3029</v>
      </c>
      <c r="G441" s="20">
        <v>440</v>
      </c>
      <c r="H441" s="20">
        <v>66</v>
      </c>
      <c r="I441" s="20">
        <v>23815</v>
      </c>
      <c r="J441" s="20">
        <v>47895</v>
      </c>
      <c r="K441" s="20">
        <v>210</v>
      </c>
      <c r="L441" s="20" t="s">
        <v>398</v>
      </c>
      <c r="M441" s="21" t="s">
        <v>18</v>
      </c>
      <c r="N441">
        <f t="shared" si="6"/>
        <v>3535</v>
      </c>
    </row>
    <row r="442" spans="1:14">
      <c r="A442" s="22" t="s">
        <v>312</v>
      </c>
      <c r="B442" s="18" t="s">
        <v>24</v>
      </c>
      <c r="C442" s="35">
        <v>45603</v>
      </c>
      <c r="D442" s="18" t="s">
        <v>15</v>
      </c>
      <c r="E442" s="18" t="s">
        <v>20</v>
      </c>
      <c r="F442" s="18">
        <v>2229</v>
      </c>
      <c r="G442" s="18">
        <v>395</v>
      </c>
      <c r="H442" s="18">
        <v>328</v>
      </c>
      <c r="I442" s="18">
        <v>56921</v>
      </c>
      <c r="J442" s="18">
        <v>37176</v>
      </c>
      <c r="K442" s="18">
        <v>126</v>
      </c>
      <c r="L442" s="18" t="s">
        <v>45</v>
      </c>
      <c r="M442" s="19" t="s">
        <v>22</v>
      </c>
      <c r="N442">
        <f t="shared" si="6"/>
        <v>2952</v>
      </c>
    </row>
    <row r="443" spans="1:14">
      <c r="A443" s="23" t="s">
        <v>313</v>
      </c>
      <c r="B443" s="20" t="s">
        <v>24</v>
      </c>
      <c r="C443" s="36">
        <v>45334</v>
      </c>
      <c r="D443" s="20" t="s">
        <v>15</v>
      </c>
      <c r="E443" s="20" t="s">
        <v>20</v>
      </c>
      <c r="F443" s="20">
        <v>2691</v>
      </c>
      <c r="G443" s="20">
        <v>486</v>
      </c>
      <c r="H443" s="20">
        <v>206</v>
      </c>
      <c r="I443" s="20">
        <v>51133</v>
      </c>
      <c r="J443" s="20">
        <v>44583</v>
      </c>
      <c r="K443" s="20">
        <v>276</v>
      </c>
      <c r="L443" s="20" t="s">
        <v>42</v>
      </c>
      <c r="M443" s="21" t="s">
        <v>18</v>
      </c>
      <c r="N443">
        <f t="shared" si="6"/>
        <v>3383</v>
      </c>
    </row>
    <row r="444" spans="1:14">
      <c r="A444" s="22" t="s">
        <v>314</v>
      </c>
      <c r="B444" s="18" t="s">
        <v>14</v>
      </c>
      <c r="C444" s="35">
        <v>45573</v>
      </c>
      <c r="D444" s="18" t="s">
        <v>15</v>
      </c>
      <c r="E444" s="18" t="s">
        <v>20</v>
      </c>
      <c r="F444" s="18">
        <v>2110</v>
      </c>
      <c r="G444" s="18">
        <v>384</v>
      </c>
      <c r="H444" s="18">
        <v>236</v>
      </c>
      <c r="I444" s="18">
        <v>49965</v>
      </c>
      <c r="J444" s="18">
        <v>61555</v>
      </c>
      <c r="K444" s="18">
        <v>195</v>
      </c>
      <c r="L444" s="18" t="s">
        <v>21</v>
      </c>
      <c r="M444" s="19" t="s">
        <v>22</v>
      </c>
      <c r="N444">
        <f t="shared" si="6"/>
        <v>2730</v>
      </c>
    </row>
    <row r="445" spans="1:14">
      <c r="A445" s="23" t="s">
        <v>315</v>
      </c>
      <c r="B445" s="20" t="s">
        <v>14</v>
      </c>
      <c r="C445" s="36">
        <v>45341</v>
      </c>
      <c r="D445" s="20" t="s">
        <v>15</v>
      </c>
      <c r="E445" s="20" t="s">
        <v>29</v>
      </c>
      <c r="F445" s="20">
        <v>4752</v>
      </c>
      <c r="G445" s="20">
        <v>449</v>
      </c>
      <c r="H445" s="20">
        <v>309</v>
      </c>
      <c r="I445" s="20">
        <v>58530</v>
      </c>
      <c r="J445" s="20">
        <v>26630</v>
      </c>
      <c r="K445" s="20">
        <v>234</v>
      </c>
      <c r="L445" s="20" t="s">
        <v>21</v>
      </c>
      <c r="M445" s="21" t="s">
        <v>22</v>
      </c>
      <c r="N445">
        <f t="shared" si="6"/>
        <v>5510</v>
      </c>
    </row>
    <row r="446" spans="1:14">
      <c r="A446" s="22" t="s">
        <v>316</v>
      </c>
      <c r="B446" s="18" t="s">
        <v>24</v>
      </c>
      <c r="C446" s="35">
        <v>45720</v>
      </c>
      <c r="D446" s="18" t="s">
        <v>15</v>
      </c>
      <c r="E446" s="18" t="s">
        <v>16</v>
      </c>
      <c r="F446" s="18">
        <v>2177</v>
      </c>
      <c r="G446" s="18">
        <v>258</v>
      </c>
      <c r="H446" s="18">
        <v>292</v>
      </c>
      <c r="I446" s="18">
        <v>47276</v>
      </c>
      <c r="J446" s="18">
        <v>51324</v>
      </c>
      <c r="K446" s="18">
        <v>143</v>
      </c>
      <c r="L446" s="18" t="s">
        <v>42</v>
      </c>
      <c r="M446" s="19" t="s">
        <v>18</v>
      </c>
      <c r="N446">
        <f t="shared" si="6"/>
        <v>2727</v>
      </c>
    </row>
    <row r="447" spans="1:14">
      <c r="A447" s="23" t="s">
        <v>317</v>
      </c>
      <c r="B447" s="20" t="s">
        <v>14</v>
      </c>
      <c r="C447" s="36">
        <v>45691</v>
      </c>
      <c r="D447" s="20" t="s">
        <v>25</v>
      </c>
      <c r="E447" s="20" t="s">
        <v>26</v>
      </c>
      <c r="F447" s="20">
        <v>1205</v>
      </c>
      <c r="G447" s="20">
        <v>486</v>
      </c>
      <c r="H447" s="20">
        <v>269</v>
      </c>
      <c r="I447" s="20">
        <v>23341</v>
      </c>
      <c r="J447" s="20">
        <v>42411</v>
      </c>
      <c r="K447" s="20">
        <v>184</v>
      </c>
      <c r="L447" s="20" t="s">
        <v>42</v>
      </c>
      <c r="M447" s="21" t="s">
        <v>55</v>
      </c>
      <c r="N447">
        <f t="shared" si="6"/>
        <v>1960</v>
      </c>
    </row>
    <row r="448" spans="1:14">
      <c r="A448" s="22" t="s">
        <v>318</v>
      </c>
      <c r="B448" s="18" t="s">
        <v>14</v>
      </c>
      <c r="C448" s="35">
        <v>45628</v>
      </c>
      <c r="D448" s="18" t="s">
        <v>15</v>
      </c>
      <c r="E448" s="18" t="s">
        <v>41</v>
      </c>
      <c r="F448" s="18">
        <v>3194</v>
      </c>
      <c r="G448" s="18">
        <v>292</v>
      </c>
      <c r="H448" s="18">
        <v>245</v>
      </c>
      <c r="I448" s="18">
        <v>56371</v>
      </c>
      <c r="J448" s="18">
        <v>65597</v>
      </c>
      <c r="K448" s="18">
        <v>163</v>
      </c>
      <c r="L448" s="18" t="s">
        <v>45</v>
      </c>
      <c r="M448" s="19" t="s">
        <v>18</v>
      </c>
      <c r="N448">
        <f t="shared" si="6"/>
        <v>3731</v>
      </c>
    </row>
    <row r="449" spans="1:14">
      <c r="A449" s="23" t="s">
        <v>318</v>
      </c>
      <c r="B449" s="20" t="s">
        <v>14</v>
      </c>
      <c r="C449" s="36">
        <v>45628</v>
      </c>
      <c r="D449" s="20" t="s">
        <v>15</v>
      </c>
      <c r="E449" s="20" t="s">
        <v>41</v>
      </c>
      <c r="F449" s="20">
        <v>3194</v>
      </c>
      <c r="G449" s="20">
        <v>292</v>
      </c>
      <c r="H449" s="20">
        <v>245</v>
      </c>
      <c r="I449" s="20">
        <v>56371</v>
      </c>
      <c r="J449" s="20">
        <v>65597</v>
      </c>
      <c r="K449" s="20">
        <v>163</v>
      </c>
      <c r="L449" s="20" t="s">
        <v>42</v>
      </c>
      <c r="M449" s="21" t="s">
        <v>18</v>
      </c>
      <c r="N449">
        <f t="shared" si="6"/>
        <v>3731</v>
      </c>
    </row>
    <row r="450" spans="1:14">
      <c r="A450" s="22" t="s">
        <v>319</v>
      </c>
      <c r="B450" s="18" t="s">
        <v>24</v>
      </c>
      <c r="C450" s="35">
        <v>45676</v>
      </c>
      <c r="D450" s="18" t="s">
        <v>25</v>
      </c>
      <c r="E450" s="18" t="s">
        <v>26</v>
      </c>
      <c r="F450" s="18">
        <v>3507</v>
      </c>
      <c r="G450" s="18">
        <v>295</v>
      </c>
      <c r="H450" s="18">
        <v>371</v>
      </c>
      <c r="I450" s="18">
        <v>20410</v>
      </c>
      <c r="J450" s="18">
        <v>53965</v>
      </c>
      <c r="K450" s="18">
        <v>212</v>
      </c>
      <c r="L450" s="18" t="s">
        <v>45</v>
      </c>
      <c r="M450" s="19" t="s">
        <v>18</v>
      </c>
      <c r="N450">
        <f t="shared" si="6"/>
        <v>4173</v>
      </c>
    </row>
    <row r="451" spans="1:14">
      <c r="A451" s="23" t="s">
        <v>319</v>
      </c>
      <c r="B451" s="20" t="s">
        <v>24</v>
      </c>
      <c r="C451" s="36">
        <v>45676</v>
      </c>
      <c r="D451" s="20" t="s">
        <v>25</v>
      </c>
      <c r="E451" s="20" t="s">
        <v>26</v>
      </c>
      <c r="F451" s="20">
        <v>3507</v>
      </c>
      <c r="G451" s="20">
        <v>295</v>
      </c>
      <c r="H451" s="20">
        <v>371</v>
      </c>
      <c r="I451" s="20">
        <v>20410</v>
      </c>
      <c r="J451" s="20">
        <v>53965</v>
      </c>
      <c r="K451" s="20">
        <v>212</v>
      </c>
      <c r="L451" s="20" t="s">
        <v>42</v>
      </c>
      <c r="M451" s="21" t="s">
        <v>18</v>
      </c>
      <c r="N451">
        <f t="shared" ref="N451:N484" si="7">F451+G451+H451</f>
        <v>4173</v>
      </c>
    </row>
    <row r="452" spans="1:14">
      <c r="A452" s="22" t="s">
        <v>320</v>
      </c>
      <c r="B452" s="18" t="s">
        <v>24</v>
      </c>
      <c r="C452" s="35">
        <v>45563</v>
      </c>
      <c r="D452" s="18" t="s">
        <v>25</v>
      </c>
      <c r="E452" s="18" t="s">
        <v>29</v>
      </c>
      <c r="F452" s="18">
        <v>4471</v>
      </c>
      <c r="G452" s="18">
        <v>317</v>
      </c>
      <c r="H452" s="18">
        <v>249</v>
      </c>
      <c r="I452" s="18">
        <v>44862</v>
      </c>
      <c r="J452" s="18">
        <v>33365</v>
      </c>
      <c r="K452" s="18">
        <v>184</v>
      </c>
      <c r="L452" s="18" t="s">
        <v>21</v>
      </c>
      <c r="M452" s="19" t="s">
        <v>18</v>
      </c>
      <c r="N452">
        <f t="shared" si="7"/>
        <v>5037</v>
      </c>
    </row>
    <row r="453" spans="1:14">
      <c r="A453" s="23" t="s">
        <v>320</v>
      </c>
      <c r="B453" s="20" t="s">
        <v>24</v>
      </c>
      <c r="C453" s="36">
        <v>45563</v>
      </c>
      <c r="D453" s="20" t="s">
        <v>25</v>
      </c>
      <c r="E453" s="20" t="s">
        <v>29</v>
      </c>
      <c r="F453" s="20">
        <v>4471</v>
      </c>
      <c r="G453" s="20">
        <v>317</v>
      </c>
      <c r="H453" s="20">
        <v>249</v>
      </c>
      <c r="I453" s="20">
        <v>44862</v>
      </c>
      <c r="J453" s="20">
        <v>33365</v>
      </c>
      <c r="K453" s="20">
        <v>184</v>
      </c>
      <c r="L453" s="20" t="s">
        <v>398</v>
      </c>
      <c r="M453" s="21" t="s">
        <v>18</v>
      </c>
      <c r="N453">
        <f t="shared" si="7"/>
        <v>5037</v>
      </c>
    </row>
    <row r="454" spans="1:14">
      <c r="A454" s="22" t="s">
        <v>321</v>
      </c>
      <c r="B454" s="18" t="s">
        <v>14</v>
      </c>
      <c r="C454" s="35">
        <v>45298</v>
      </c>
      <c r="D454" s="18" t="s">
        <v>15</v>
      </c>
      <c r="E454" s="18" t="s">
        <v>41</v>
      </c>
      <c r="F454" s="18">
        <v>4931</v>
      </c>
      <c r="G454" s="18">
        <v>469</v>
      </c>
      <c r="H454" s="18">
        <v>193</v>
      </c>
      <c r="I454" s="18">
        <v>56701</v>
      </c>
      <c r="J454" s="18">
        <v>69437</v>
      </c>
      <c r="K454" s="18">
        <v>291</v>
      </c>
      <c r="L454" s="18" t="s">
        <v>45</v>
      </c>
      <c r="M454" s="19" t="s">
        <v>18</v>
      </c>
      <c r="N454">
        <f t="shared" si="7"/>
        <v>5593</v>
      </c>
    </row>
    <row r="455" spans="1:14">
      <c r="A455" s="23" t="s">
        <v>321</v>
      </c>
      <c r="B455" s="20" t="s">
        <v>14</v>
      </c>
      <c r="C455" s="36">
        <v>45298</v>
      </c>
      <c r="D455" s="20" t="s">
        <v>15</v>
      </c>
      <c r="E455" s="20" t="s">
        <v>41</v>
      </c>
      <c r="F455" s="20">
        <v>4931</v>
      </c>
      <c r="G455" s="20">
        <v>469</v>
      </c>
      <c r="H455" s="20">
        <v>193</v>
      </c>
      <c r="I455" s="20">
        <v>56701</v>
      </c>
      <c r="J455" s="20">
        <v>69437</v>
      </c>
      <c r="K455" s="20">
        <v>291</v>
      </c>
      <c r="L455" s="20" t="s">
        <v>42</v>
      </c>
      <c r="M455" s="21" t="s">
        <v>18</v>
      </c>
      <c r="N455">
        <f t="shared" si="7"/>
        <v>5593</v>
      </c>
    </row>
    <row r="456" spans="1:14">
      <c r="A456" s="22" t="s">
        <v>322</v>
      </c>
      <c r="B456" s="18" t="s">
        <v>24</v>
      </c>
      <c r="C456" s="35">
        <v>45343</v>
      </c>
      <c r="D456" s="18" t="s">
        <v>25</v>
      </c>
      <c r="E456" s="18" t="s">
        <v>37</v>
      </c>
      <c r="F456" s="18">
        <v>2604</v>
      </c>
      <c r="G456" s="18">
        <v>439</v>
      </c>
      <c r="H456" s="18">
        <v>148</v>
      </c>
      <c r="I456" s="18">
        <v>58468</v>
      </c>
      <c r="J456" s="18">
        <v>39629</v>
      </c>
      <c r="K456" s="18">
        <v>163</v>
      </c>
      <c r="L456" s="18" t="s">
        <v>398</v>
      </c>
      <c r="M456" s="19" t="s">
        <v>18</v>
      </c>
      <c r="N456">
        <f t="shared" si="7"/>
        <v>3191</v>
      </c>
    </row>
    <row r="457" spans="1:14">
      <c r="A457" s="23" t="s">
        <v>322</v>
      </c>
      <c r="B457" s="20" t="s">
        <v>24</v>
      </c>
      <c r="C457" s="36">
        <v>45343</v>
      </c>
      <c r="D457" s="20" t="s">
        <v>25</v>
      </c>
      <c r="E457" s="20" t="s">
        <v>37</v>
      </c>
      <c r="F457" s="20">
        <v>2604</v>
      </c>
      <c r="G457" s="20">
        <v>439</v>
      </c>
      <c r="H457" s="20">
        <v>148</v>
      </c>
      <c r="I457" s="20">
        <v>58468</v>
      </c>
      <c r="J457" s="20">
        <v>39629</v>
      </c>
      <c r="K457" s="20">
        <v>163</v>
      </c>
      <c r="L457" s="20" t="s">
        <v>42</v>
      </c>
      <c r="M457" s="21" t="s">
        <v>18</v>
      </c>
      <c r="N457">
        <f t="shared" si="7"/>
        <v>3191</v>
      </c>
    </row>
    <row r="458" spans="1:14">
      <c r="A458" s="22" t="s">
        <v>323</v>
      </c>
      <c r="B458" s="18" t="s">
        <v>14</v>
      </c>
      <c r="C458" s="35">
        <v>45531</v>
      </c>
      <c r="D458" s="18" t="s">
        <v>15</v>
      </c>
      <c r="E458" s="18" t="s">
        <v>32</v>
      </c>
      <c r="F458" s="18">
        <v>4197</v>
      </c>
      <c r="G458" s="18">
        <v>359</v>
      </c>
      <c r="H458" s="18">
        <v>280</v>
      </c>
      <c r="I458" s="18">
        <v>56048</v>
      </c>
      <c r="J458" s="18">
        <v>70930</v>
      </c>
      <c r="K458" s="18">
        <v>295</v>
      </c>
      <c r="L458" s="18" t="s">
        <v>21</v>
      </c>
      <c r="M458" s="19" t="s">
        <v>22</v>
      </c>
      <c r="N458">
        <f t="shared" si="7"/>
        <v>4836</v>
      </c>
    </row>
    <row r="459" spans="1:14">
      <c r="A459" s="23" t="s">
        <v>324</v>
      </c>
      <c r="B459" s="20" t="s">
        <v>14</v>
      </c>
      <c r="C459" s="36">
        <v>45589</v>
      </c>
      <c r="D459" s="20" t="s">
        <v>25</v>
      </c>
      <c r="E459" s="20" t="s">
        <v>41</v>
      </c>
      <c r="F459" s="20">
        <v>1914</v>
      </c>
      <c r="G459" s="20">
        <v>255</v>
      </c>
      <c r="H459" s="20">
        <v>156</v>
      </c>
      <c r="I459" s="20">
        <v>27660</v>
      </c>
      <c r="J459" s="20">
        <v>47776</v>
      </c>
      <c r="K459" s="20">
        <v>111</v>
      </c>
      <c r="L459" s="20" t="s">
        <v>42</v>
      </c>
      <c r="M459" s="21" t="s">
        <v>55</v>
      </c>
      <c r="N459">
        <f t="shared" si="7"/>
        <v>2325</v>
      </c>
    </row>
    <row r="460" spans="1:14">
      <c r="A460" s="22" t="s">
        <v>325</v>
      </c>
      <c r="B460" s="18" t="s">
        <v>31</v>
      </c>
      <c r="C460" s="35">
        <v>45686</v>
      </c>
      <c r="D460" s="18" t="s">
        <v>15</v>
      </c>
      <c r="E460" s="18" t="s">
        <v>26</v>
      </c>
      <c r="F460" s="18">
        <v>1334</v>
      </c>
      <c r="G460" s="18">
        <v>357</v>
      </c>
      <c r="H460" s="18">
        <v>257</v>
      </c>
      <c r="I460" s="18">
        <v>56910</v>
      </c>
      <c r="J460" s="18">
        <v>70606</v>
      </c>
      <c r="K460" s="18">
        <v>228</v>
      </c>
      <c r="L460" s="18" t="s">
        <v>21</v>
      </c>
      <c r="M460" s="19" t="s">
        <v>22</v>
      </c>
      <c r="N460">
        <f t="shared" si="7"/>
        <v>1948</v>
      </c>
    </row>
    <row r="461" spans="1:14">
      <c r="A461" s="23" t="s">
        <v>325</v>
      </c>
      <c r="B461" s="20" t="s">
        <v>31</v>
      </c>
      <c r="C461" s="36">
        <v>45686</v>
      </c>
      <c r="D461" s="20" t="s">
        <v>15</v>
      </c>
      <c r="E461" s="20" t="s">
        <v>26</v>
      </c>
      <c r="F461" s="20">
        <v>1334</v>
      </c>
      <c r="G461" s="20">
        <v>357</v>
      </c>
      <c r="H461" s="20">
        <v>257</v>
      </c>
      <c r="I461" s="20">
        <v>56910</v>
      </c>
      <c r="J461" s="20">
        <v>70606</v>
      </c>
      <c r="K461" s="20">
        <v>228</v>
      </c>
      <c r="L461" s="20" t="s">
        <v>399</v>
      </c>
      <c r="M461" s="21" t="s">
        <v>22</v>
      </c>
      <c r="N461">
        <f t="shared" si="7"/>
        <v>1948</v>
      </c>
    </row>
    <row r="462" spans="1:14">
      <c r="A462" s="22" t="s">
        <v>326</v>
      </c>
      <c r="B462" s="18" t="s">
        <v>14</v>
      </c>
      <c r="C462" s="35">
        <v>45413</v>
      </c>
      <c r="D462" s="18" t="s">
        <v>15</v>
      </c>
      <c r="E462" s="18" t="s">
        <v>37</v>
      </c>
      <c r="F462" s="18">
        <v>3359</v>
      </c>
      <c r="G462" s="18">
        <v>137</v>
      </c>
      <c r="H462" s="18">
        <v>387</v>
      </c>
      <c r="I462" s="18">
        <v>33861</v>
      </c>
      <c r="J462" s="18">
        <v>47257</v>
      </c>
      <c r="K462" s="18">
        <v>198</v>
      </c>
      <c r="L462" s="18" t="s">
        <v>21</v>
      </c>
      <c r="M462" s="19" t="s">
        <v>22</v>
      </c>
      <c r="N462">
        <f t="shared" si="7"/>
        <v>3883</v>
      </c>
    </row>
    <row r="463" spans="1:14">
      <c r="A463" s="23" t="s">
        <v>327</v>
      </c>
      <c r="B463" s="20" t="s">
        <v>31</v>
      </c>
      <c r="C463" s="36">
        <v>45468</v>
      </c>
      <c r="D463" s="20" t="s">
        <v>15</v>
      </c>
      <c r="E463" s="20" t="s">
        <v>51</v>
      </c>
      <c r="F463" s="20">
        <v>2172</v>
      </c>
      <c r="G463" s="20">
        <v>338</v>
      </c>
      <c r="H463" s="20">
        <v>70</v>
      </c>
      <c r="I463" s="20">
        <v>30515</v>
      </c>
      <c r="J463" s="20">
        <v>57853</v>
      </c>
      <c r="K463" s="20">
        <v>156</v>
      </c>
      <c r="L463" s="20" t="s">
        <v>21</v>
      </c>
      <c r="M463" s="21" t="s">
        <v>22</v>
      </c>
      <c r="N463">
        <f t="shared" si="7"/>
        <v>2580</v>
      </c>
    </row>
    <row r="464" spans="1:14">
      <c r="A464" s="22" t="s">
        <v>327</v>
      </c>
      <c r="B464" s="18" t="s">
        <v>31</v>
      </c>
      <c r="C464" s="35">
        <v>45468</v>
      </c>
      <c r="D464" s="18" t="s">
        <v>15</v>
      </c>
      <c r="E464" s="18" t="s">
        <v>51</v>
      </c>
      <c r="F464" s="18">
        <v>2172</v>
      </c>
      <c r="G464" s="18">
        <v>338</v>
      </c>
      <c r="H464" s="18">
        <v>70</v>
      </c>
      <c r="I464" s="18">
        <v>30515</v>
      </c>
      <c r="J464" s="18">
        <v>57853</v>
      </c>
      <c r="K464" s="18">
        <v>156</v>
      </c>
      <c r="L464" s="18" t="s">
        <v>399</v>
      </c>
      <c r="M464" s="19" t="s">
        <v>22</v>
      </c>
      <c r="N464">
        <f t="shared" si="7"/>
        <v>2580</v>
      </c>
    </row>
    <row r="465" spans="1:14">
      <c r="A465" s="23" t="s">
        <v>328</v>
      </c>
      <c r="B465" s="20" t="s">
        <v>24</v>
      </c>
      <c r="C465" s="36">
        <v>45513</v>
      </c>
      <c r="D465" s="20" t="s">
        <v>25</v>
      </c>
      <c r="E465" s="20" t="s">
        <v>49</v>
      </c>
      <c r="F465" s="20">
        <v>4877</v>
      </c>
      <c r="G465" s="20">
        <v>442</v>
      </c>
      <c r="H465" s="20">
        <v>236</v>
      </c>
      <c r="I465" s="20">
        <v>52673</v>
      </c>
      <c r="J465" s="20">
        <v>48241</v>
      </c>
      <c r="K465" s="20">
        <v>114</v>
      </c>
      <c r="L465" s="20" t="s">
        <v>21</v>
      </c>
      <c r="M465" s="21" t="s">
        <v>18</v>
      </c>
      <c r="N465">
        <f t="shared" si="7"/>
        <v>5555</v>
      </c>
    </row>
    <row r="466" spans="1:14">
      <c r="A466" s="22" t="s">
        <v>328</v>
      </c>
      <c r="B466" s="18" t="s">
        <v>24</v>
      </c>
      <c r="C466" s="35">
        <v>45513</v>
      </c>
      <c r="D466" s="18" t="s">
        <v>25</v>
      </c>
      <c r="E466" s="18" t="s">
        <v>49</v>
      </c>
      <c r="F466" s="18">
        <v>4877</v>
      </c>
      <c r="G466" s="18">
        <v>442</v>
      </c>
      <c r="H466" s="18">
        <v>236</v>
      </c>
      <c r="I466" s="18">
        <v>52673</v>
      </c>
      <c r="J466" s="18">
        <v>48241</v>
      </c>
      <c r="K466" s="18">
        <v>114</v>
      </c>
      <c r="L466" s="18" t="s">
        <v>398</v>
      </c>
      <c r="M466" s="19" t="s">
        <v>18</v>
      </c>
      <c r="N466">
        <f t="shared" si="7"/>
        <v>5555</v>
      </c>
    </row>
    <row r="467" spans="1:14">
      <c r="A467" s="23" t="s">
        <v>329</v>
      </c>
      <c r="B467" s="20" t="s">
        <v>14</v>
      </c>
      <c r="C467" s="36">
        <v>45678</v>
      </c>
      <c r="D467" s="20" t="s">
        <v>25</v>
      </c>
      <c r="E467" s="20" t="s">
        <v>26</v>
      </c>
      <c r="F467" s="20">
        <v>4918</v>
      </c>
      <c r="G467" s="20">
        <v>440</v>
      </c>
      <c r="H467" s="20">
        <v>149</v>
      </c>
      <c r="I467" s="20">
        <v>53269</v>
      </c>
      <c r="J467" s="20">
        <v>64370</v>
      </c>
      <c r="K467" s="20">
        <v>269</v>
      </c>
      <c r="L467" s="20" t="s">
        <v>42</v>
      </c>
      <c r="M467" s="21" t="s">
        <v>55</v>
      </c>
      <c r="N467">
        <f t="shared" si="7"/>
        <v>5507</v>
      </c>
    </row>
    <row r="468" spans="1:14">
      <c r="A468" s="22" t="s">
        <v>330</v>
      </c>
      <c r="B468" s="18" t="s">
        <v>24</v>
      </c>
      <c r="C468" s="35">
        <v>45517</v>
      </c>
      <c r="D468" s="18" t="s">
        <v>15</v>
      </c>
      <c r="E468" s="18" t="s">
        <v>20</v>
      </c>
      <c r="F468" s="18">
        <v>3418</v>
      </c>
      <c r="G468" s="18">
        <v>107</v>
      </c>
      <c r="H468" s="18">
        <v>221</v>
      </c>
      <c r="I468" s="18">
        <v>23927</v>
      </c>
      <c r="J468" s="18">
        <v>26182</v>
      </c>
      <c r="K468" s="18">
        <v>155</v>
      </c>
      <c r="L468" s="18" t="s">
        <v>45</v>
      </c>
      <c r="M468" s="19" t="s">
        <v>22</v>
      </c>
      <c r="N468">
        <f t="shared" si="7"/>
        <v>3746</v>
      </c>
    </row>
    <row r="469" spans="1:14">
      <c r="A469" s="23" t="s">
        <v>331</v>
      </c>
      <c r="B469" s="20" t="s">
        <v>14</v>
      </c>
      <c r="C469" s="36">
        <v>45472</v>
      </c>
      <c r="D469" s="20" t="s">
        <v>15</v>
      </c>
      <c r="E469" s="20" t="s">
        <v>51</v>
      </c>
      <c r="F469" s="20">
        <v>2088</v>
      </c>
      <c r="G469" s="20">
        <v>490</v>
      </c>
      <c r="H469" s="20">
        <v>124</v>
      </c>
      <c r="I469" s="20">
        <v>46544</v>
      </c>
      <c r="J469" s="20">
        <v>69346</v>
      </c>
      <c r="K469" s="20">
        <v>178</v>
      </c>
      <c r="L469" s="20" t="s">
        <v>45</v>
      </c>
      <c r="M469" s="21" t="s">
        <v>18</v>
      </c>
      <c r="N469">
        <f t="shared" si="7"/>
        <v>2702</v>
      </c>
    </row>
    <row r="470" spans="1:14">
      <c r="A470" s="22" t="s">
        <v>331</v>
      </c>
      <c r="B470" s="18" t="s">
        <v>14</v>
      </c>
      <c r="C470" s="35">
        <v>45472</v>
      </c>
      <c r="D470" s="18" t="s">
        <v>15</v>
      </c>
      <c r="E470" s="18" t="s">
        <v>51</v>
      </c>
      <c r="F470" s="18">
        <v>2088</v>
      </c>
      <c r="G470" s="18">
        <v>490</v>
      </c>
      <c r="H470" s="18">
        <v>124</v>
      </c>
      <c r="I470" s="18">
        <v>46544</v>
      </c>
      <c r="J470" s="18">
        <v>69346</v>
      </c>
      <c r="K470" s="18">
        <v>178</v>
      </c>
      <c r="L470" s="18" t="s">
        <v>42</v>
      </c>
      <c r="M470" s="19" t="s">
        <v>18</v>
      </c>
      <c r="N470">
        <f t="shared" si="7"/>
        <v>2702</v>
      </c>
    </row>
    <row r="471" spans="1:14">
      <c r="A471" s="23" t="s">
        <v>332</v>
      </c>
      <c r="B471" s="20" t="s">
        <v>24</v>
      </c>
      <c r="C471" s="36">
        <v>45599</v>
      </c>
      <c r="D471" s="20" t="s">
        <v>25</v>
      </c>
      <c r="E471" s="20" t="s">
        <v>20</v>
      </c>
      <c r="F471" s="20">
        <v>3061</v>
      </c>
      <c r="G471" s="20">
        <v>320</v>
      </c>
      <c r="H471" s="20">
        <v>76</v>
      </c>
      <c r="I471" s="20">
        <v>26640</v>
      </c>
      <c r="J471" s="20">
        <v>24306</v>
      </c>
      <c r="K471" s="20">
        <v>112</v>
      </c>
      <c r="L471" s="20" t="s">
        <v>398</v>
      </c>
      <c r="M471" s="21" t="s">
        <v>18</v>
      </c>
      <c r="N471">
        <f t="shared" si="7"/>
        <v>3457</v>
      </c>
    </row>
    <row r="472" spans="1:14">
      <c r="A472" s="22" t="s">
        <v>332</v>
      </c>
      <c r="B472" s="18" t="s">
        <v>24</v>
      </c>
      <c r="C472" s="35">
        <v>45599</v>
      </c>
      <c r="D472" s="18" t="s">
        <v>25</v>
      </c>
      <c r="E472" s="18" t="s">
        <v>20</v>
      </c>
      <c r="F472" s="18">
        <v>3061</v>
      </c>
      <c r="G472" s="18">
        <v>320</v>
      </c>
      <c r="H472" s="18">
        <v>76</v>
      </c>
      <c r="I472" s="18">
        <v>26640</v>
      </c>
      <c r="J472" s="18">
        <v>24306</v>
      </c>
      <c r="K472" s="18">
        <v>112</v>
      </c>
      <c r="L472" s="18" t="s">
        <v>42</v>
      </c>
      <c r="M472" s="19" t="s">
        <v>18</v>
      </c>
      <c r="N472">
        <f t="shared" si="7"/>
        <v>3457</v>
      </c>
    </row>
    <row r="473" spans="1:14">
      <c r="A473" s="23" t="s">
        <v>333</v>
      </c>
      <c r="B473" s="20" t="s">
        <v>31</v>
      </c>
      <c r="C473" s="36">
        <v>45765</v>
      </c>
      <c r="D473" s="20" t="s">
        <v>57</v>
      </c>
      <c r="E473" s="20" t="s">
        <v>51</v>
      </c>
      <c r="F473" s="20">
        <v>1265</v>
      </c>
      <c r="G473" s="20">
        <v>230</v>
      </c>
      <c r="H473" s="20">
        <v>364</v>
      </c>
      <c r="I473" s="20">
        <v>41312</v>
      </c>
      <c r="J473" s="20">
        <v>50382</v>
      </c>
      <c r="K473" s="20">
        <v>106</v>
      </c>
      <c r="L473" s="20" t="s">
        <v>21</v>
      </c>
      <c r="M473" s="21" t="s">
        <v>59</v>
      </c>
      <c r="N473">
        <f t="shared" si="7"/>
        <v>1859</v>
      </c>
    </row>
    <row r="474" spans="1:14">
      <c r="A474" s="22" t="s">
        <v>333</v>
      </c>
      <c r="B474" s="18" t="s">
        <v>31</v>
      </c>
      <c r="C474" s="35">
        <v>45765</v>
      </c>
      <c r="D474" s="18" t="s">
        <v>57</v>
      </c>
      <c r="E474" s="18" t="s">
        <v>51</v>
      </c>
      <c r="F474" s="18">
        <v>1265</v>
      </c>
      <c r="G474" s="18">
        <v>230</v>
      </c>
      <c r="H474" s="18">
        <v>364</v>
      </c>
      <c r="I474" s="18">
        <v>41312</v>
      </c>
      <c r="J474" s="18">
        <v>50382</v>
      </c>
      <c r="K474" s="18">
        <v>106</v>
      </c>
      <c r="L474" s="18" t="s">
        <v>45</v>
      </c>
      <c r="M474" s="19" t="s">
        <v>59</v>
      </c>
      <c r="N474">
        <f t="shared" si="7"/>
        <v>1859</v>
      </c>
    </row>
    <row r="475" spans="1:14">
      <c r="A475" s="23" t="s">
        <v>334</v>
      </c>
      <c r="B475" s="20" t="s">
        <v>14</v>
      </c>
      <c r="C475" s="36">
        <v>45653</v>
      </c>
      <c r="D475" s="20" t="s">
        <v>15</v>
      </c>
      <c r="E475" s="20" t="s">
        <v>49</v>
      </c>
      <c r="F475" s="20">
        <v>1436</v>
      </c>
      <c r="G475" s="20">
        <v>219</v>
      </c>
      <c r="H475" s="20">
        <v>229</v>
      </c>
      <c r="I475" s="20">
        <v>58488</v>
      </c>
      <c r="J475" s="20">
        <v>24314</v>
      </c>
      <c r="K475" s="20">
        <v>147</v>
      </c>
      <c r="L475" s="20" t="s">
        <v>21</v>
      </c>
      <c r="M475" s="21" t="s">
        <v>22</v>
      </c>
      <c r="N475">
        <f t="shared" si="7"/>
        <v>1884</v>
      </c>
    </row>
    <row r="476" spans="1:14">
      <c r="A476" s="22" t="s">
        <v>335</v>
      </c>
      <c r="B476" s="18" t="s">
        <v>14</v>
      </c>
      <c r="C476" s="35">
        <v>45724</v>
      </c>
      <c r="D476" s="18" t="s">
        <v>25</v>
      </c>
      <c r="E476" s="18" t="s">
        <v>41</v>
      </c>
      <c r="F476" s="18">
        <v>2244</v>
      </c>
      <c r="G476" s="18">
        <v>392</v>
      </c>
      <c r="H476" s="18">
        <v>231</v>
      </c>
      <c r="I476" s="18">
        <v>25834</v>
      </c>
      <c r="J476" s="18">
        <v>50906</v>
      </c>
      <c r="K476" s="18">
        <v>165</v>
      </c>
      <c r="L476" s="18" t="s">
        <v>42</v>
      </c>
      <c r="M476" s="19" t="s">
        <v>55</v>
      </c>
      <c r="N476">
        <f t="shared" si="7"/>
        <v>2867</v>
      </c>
    </row>
    <row r="477" spans="1:14">
      <c r="A477" s="23" t="s">
        <v>336</v>
      </c>
      <c r="B477" s="20" t="s">
        <v>24</v>
      </c>
      <c r="C477" s="36">
        <v>45736</v>
      </c>
      <c r="D477" s="20" t="s">
        <v>25</v>
      </c>
      <c r="E477" s="20" t="s">
        <v>51</v>
      </c>
      <c r="F477" s="20">
        <v>3393</v>
      </c>
      <c r="G477" s="20">
        <v>104</v>
      </c>
      <c r="H477" s="20">
        <v>79</v>
      </c>
      <c r="I477" s="20">
        <v>30025</v>
      </c>
      <c r="J477" s="20">
        <v>21593</v>
      </c>
      <c r="K477" s="20">
        <v>165</v>
      </c>
      <c r="L477" s="20" t="s">
        <v>398</v>
      </c>
      <c r="M477" s="21" t="s">
        <v>18</v>
      </c>
      <c r="N477">
        <f t="shared" si="7"/>
        <v>3576</v>
      </c>
    </row>
    <row r="478" spans="1:14">
      <c r="A478" s="22" t="s">
        <v>336</v>
      </c>
      <c r="B478" s="18" t="s">
        <v>24</v>
      </c>
      <c r="C478" s="35">
        <v>45736</v>
      </c>
      <c r="D478" s="18" t="s">
        <v>25</v>
      </c>
      <c r="E478" s="18" t="s">
        <v>51</v>
      </c>
      <c r="F478" s="18">
        <v>3393</v>
      </c>
      <c r="G478" s="18">
        <v>104</v>
      </c>
      <c r="H478" s="18">
        <v>79</v>
      </c>
      <c r="I478" s="18">
        <v>30025</v>
      </c>
      <c r="J478" s="18">
        <v>21593</v>
      </c>
      <c r="K478" s="18">
        <v>165</v>
      </c>
      <c r="L478" s="18" t="s">
        <v>42</v>
      </c>
      <c r="M478" s="19" t="s">
        <v>18</v>
      </c>
      <c r="N478">
        <f t="shared" si="7"/>
        <v>3576</v>
      </c>
    </row>
    <row r="479" spans="1:14">
      <c r="A479" s="23" t="s">
        <v>337</v>
      </c>
      <c r="B479" s="20" t="s">
        <v>24</v>
      </c>
      <c r="C479" s="36">
        <v>45612</v>
      </c>
      <c r="D479" s="20" t="s">
        <v>15</v>
      </c>
      <c r="E479" s="20" t="s">
        <v>20</v>
      </c>
      <c r="F479" s="20">
        <v>2901</v>
      </c>
      <c r="G479" s="20">
        <v>108</v>
      </c>
      <c r="H479" s="20">
        <v>86</v>
      </c>
      <c r="I479" s="20">
        <v>51777</v>
      </c>
      <c r="J479" s="20">
        <v>23773</v>
      </c>
      <c r="K479" s="20">
        <v>160</v>
      </c>
      <c r="L479" s="20" t="s">
        <v>45</v>
      </c>
      <c r="M479" s="21" t="s">
        <v>22</v>
      </c>
      <c r="N479">
        <f t="shared" si="7"/>
        <v>3095</v>
      </c>
    </row>
    <row r="480" spans="1:14">
      <c r="A480" s="22" t="s">
        <v>338</v>
      </c>
      <c r="B480" s="18" t="s">
        <v>24</v>
      </c>
      <c r="C480" s="35">
        <v>45838</v>
      </c>
      <c r="D480" s="18" t="s">
        <v>15</v>
      </c>
      <c r="E480" s="18" t="s">
        <v>35</v>
      </c>
      <c r="F480" s="18">
        <v>2275</v>
      </c>
      <c r="G480" s="18">
        <v>285</v>
      </c>
      <c r="H480" s="18">
        <v>125</v>
      </c>
      <c r="I480" s="18">
        <v>43970</v>
      </c>
      <c r="J480" s="18">
        <v>74761</v>
      </c>
      <c r="K480" s="18">
        <v>83</v>
      </c>
      <c r="L480" s="18" t="s">
        <v>42</v>
      </c>
      <c r="M480" s="19" t="s">
        <v>18</v>
      </c>
      <c r="N480">
        <f t="shared" si="7"/>
        <v>2685</v>
      </c>
    </row>
    <row r="481" spans="1:14">
      <c r="A481" s="23" t="s">
        <v>339</v>
      </c>
      <c r="B481" s="20" t="s">
        <v>24</v>
      </c>
      <c r="C481" s="36">
        <v>45303</v>
      </c>
      <c r="D481" s="20" t="s">
        <v>25</v>
      </c>
      <c r="E481" s="20" t="s">
        <v>29</v>
      </c>
      <c r="F481" s="20">
        <v>2227</v>
      </c>
      <c r="G481" s="20">
        <v>494</v>
      </c>
      <c r="H481" s="20">
        <v>161</v>
      </c>
      <c r="I481" s="20">
        <v>51651</v>
      </c>
      <c r="J481" s="20">
        <v>68074</v>
      </c>
      <c r="K481" s="20">
        <v>240</v>
      </c>
      <c r="L481" s="20" t="s">
        <v>21</v>
      </c>
      <c r="M481" s="21" t="s">
        <v>18</v>
      </c>
      <c r="N481">
        <f t="shared" si="7"/>
        <v>2882</v>
      </c>
    </row>
    <row r="482" spans="1:14">
      <c r="A482" s="22" t="s">
        <v>339</v>
      </c>
      <c r="B482" s="18" t="s">
        <v>24</v>
      </c>
      <c r="C482" s="35">
        <v>45303</v>
      </c>
      <c r="D482" s="18" t="s">
        <v>25</v>
      </c>
      <c r="E482" s="18" t="s">
        <v>29</v>
      </c>
      <c r="F482" s="18">
        <v>2227</v>
      </c>
      <c r="G482" s="18">
        <v>494</v>
      </c>
      <c r="H482" s="18">
        <v>161</v>
      </c>
      <c r="I482" s="18">
        <v>51651</v>
      </c>
      <c r="J482" s="18">
        <v>68074</v>
      </c>
      <c r="K482" s="18">
        <v>240</v>
      </c>
      <c r="L482" s="18" t="s">
        <v>398</v>
      </c>
      <c r="M482" s="19" t="s">
        <v>18</v>
      </c>
      <c r="N482">
        <f t="shared" si="7"/>
        <v>2882</v>
      </c>
    </row>
    <row r="483" spans="1:14">
      <c r="A483" s="23" t="s">
        <v>340</v>
      </c>
      <c r="B483" s="20" t="s">
        <v>14</v>
      </c>
      <c r="C483" s="36">
        <v>45329</v>
      </c>
      <c r="D483" s="20" t="s">
        <v>15</v>
      </c>
      <c r="E483" s="20" t="s">
        <v>32</v>
      </c>
      <c r="F483" s="20">
        <v>1883</v>
      </c>
      <c r="G483" s="20">
        <v>432</v>
      </c>
      <c r="H483" s="20">
        <v>397</v>
      </c>
      <c r="I483" s="20">
        <v>28759</v>
      </c>
      <c r="J483" s="20">
        <v>18691</v>
      </c>
      <c r="K483" s="20">
        <v>270</v>
      </c>
      <c r="L483" s="20" t="s">
        <v>45</v>
      </c>
      <c r="M483" s="21" t="s">
        <v>18</v>
      </c>
      <c r="N483">
        <f t="shared" si="7"/>
        <v>2712</v>
      </c>
    </row>
    <row r="484" spans="1:14">
      <c r="A484" s="22" t="s">
        <v>340</v>
      </c>
      <c r="B484" s="18" t="s">
        <v>14</v>
      </c>
      <c r="C484" s="35">
        <v>45329</v>
      </c>
      <c r="D484" s="18" t="s">
        <v>15</v>
      </c>
      <c r="E484" s="18" t="s">
        <v>32</v>
      </c>
      <c r="F484" s="18">
        <v>1883</v>
      </c>
      <c r="G484" s="18">
        <v>432</v>
      </c>
      <c r="H484" s="18">
        <v>397</v>
      </c>
      <c r="I484" s="18">
        <v>28759</v>
      </c>
      <c r="J484" s="18">
        <v>18691</v>
      </c>
      <c r="K484" s="18">
        <v>270</v>
      </c>
      <c r="L484" s="18" t="s">
        <v>42</v>
      </c>
      <c r="M484" s="19" t="s">
        <v>18</v>
      </c>
      <c r="N484">
        <f t="shared" si="7"/>
        <v>2712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D682C-5DAD-4733-8509-F19B7A59E56A}">
  <dimension ref="A1:K305"/>
  <sheetViews>
    <sheetView workbookViewId="0">
      <selection activeCell="I6" sqref="I6"/>
    </sheetView>
  </sheetViews>
  <sheetFormatPr defaultRowHeight="14.4"/>
  <cols>
    <col min="3" max="3" width="10.77734375" customWidth="1"/>
    <col min="5" max="5" width="10.21875" customWidth="1"/>
    <col min="7" max="7" width="12.6640625" customWidth="1"/>
    <col min="8" max="8" width="13.88671875" customWidth="1"/>
    <col min="9" max="9" width="15.44140625" customWidth="1"/>
  </cols>
  <sheetData>
    <row r="1" spans="1:11">
      <c r="A1" s="186" t="s">
        <v>403</v>
      </c>
      <c r="B1" s="186"/>
      <c r="C1" s="186"/>
      <c r="D1" s="186"/>
      <c r="E1" s="186"/>
      <c r="F1" s="186"/>
      <c r="G1" s="186"/>
      <c r="H1" s="186"/>
      <c r="I1" s="186"/>
      <c r="J1" s="186"/>
    </row>
    <row r="3" spans="1:11">
      <c r="A3" s="187" t="s">
        <v>404</v>
      </c>
      <c r="B3" s="187"/>
      <c r="C3" s="187"/>
      <c r="D3" s="187"/>
      <c r="E3" s="187"/>
      <c r="F3" s="187"/>
      <c r="G3" s="187"/>
      <c r="H3" s="187"/>
      <c r="I3" s="187"/>
    </row>
    <row r="5" spans="1:11" ht="33" customHeight="1">
      <c r="A5" s="163" t="s">
        <v>0</v>
      </c>
      <c r="B5" s="163" t="s">
        <v>1</v>
      </c>
      <c r="C5" s="163" t="s">
        <v>3</v>
      </c>
      <c r="D5" s="163" t="s">
        <v>5</v>
      </c>
      <c r="E5" s="163" t="s">
        <v>7</v>
      </c>
      <c r="F5" s="163" t="s">
        <v>6</v>
      </c>
      <c r="G5" s="163" t="s">
        <v>8</v>
      </c>
      <c r="H5" s="163" t="s">
        <v>421</v>
      </c>
      <c r="I5" s="163" t="s">
        <v>401</v>
      </c>
      <c r="J5" s="163" t="s">
        <v>402</v>
      </c>
      <c r="K5" s="38"/>
    </row>
    <row r="6" spans="1:11">
      <c r="A6" s="5" t="s">
        <v>36</v>
      </c>
      <c r="B6" s="5" t="s">
        <v>24</v>
      </c>
      <c r="C6" s="5" t="s">
        <v>25</v>
      </c>
      <c r="D6" s="5">
        <v>4674</v>
      </c>
      <c r="E6" s="5">
        <v>327</v>
      </c>
      <c r="F6" s="5">
        <v>409</v>
      </c>
      <c r="G6" s="5">
        <v>20756</v>
      </c>
      <c r="H6" s="5">
        <f>SUM(D6+E6+F6)</f>
        <v>5410</v>
      </c>
      <c r="I6" s="37">
        <f t="shared" ref="I6:I69" si="0">(D6+E6+F6)/G6*100</f>
        <v>26.064752360763155</v>
      </c>
      <c r="J6" s="5">
        <f>RANK(I6,I$6:I$305,0)</f>
        <v>1</v>
      </c>
    </row>
    <row r="7" spans="1:11">
      <c r="A7" s="5" t="s">
        <v>146</v>
      </c>
      <c r="B7" s="5" t="s">
        <v>24</v>
      </c>
      <c r="C7" s="5" t="s">
        <v>25</v>
      </c>
      <c r="D7" s="5">
        <v>4619</v>
      </c>
      <c r="E7" s="5">
        <v>57</v>
      </c>
      <c r="F7" s="5">
        <v>272</v>
      </c>
      <c r="G7" s="5">
        <v>21334</v>
      </c>
      <c r="H7" s="5">
        <f t="shared" ref="H7:H70" si="1">SUM(D7+E7+F7)</f>
        <v>4948</v>
      </c>
      <c r="I7" s="37">
        <f t="shared" si="0"/>
        <v>23.193025217961939</v>
      </c>
      <c r="J7" s="5">
        <f t="shared" ref="J7:J69" si="2">RANK(I7,I$6:I$305,0)</f>
        <v>2</v>
      </c>
    </row>
    <row r="8" spans="1:11">
      <c r="A8" s="5" t="s">
        <v>226</v>
      </c>
      <c r="B8" s="5" t="s">
        <v>24</v>
      </c>
      <c r="C8" s="5" t="s">
        <v>25</v>
      </c>
      <c r="D8" s="5">
        <v>4618</v>
      </c>
      <c r="E8" s="5">
        <v>254</v>
      </c>
      <c r="F8" s="5">
        <v>312</v>
      </c>
      <c r="G8" s="5">
        <v>22571</v>
      </c>
      <c r="H8" s="5">
        <f t="shared" si="1"/>
        <v>5184</v>
      </c>
      <c r="I8" s="37">
        <f t="shared" si="0"/>
        <v>22.967524699836073</v>
      </c>
      <c r="J8" s="5">
        <f t="shared" si="2"/>
        <v>3</v>
      </c>
    </row>
    <row r="9" spans="1:11">
      <c r="A9" s="5" t="s">
        <v>319</v>
      </c>
      <c r="B9" s="5" t="s">
        <v>24</v>
      </c>
      <c r="C9" s="5" t="s">
        <v>25</v>
      </c>
      <c r="D9" s="5">
        <v>3507</v>
      </c>
      <c r="E9" s="5">
        <v>371</v>
      </c>
      <c r="F9" s="5">
        <v>295</v>
      </c>
      <c r="G9" s="5">
        <v>20410</v>
      </c>
      <c r="H9" s="5">
        <f t="shared" si="1"/>
        <v>4173</v>
      </c>
      <c r="I9" s="37">
        <f t="shared" si="0"/>
        <v>20.445859872611464</v>
      </c>
      <c r="J9" s="5">
        <f t="shared" si="2"/>
        <v>4</v>
      </c>
    </row>
    <row r="10" spans="1:11">
      <c r="A10" s="5" t="s">
        <v>90</v>
      </c>
      <c r="B10" s="5" t="s">
        <v>24</v>
      </c>
      <c r="C10" s="5" t="s">
        <v>15</v>
      </c>
      <c r="D10" s="5">
        <v>4401</v>
      </c>
      <c r="E10" s="5">
        <v>216</v>
      </c>
      <c r="F10" s="5">
        <v>421</v>
      </c>
      <c r="G10" s="5">
        <v>24890</v>
      </c>
      <c r="H10" s="5">
        <f t="shared" si="1"/>
        <v>5038</v>
      </c>
      <c r="I10" s="37">
        <f t="shared" si="0"/>
        <v>20.241060666934512</v>
      </c>
      <c r="J10" s="5">
        <f t="shared" si="2"/>
        <v>5</v>
      </c>
    </row>
    <row r="11" spans="1:11">
      <c r="A11" s="5" t="s">
        <v>62</v>
      </c>
      <c r="B11" s="5" t="s">
        <v>14</v>
      </c>
      <c r="C11" s="5" t="s">
        <v>15</v>
      </c>
      <c r="D11" s="5">
        <v>4896</v>
      </c>
      <c r="E11" s="5">
        <v>233</v>
      </c>
      <c r="F11" s="5">
        <v>466</v>
      </c>
      <c r="G11" s="5">
        <v>28621</v>
      </c>
      <c r="H11" s="5">
        <f t="shared" si="1"/>
        <v>5595</v>
      </c>
      <c r="I11" s="37">
        <f t="shared" si="0"/>
        <v>19.548583208133888</v>
      </c>
      <c r="J11" s="5">
        <f t="shared" si="2"/>
        <v>6</v>
      </c>
    </row>
    <row r="12" spans="1:11">
      <c r="A12" s="5" t="s">
        <v>197</v>
      </c>
      <c r="B12" s="5" t="s">
        <v>397</v>
      </c>
      <c r="C12" s="5" t="s">
        <v>15</v>
      </c>
      <c r="D12" s="5">
        <v>4425</v>
      </c>
      <c r="E12" s="5">
        <v>162</v>
      </c>
      <c r="F12" s="5">
        <v>185</v>
      </c>
      <c r="G12" s="5">
        <v>24610</v>
      </c>
      <c r="H12" s="5">
        <f t="shared" si="1"/>
        <v>4772</v>
      </c>
      <c r="I12" s="37">
        <f t="shared" si="0"/>
        <v>19.390491670052825</v>
      </c>
      <c r="J12" s="5">
        <f t="shared" si="2"/>
        <v>7</v>
      </c>
    </row>
    <row r="13" spans="1:11">
      <c r="A13" s="5" t="s">
        <v>288</v>
      </c>
      <c r="B13" s="5" t="s">
        <v>397</v>
      </c>
      <c r="C13" s="5" t="s">
        <v>57</v>
      </c>
      <c r="D13" s="5">
        <v>4722</v>
      </c>
      <c r="E13" s="5">
        <v>344</v>
      </c>
      <c r="F13" s="5">
        <v>310</v>
      </c>
      <c r="G13" s="5">
        <v>27911</v>
      </c>
      <c r="H13" s="5">
        <f t="shared" si="1"/>
        <v>5376</v>
      </c>
      <c r="I13" s="37">
        <f t="shared" si="0"/>
        <v>19.261223173659133</v>
      </c>
      <c r="J13" s="5">
        <f t="shared" si="2"/>
        <v>8</v>
      </c>
    </row>
    <row r="14" spans="1:11">
      <c r="A14" s="5" t="s">
        <v>176</v>
      </c>
      <c r="B14" s="5" t="s">
        <v>24</v>
      </c>
      <c r="C14" s="5" t="s">
        <v>15</v>
      </c>
      <c r="D14" s="5">
        <v>3728</v>
      </c>
      <c r="E14" s="5">
        <v>275</v>
      </c>
      <c r="F14" s="5">
        <v>271</v>
      </c>
      <c r="G14" s="5">
        <v>22827</v>
      </c>
      <c r="H14" s="5">
        <f t="shared" si="1"/>
        <v>4274</v>
      </c>
      <c r="I14" s="37">
        <f t="shared" si="0"/>
        <v>18.723441538528935</v>
      </c>
      <c r="J14" s="5">
        <f t="shared" si="2"/>
        <v>9</v>
      </c>
    </row>
    <row r="15" spans="1:11">
      <c r="A15" s="5" t="s">
        <v>108</v>
      </c>
      <c r="B15" s="5" t="s">
        <v>24</v>
      </c>
      <c r="C15" s="5" t="s">
        <v>15</v>
      </c>
      <c r="D15" s="5">
        <v>3276</v>
      </c>
      <c r="E15" s="5">
        <v>114</v>
      </c>
      <c r="F15" s="5">
        <v>421</v>
      </c>
      <c r="G15" s="5">
        <v>20580</v>
      </c>
      <c r="H15" s="5">
        <f t="shared" si="1"/>
        <v>3811</v>
      </c>
      <c r="I15" s="37">
        <f t="shared" si="0"/>
        <v>18.517978620019438</v>
      </c>
      <c r="J15" s="5">
        <f t="shared" si="2"/>
        <v>10</v>
      </c>
    </row>
    <row r="16" spans="1:11">
      <c r="A16" s="5" t="s">
        <v>128</v>
      </c>
      <c r="B16" s="5" t="s">
        <v>24</v>
      </c>
      <c r="C16" s="5" t="s">
        <v>25</v>
      </c>
      <c r="D16" s="5">
        <v>4796</v>
      </c>
      <c r="E16" s="5">
        <v>339</v>
      </c>
      <c r="F16" s="5">
        <v>427</v>
      </c>
      <c r="G16" s="5">
        <v>30752</v>
      </c>
      <c r="H16" s="5">
        <f t="shared" si="1"/>
        <v>5562</v>
      </c>
      <c r="I16" s="37">
        <f t="shared" si="0"/>
        <v>18.086628511966701</v>
      </c>
      <c r="J16" s="5">
        <f t="shared" si="2"/>
        <v>11</v>
      </c>
    </row>
    <row r="17" spans="1:10">
      <c r="A17" s="5" t="s">
        <v>253</v>
      </c>
      <c r="B17" s="5" t="s">
        <v>14</v>
      </c>
      <c r="C17" s="5" t="s">
        <v>25</v>
      </c>
      <c r="D17" s="5">
        <v>4902</v>
      </c>
      <c r="E17" s="5">
        <v>376</v>
      </c>
      <c r="F17" s="5">
        <v>422</v>
      </c>
      <c r="G17" s="5">
        <v>31674</v>
      </c>
      <c r="H17" s="5">
        <f t="shared" si="1"/>
        <v>5700</v>
      </c>
      <c r="I17" s="37">
        <f t="shared" si="0"/>
        <v>17.995832544042432</v>
      </c>
      <c r="J17" s="5">
        <f t="shared" si="2"/>
        <v>12</v>
      </c>
    </row>
    <row r="18" spans="1:10">
      <c r="A18" s="5" t="s">
        <v>290</v>
      </c>
      <c r="B18" s="5" t="s">
        <v>24</v>
      </c>
      <c r="C18" s="5" t="s">
        <v>15</v>
      </c>
      <c r="D18" s="5">
        <v>4782</v>
      </c>
      <c r="E18" s="5">
        <v>311</v>
      </c>
      <c r="F18" s="5">
        <v>210</v>
      </c>
      <c r="G18" s="5">
        <v>29793</v>
      </c>
      <c r="H18" s="5">
        <f t="shared" si="1"/>
        <v>5303</v>
      </c>
      <c r="I18" s="37">
        <f t="shared" si="0"/>
        <v>17.79948310005706</v>
      </c>
      <c r="J18" s="5">
        <f t="shared" si="2"/>
        <v>13</v>
      </c>
    </row>
    <row r="19" spans="1:10">
      <c r="A19" s="5" t="s">
        <v>107</v>
      </c>
      <c r="B19" s="5" t="s">
        <v>397</v>
      </c>
      <c r="C19" s="5" t="s">
        <v>57</v>
      </c>
      <c r="D19" s="5">
        <v>4563</v>
      </c>
      <c r="E19" s="5">
        <v>356</v>
      </c>
      <c r="F19" s="5">
        <v>488</v>
      </c>
      <c r="G19" s="5">
        <v>30619</v>
      </c>
      <c r="H19" s="5">
        <f t="shared" si="1"/>
        <v>5407</v>
      </c>
      <c r="I19" s="37">
        <f t="shared" si="0"/>
        <v>17.658969920637514</v>
      </c>
      <c r="J19" s="5">
        <f t="shared" si="2"/>
        <v>14</v>
      </c>
    </row>
    <row r="20" spans="1:10">
      <c r="A20" s="5" t="s">
        <v>130</v>
      </c>
      <c r="B20" s="5" t="s">
        <v>24</v>
      </c>
      <c r="C20" s="5" t="s">
        <v>25</v>
      </c>
      <c r="D20" s="5">
        <v>3336</v>
      </c>
      <c r="E20" s="5">
        <v>337</v>
      </c>
      <c r="F20" s="5">
        <v>229</v>
      </c>
      <c r="G20" s="5">
        <v>22117</v>
      </c>
      <c r="H20" s="5">
        <f t="shared" si="1"/>
        <v>3902</v>
      </c>
      <c r="I20" s="37">
        <f t="shared" si="0"/>
        <v>17.642537414658406</v>
      </c>
      <c r="J20" s="5">
        <f t="shared" si="2"/>
        <v>15</v>
      </c>
    </row>
    <row r="21" spans="1:10">
      <c r="A21" s="5" t="s">
        <v>217</v>
      </c>
      <c r="B21" s="5" t="s">
        <v>24</v>
      </c>
      <c r="C21" s="5" t="s">
        <v>15</v>
      </c>
      <c r="D21" s="5">
        <v>4823</v>
      </c>
      <c r="E21" s="5">
        <v>302</v>
      </c>
      <c r="F21" s="5">
        <v>489</v>
      </c>
      <c r="G21" s="5">
        <v>32470</v>
      </c>
      <c r="H21" s="5">
        <f t="shared" si="1"/>
        <v>5614</v>
      </c>
      <c r="I21" s="37">
        <f t="shared" si="0"/>
        <v>17.289805974745921</v>
      </c>
      <c r="J21" s="5">
        <f t="shared" si="2"/>
        <v>16</v>
      </c>
    </row>
    <row r="22" spans="1:10">
      <c r="A22" s="5" t="s">
        <v>279</v>
      </c>
      <c r="B22" s="5" t="s">
        <v>24</v>
      </c>
      <c r="C22" s="5" t="s">
        <v>25</v>
      </c>
      <c r="D22" s="5">
        <v>4984</v>
      </c>
      <c r="E22" s="5">
        <v>338</v>
      </c>
      <c r="F22" s="5">
        <v>300</v>
      </c>
      <c r="G22" s="5">
        <v>32900</v>
      </c>
      <c r="H22" s="5">
        <f t="shared" si="1"/>
        <v>5622</v>
      </c>
      <c r="I22" s="37">
        <f t="shared" si="0"/>
        <v>17.088145896656535</v>
      </c>
      <c r="J22" s="5">
        <f t="shared" si="2"/>
        <v>17</v>
      </c>
    </row>
    <row r="23" spans="1:10">
      <c r="A23" s="5" t="s">
        <v>274</v>
      </c>
      <c r="B23" s="5" t="s">
        <v>24</v>
      </c>
      <c r="C23" s="5" t="s">
        <v>15</v>
      </c>
      <c r="D23" s="5">
        <v>3818</v>
      </c>
      <c r="E23" s="5">
        <v>286</v>
      </c>
      <c r="F23" s="5">
        <v>115</v>
      </c>
      <c r="G23" s="5">
        <v>25127</v>
      </c>
      <c r="H23" s="5">
        <f t="shared" si="1"/>
        <v>4219</v>
      </c>
      <c r="I23" s="37">
        <f t="shared" si="0"/>
        <v>16.790703227603775</v>
      </c>
      <c r="J23" s="5">
        <f t="shared" si="2"/>
        <v>18</v>
      </c>
    </row>
    <row r="24" spans="1:10">
      <c r="A24" s="5" t="s">
        <v>223</v>
      </c>
      <c r="B24" s="5" t="s">
        <v>24</v>
      </c>
      <c r="C24" s="5" t="s">
        <v>15</v>
      </c>
      <c r="D24" s="5">
        <v>3204</v>
      </c>
      <c r="E24" s="5">
        <v>85</v>
      </c>
      <c r="F24" s="5">
        <v>398</v>
      </c>
      <c r="G24" s="5">
        <v>22020</v>
      </c>
      <c r="H24" s="5">
        <f t="shared" si="1"/>
        <v>3687</v>
      </c>
      <c r="I24" s="37">
        <f t="shared" si="0"/>
        <v>16.743869209809265</v>
      </c>
      <c r="J24" s="5">
        <f t="shared" si="2"/>
        <v>19</v>
      </c>
    </row>
    <row r="25" spans="1:10">
      <c r="A25" s="5" t="s">
        <v>151</v>
      </c>
      <c r="B25" s="5" t="s">
        <v>397</v>
      </c>
      <c r="C25" s="5" t="s">
        <v>57</v>
      </c>
      <c r="D25" s="5">
        <v>4955</v>
      </c>
      <c r="E25" s="5">
        <v>345</v>
      </c>
      <c r="F25" s="5">
        <v>299</v>
      </c>
      <c r="G25" s="5">
        <v>33644</v>
      </c>
      <c r="H25" s="5">
        <f t="shared" si="1"/>
        <v>5599</v>
      </c>
      <c r="I25" s="37">
        <f t="shared" si="0"/>
        <v>16.641897515158721</v>
      </c>
      <c r="J25" s="5">
        <f t="shared" si="2"/>
        <v>20</v>
      </c>
    </row>
    <row r="26" spans="1:10">
      <c r="A26" s="5" t="s">
        <v>177</v>
      </c>
      <c r="B26" s="5" t="s">
        <v>24</v>
      </c>
      <c r="C26" s="5" t="s">
        <v>25</v>
      </c>
      <c r="D26" s="5">
        <v>4965</v>
      </c>
      <c r="E26" s="5">
        <v>307</v>
      </c>
      <c r="F26" s="5">
        <v>175</v>
      </c>
      <c r="G26" s="5">
        <v>32793</v>
      </c>
      <c r="H26" s="5">
        <f t="shared" si="1"/>
        <v>5447</v>
      </c>
      <c r="I26" s="37">
        <f t="shared" si="0"/>
        <v>16.610252187966946</v>
      </c>
      <c r="J26" s="5">
        <f t="shared" si="2"/>
        <v>21</v>
      </c>
    </row>
    <row r="27" spans="1:10">
      <c r="A27" s="5" t="s">
        <v>286</v>
      </c>
      <c r="B27" s="5" t="s">
        <v>24</v>
      </c>
      <c r="C27" s="5" t="s">
        <v>25</v>
      </c>
      <c r="D27" s="5">
        <v>2981</v>
      </c>
      <c r="E27" s="5">
        <v>168</v>
      </c>
      <c r="F27" s="5">
        <v>258</v>
      </c>
      <c r="G27" s="5">
        <v>20677</v>
      </c>
      <c r="H27" s="5">
        <f t="shared" si="1"/>
        <v>3407</v>
      </c>
      <c r="I27" s="37">
        <f t="shared" si="0"/>
        <v>16.477245248343568</v>
      </c>
      <c r="J27" s="5">
        <f t="shared" si="2"/>
        <v>22</v>
      </c>
    </row>
    <row r="28" spans="1:10">
      <c r="A28" s="5" t="s">
        <v>212</v>
      </c>
      <c r="B28" s="5" t="s">
        <v>397</v>
      </c>
      <c r="C28" s="5" t="s">
        <v>15</v>
      </c>
      <c r="D28" s="5">
        <v>4023</v>
      </c>
      <c r="E28" s="5">
        <v>91</v>
      </c>
      <c r="F28" s="5">
        <v>293</v>
      </c>
      <c r="G28" s="5">
        <v>26795</v>
      </c>
      <c r="H28" s="5">
        <f t="shared" si="1"/>
        <v>4407</v>
      </c>
      <c r="I28" s="37">
        <f t="shared" si="0"/>
        <v>16.447098339242398</v>
      </c>
      <c r="J28" s="5">
        <f t="shared" si="2"/>
        <v>23</v>
      </c>
    </row>
    <row r="29" spans="1:10">
      <c r="A29" s="5" t="s">
        <v>124</v>
      </c>
      <c r="B29" s="5" t="s">
        <v>24</v>
      </c>
      <c r="C29" s="5" t="s">
        <v>15</v>
      </c>
      <c r="D29" s="5">
        <v>4247</v>
      </c>
      <c r="E29" s="5">
        <v>213</v>
      </c>
      <c r="F29" s="5">
        <v>390</v>
      </c>
      <c r="G29" s="5">
        <v>29785</v>
      </c>
      <c r="H29" s="5">
        <f t="shared" si="1"/>
        <v>4850</v>
      </c>
      <c r="I29" s="37">
        <f t="shared" si="0"/>
        <v>16.283364109451064</v>
      </c>
      <c r="J29" s="5">
        <f t="shared" si="2"/>
        <v>24</v>
      </c>
    </row>
    <row r="30" spans="1:10">
      <c r="A30" s="5" t="s">
        <v>73</v>
      </c>
      <c r="B30" s="5" t="s">
        <v>24</v>
      </c>
      <c r="C30" s="5" t="s">
        <v>25</v>
      </c>
      <c r="D30" s="5">
        <v>4929</v>
      </c>
      <c r="E30" s="5">
        <v>95</v>
      </c>
      <c r="F30" s="5">
        <v>182</v>
      </c>
      <c r="G30" s="5">
        <v>32181</v>
      </c>
      <c r="H30" s="5">
        <f t="shared" si="1"/>
        <v>5206</v>
      </c>
      <c r="I30" s="37">
        <f t="shared" si="0"/>
        <v>16.177247444144061</v>
      </c>
      <c r="J30" s="5">
        <f t="shared" si="2"/>
        <v>25</v>
      </c>
    </row>
    <row r="31" spans="1:10">
      <c r="A31" s="5" t="s">
        <v>207</v>
      </c>
      <c r="B31" s="5" t="s">
        <v>397</v>
      </c>
      <c r="C31" s="5" t="s">
        <v>15</v>
      </c>
      <c r="D31" s="5">
        <v>4294</v>
      </c>
      <c r="E31" s="5">
        <v>93</v>
      </c>
      <c r="F31" s="5">
        <v>423</v>
      </c>
      <c r="G31" s="5">
        <v>29828</v>
      </c>
      <c r="H31" s="5">
        <f t="shared" si="1"/>
        <v>4810</v>
      </c>
      <c r="I31" s="37">
        <f t="shared" si="0"/>
        <v>16.125787850341961</v>
      </c>
      <c r="J31" s="5">
        <f t="shared" si="2"/>
        <v>26</v>
      </c>
    </row>
    <row r="32" spans="1:10">
      <c r="A32" s="5" t="s">
        <v>198</v>
      </c>
      <c r="B32" s="5" t="s">
        <v>24</v>
      </c>
      <c r="C32" s="5" t="s">
        <v>25</v>
      </c>
      <c r="D32" s="5">
        <v>4609</v>
      </c>
      <c r="E32" s="5">
        <v>395</v>
      </c>
      <c r="F32" s="5">
        <v>427</v>
      </c>
      <c r="G32" s="5">
        <v>33698</v>
      </c>
      <c r="H32" s="5">
        <f t="shared" si="1"/>
        <v>5431</v>
      </c>
      <c r="I32" s="37">
        <f t="shared" si="0"/>
        <v>16.116683482699269</v>
      </c>
      <c r="J32" s="5">
        <f t="shared" si="2"/>
        <v>27</v>
      </c>
    </row>
    <row r="33" spans="1:10">
      <c r="A33" s="5" t="s">
        <v>111</v>
      </c>
      <c r="B33" s="5" t="s">
        <v>24</v>
      </c>
      <c r="C33" s="5" t="s">
        <v>15</v>
      </c>
      <c r="D33" s="5">
        <v>4218</v>
      </c>
      <c r="E33" s="5">
        <v>183</v>
      </c>
      <c r="F33" s="5">
        <v>247</v>
      </c>
      <c r="G33" s="5">
        <v>28914</v>
      </c>
      <c r="H33" s="5">
        <f t="shared" si="1"/>
        <v>4648</v>
      </c>
      <c r="I33" s="37">
        <f t="shared" si="0"/>
        <v>16.07525766064882</v>
      </c>
      <c r="J33" s="5">
        <f t="shared" si="2"/>
        <v>28</v>
      </c>
    </row>
    <row r="34" spans="1:10">
      <c r="A34" s="5" t="s">
        <v>150</v>
      </c>
      <c r="B34" s="5" t="s">
        <v>14</v>
      </c>
      <c r="C34" s="5" t="s">
        <v>15</v>
      </c>
      <c r="D34" s="5">
        <v>3253</v>
      </c>
      <c r="E34" s="5">
        <v>336</v>
      </c>
      <c r="F34" s="5">
        <v>483</v>
      </c>
      <c r="G34" s="5">
        <v>25397</v>
      </c>
      <c r="H34" s="5">
        <f t="shared" si="1"/>
        <v>4072</v>
      </c>
      <c r="I34" s="37">
        <f t="shared" si="0"/>
        <v>16.033389770445329</v>
      </c>
      <c r="J34" s="5">
        <f t="shared" si="2"/>
        <v>29</v>
      </c>
    </row>
    <row r="35" spans="1:10">
      <c r="A35" s="5" t="s">
        <v>88</v>
      </c>
      <c r="B35" s="5" t="s">
        <v>14</v>
      </c>
      <c r="C35" s="5" t="s">
        <v>25</v>
      </c>
      <c r="D35" s="5">
        <v>3074</v>
      </c>
      <c r="E35" s="5">
        <v>348</v>
      </c>
      <c r="F35" s="5">
        <v>371</v>
      </c>
      <c r="G35" s="5">
        <v>24104</v>
      </c>
      <c r="H35" s="5">
        <f t="shared" si="1"/>
        <v>3793</v>
      </c>
      <c r="I35" s="37">
        <f t="shared" si="0"/>
        <v>15.735977431131762</v>
      </c>
      <c r="J35" s="5">
        <f t="shared" si="2"/>
        <v>30</v>
      </c>
    </row>
    <row r="36" spans="1:10">
      <c r="A36" s="5" t="s">
        <v>330</v>
      </c>
      <c r="B36" s="5" t="s">
        <v>24</v>
      </c>
      <c r="C36" s="5" t="s">
        <v>15</v>
      </c>
      <c r="D36" s="5">
        <v>3418</v>
      </c>
      <c r="E36" s="5">
        <v>221</v>
      </c>
      <c r="F36" s="5">
        <v>107</v>
      </c>
      <c r="G36" s="5">
        <v>23927</v>
      </c>
      <c r="H36" s="5">
        <f t="shared" si="1"/>
        <v>3746</v>
      </c>
      <c r="I36" s="37">
        <f t="shared" si="0"/>
        <v>15.65595352530614</v>
      </c>
      <c r="J36" s="5">
        <f t="shared" si="2"/>
        <v>31</v>
      </c>
    </row>
    <row r="37" spans="1:10">
      <c r="A37" s="5" t="s">
        <v>201</v>
      </c>
      <c r="B37" s="5" t="s">
        <v>14</v>
      </c>
      <c r="C37" s="5" t="s">
        <v>15</v>
      </c>
      <c r="D37" s="5">
        <v>3086</v>
      </c>
      <c r="E37" s="5">
        <v>310</v>
      </c>
      <c r="F37" s="5">
        <v>148</v>
      </c>
      <c r="G37" s="5">
        <v>22824</v>
      </c>
      <c r="H37" s="5">
        <f t="shared" si="1"/>
        <v>3544</v>
      </c>
      <c r="I37" s="37">
        <f t="shared" si="0"/>
        <v>15.527514896600071</v>
      </c>
      <c r="J37" s="5">
        <f t="shared" si="2"/>
        <v>32</v>
      </c>
    </row>
    <row r="38" spans="1:10">
      <c r="A38" s="5" t="s">
        <v>210</v>
      </c>
      <c r="B38" s="5" t="s">
        <v>24</v>
      </c>
      <c r="C38" s="5" t="s">
        <v>15</v>
      </c>
      <c r="D38" s="5">
        <v>4318</v>
      </c>
      <c r="E38" s="5">
        <v>329</v>
      </c>
      <c r="F38" s="5">
        <v>371</v>
      </c>
      <c r="G38" s="5">
        <v>32347</v>
      </c>
      <c r="H38" s="5">
        <f t="shared" si="1"/>
        <v>5018</v>
      </c>
      <c r="I38" s="37">
        <f t="shared" si="0"/>
        <v>15.513030574705535</v>
      </c>
      <c r="J38" s="5">
        <f t="shared" si="2"/>
        <v>33</v>
      </c>
    </row>
    <row r="39" spans="1:10">
      <c r="A39" s="5" t="s">
        <v>294</v>
      </c>
      <c r="B39" s="5" t="s">
        <v>24</v>
      </c>
      <c r="C39" s="5" t="s">
        <v>15</v>
      </c>
      <c r="D39" s="5">
        <v>4995</v>
      </c>
      <c r="E39" s="5">
        <v>94</v>
      </c>
      <c r="F39" s="5">
        <v>231</v>
      </c>
      <c r="G39" s="5">
        <v>34431</v>
      </c>
      <c r="H39" s="5">
        <f t="shared" si="1"/>
        <v>5320</v>
      </c>
      <c r="I39" s="37">
        <f t="shared" si="0"/>
        <v>15.451192239551567</v>
      </c>
      <c r="J39" s="5">
        <f t="shared" si="2"/>
        <v>34</v>
      </c>
    </row>
    <row r="40" spans="1:10">
      <c r="A40" s="5" t="s">
        <v>60</v>
      </c>
      <c r="B40" s="5" t="s">
        <v>14</v>
      </c>
      <c r="C40" s="5" t="s">
        <v>15</v>
      </c>
      <c r="D40" s="5">
        <v>3753</v>
      </c>
      <c r="E40" s="5">
        <v>308</v>
      </c>
      <c r="F40" s="5">
        <v>411</v>
      </c>
      <c r="G40" s="5">
        <v>29138</v>
      </c>
      <c r="H40" s="5">
        <f t="shared" si="1"/>
        <v>4472</v>
      </c>
      <c r="I40" s="37">
        <f t="shared" si="0"/>
        <v>15.347655981879333</v>
      </c>
      <c r="J40" s="5">
        <f t="shared" si="2"/>
        <v>35</v>
      </c>
    </row>
    <row r="41" spans="1:10">
      <c r="A41" s="5" t="s">
        <v>92</v>
      </c>
      <c r="B41" s="5" t="s">
        <v>24</v>
      </c>
      <c r="C41" s="5" t="s">
        <v>25</v>
      </c>
      <c r="D41" s="5">
        <v>2613</v>
      </c>
      <c r="E41" s="5">
        <v>228</v>
      </c>
      <c r="F41" s="5">
        <v>455</v>
      </c>
      <c r="G41" s="5">
        <v>21645</v>
      </c>
      <c r="H41" s="5">
        <f t="shared" si="1"/>
        <v>3296</v>
      </c>
      <c r="I41" s="37">
        <f t="shared" si="0"/>
        <v>15.227535227535228</v>
      </c>
      <c r="J41" s="5">
        <f t="shared" si="2"/>
        <v>36</v>
      </c>
    </row>
    <row r="42" spans="1:10">
      <c r="A42" s="5" t="s">
        <v>311</v>
      </c>
      <c r="B42" s="5" t="s">
        <v>24</v>
      </c>
      <c r="C42" s="5" t="s">
        <v>25</v>
      </c>
      <c r="D42" s="5">
        <v>3029</v>
      </c>
      <c r="E42" s="5">
        <v>66</v>
      </c>
      <c r="F42" s="5">
        <v>440</v>
      </c>
      <c r="G42" s="5">
        <v>23815</v>
      </c>
      <c r="H42" s="5">
        <f t="shared" si="1"/>
        <v>3535</v>
      </c>
      <c r="I42" s="37">
        <f t="shared" si="0"/>
        <v>14.843585975225698</v>
      </c>
      <c r="J42" s="5">
        <f t="shared" si="2"/>
        <v>37</v>
      </c>
    </row>
    <row r="43" spans="1:10">
      <c r="A43" s="5" t="s">
        <v>123</v>
      </c>
      <c r="B43" s="5" t="s">
        <v>24</v>
      </c>
      <c r="C43" s="5" t="s">
        <v>25</v>
      </c>
      <c r="D43" s="5">
        <v>4845</v>
      </c>
      <c r="E43" s="5">
        <v>84</v>
      </c>
      <c r="F43" s="5">
        <v>158</v>
      </c>
      <c r="G43" s="5">
        <v>34578</v>
      </c>
      <c r="H43" s="5">
        <f t="shared" si="1"/>
        <v>5087</v>
      </c>
      <c r="I43" s="37">
        <f t="shared" si="0"/>
        <v>14.711666377465441</v>
      </c>
      <c r="J43" s="5">
        <f t="shared" si="2"/>
        <v>38</v>
      </c>
    </row>
    <row r="44" spans="1:10">
      <c r="A44" s="5" t="s">
        <v>289</v>
      </c>
      <c r="B44" s="5" t="s">
        <v>14</v>
      </c>
      <c r="C44" s="5" t="s">
        <v>15</v>
      </c>
      <c r="D44" s="5">
        <v>3529</v>
      </c>
      <c r="E44" s="5">
        <v>107</v>
      </c>
      <c r="F44" s="5">
        <v>263</v>
      </c>
      <c r="G44" s="5">
        <v>26570</v>
      </c>
      <c r="H44" s="5">
        <f t="shared" si="1"/>
        <v>3899</v>
      </c>
      <c r="I44" s="37">
        <f t="shared" si="0"/>
        <v>14.674444862627023</v>
      </c>
      <c r="J44" s="5">
        <f t="shared" si="2"/>
        <v>39</v>
      </c>
    </row>
    <row r="45" spans="1:10">
      <c r="A45" s="5" t="s">
        <v>86</v>
      </c>
      <c r="B45" s="5" t="s">
        <v>14</v>
      </c>
      <c r="C45" s="5" t="s">
        <v>15</v>
      </c>
      <c r="D45" s="5">
        <v>2923</v>
      </c>
      <c r="E45" s="5">
        <v>250</v>
      </c>
      <c r="F45" s="5">
        <v>330</v>
      </c>
      <c r="G45" s="5">
        <v>23993</v>
      </c>
      <c r="H45" s="5">
        <f t="shared" si="1"/>
        <v>3503</v>
      </c>
      <c r="I45" s="37">
        <f t="shared" si="0"/>
        <v>14.600091693410578</v>
      </c>
      <c r="J45" s="5">
        <f t="shared" si="2"/>
        <v>40</v>
      </c>
    </row>
    <row r="46" spans="1:10">
      <c r="A46" s="5" t="s">
        <v>142</v>
      </c>
      <c r="B46" s="5" t="s">
        <v>24</v>
      </c>
      <c r="C46" s="5" t="s">
        <v>15</v>
      </c>
      <c r="D46" s="5">
        <v>3036</v>
      </c>
      <c r="E46" s="5">
        <v>115</v>
      </c>
      <c r="F46" s="5">
        <v>293</v>
      </c>
      <c r="G46" s="5">
        <v>23776</v>
      </c>
      <c r="H46" s="5">
        <f t="shared" si="1"/>
        <v>3444</v>
      </c>
      <c r="I46" s="37">
        <f t="shared" si="0"/>
        <v>14.485195154777927</v>
      </c>
      <c r="J46" s="5">
        <f t="shared" si="2"/>
        <v>41</v>
      </c>
    </row>
    <row r="47" spans="1:10">
      <c r="A47" s="5" t="s">
        <v>80</v>
      </c>
      <c r="B47" s="5" t="s">
        <v>24</v>
      </c>
      <c r="C47" s="5" t="s">
        <v>15</v>
      </c>
      <c r="D47" s="5">
        <v>3615</v>
      </c>
      <c r="E47" s="5">
        <v>162</v>
      </c>
      <c r="F47" s="5">
        <v>192</v>
      </c>
      <c r="G47" s="5">
        <v>27492</v>
      </c>
      <c r="H47" s="5">
        <f t="shared" si="1"/>
        <v>3969</v>
      </c>
      <c r="I47" s="37">
        <f t="shared" si="0"/>
        <v>14.436927106067218</v>
      </c>
      <c r="J47" s="5">
        <f t="shared" si="2"/>
        <v>42</v>
      </c>
    </row>
    <row r="48" spans="1:10">
      <c r="A48" s="5" t="s">
        <v>134</v>
      </c>
      <c r="B48" s="5" t="s">
        <v>24</v>
      </c>
      <c r="C48" s="5" t="s">
        <v>25</v>
      </c>
      <c r="D48" s="5">
        <v>4628</v>
      </c>
      <c r="E48" s="5">
        <v>397</v>
      </c>
      <c r="F48" s="5">
        <v>257</v>
      </c>
      <c r="G48" s="5">
        <v>36686</v>
      </c>
      <c r="H48" s="5">
        <f t="shared" si="1"/>
        <v>5282</v>
      </c>
      <c r="I48" s="37">
        <f t="shared" si="0"/>
        <v>14.397862944992641</v>
      </c>
      <c r="J48" s="5">
        <f t="shared" si="2"/>
        <v>43</v>
      </c>
    </row>
    <row r="49" spans="1:10">
      <c r="A49" s="5" t="s">
        <v>119</v>
      </c>
      <c r="B49" s="5" t="s">
        <v>397</v>
      </c>
      <c r="C49" s="5" t="s">
        <v>57</v>
      </c>
      <c r="D49" s="5">
        <v>4781</v>
      </c>
      <c r="E49" s="5">
        <v>122</v>
      </c>
      <c r="F49" s="5">
        <v>191</v>
      </c>
      <c r="G49" s="5">
        <v>35535</v>
      </c>
      <c r="H49" s="5">
        <f t="shared" si="1"/>
        <v>5094</v>
      </c>
      <c r="I49" s="37">
        <f t="shared" si="0"/>
        <v>14.335162515829463</v>
      </c>
      <c r="J49" s="5">
        <f t="shared" si="2"/>
        <v>44</v>
      </c>
    </row>
    <row r="50" spans="1:10">
      <c r="A50" s="5" t="s">
        <v>135</v>
      </c>
      <c r="B50" s="5" t="s">
        <v>14</v>
      </c>
      <c r="C50" s="5" t="s">
        <v>25</v>
      </c>
      <c r="D50" s="5">
        <v>2319</v>
      </c>
      <c r="E50" s="5">
        <v>193</v>
      </c>
      <c r="F50" s="5">
        <v>484</v>
      </c>
      <c r="G50" s="5">
        <v>21202</v>
      </c>
      <c r="H50" s="5">
        <f t="shared" si="1"/>
        <v>2996</v>
      </c>
      <c r="I50" s="37">
        <f t="shared" si="0"/>
        <v>14.130742382794075</v>
      </c>
      <c r="J50" s="5">
        <f t="shared" si="2"/>
        <v>45</v>
      </c>
    </row>
    <row r="51" spans="1:10">
      <c r="A51" s="5" t="s">
        <v>54</v>
      </c>
      <c r="B51" s="5" t="s">
        <v>14</v>
      </c>
      <c r="C51" s="5" t="s">
        <v>25</v>
      </c>
      <c r="D51" s="5">
        <v>4281</v>
      </c>
      <c r="E51" s="5">
        <v>163</v>
      </c>
      <c r="F51" s="5">
        <v>101</v>
      </c>
      <c r="G51" s="5">
        <v>32278</v>
      </c>
      <c r="H51" s="5">
        <f t="shared" si="1"/>
        <v>4545</v>
      </c>
      <c r="I51" s="37">
        <f t="shared" si="0"/>
        <v>14.080798066794721</v>
      </c>
      <c r="J51" s="5">
        <f t="shared" si="2"/>
        <v>46</v>
      </c>
    </row>
    <row r="52" spans="1:10">
      <c r="A52" s="5" t="s">
        <v>239</v>
      </c>
      <c r="B52" s="5" t="s">
        <v>24</v>
      </c>
      <c r="C52" s="5" t="s">
        <v>25</v>
      </c>
      <c r="D52" s="5">
        <v>4247</v>
      </c>
      <c r="E52" s="5">
        <v>175</v>
      </c>
      <c r="F52" s="5">
        <v>179</v>
      </c>
      <c r="G52" s="5">
        <v>32991</v>
      </c>
      <c r="H52" s="5">
        <f t="shared" si="1"/>
        <v>4601</v>
      </c>
      <c r="I52" s="37">
        <f t="shared" si="0"/>
        <v>13.946227759085811</v>
      </c>
      <c r="J52" s="5">
        <f t="shared" si="2"/>
        <v>47</v>
      </c>
    </row>
    <row r="53" spans="1:10">
      <c r="A53" s="5" t="s">
        <v>96</v>
      </c>
      <c r="B53" s="5" t="s">
        <v>14</v>
      </c>
      <c r="C53" s="5" t="s">
        <v>25</v>
      </c>
      <c r="D53" s="5">
        <v>2422</v>
      </c>
      <c r="E53" s="5">
        <v>376</v>
      </c>
      <c r="F53" s="5">
        <v>455</v>
      </c>
      <c r="G53" s="5">
        <v>23428</v>
      </c>
      <c r="H53" s="5">
        <f t="shared" si="1"/>
        <v>3253</v>
      </c>
      <c r="I53" s="37">
        <f t="shared" si="0"/>
        <v>13.885094758408743</v>
      </c>
      <c r="J53" s="5">
        <f t="shared" si="2"/>
        <v>48</v>
      </c>
    </row>
    <row r="54" spans="1:10">
      <c r="A54" s="5" t="s">
        <v>149</v>
      </c>
      <c r="B54" s="5" t="s">
        <v>14</v>
      </c>
      <c r="C54" s="5" t="s">
        <v>15</v>
      </c>
      <c r="D54" s="5">
        <v>4581</v>
      </c>
      <c r="E54" s="5">
        <v>112</v>
      </c>
      <c r="F54" s="5">
        <v>181</v>
      </c>
      <c r="G54" s="5">
        <v>35221</v>
      </c>
      <c r="H54" s="5">
        <f t="shared" si="1"/>
        <v>4874</v>
      </c>
      <c r="I54" s="37">
        <f t="shared" si="0"/>
        <v>13.838335084182733</v>
      </c>
      <c r="J54" s="5">
        <f t="shared" si="2"/>
        <v>49</v>
      </c>
    </row>
    <row r="55" spans="1:10">
      <c r="A55" s="5" t="s">
        <v>136</v>
      </c>
      <c r="B55" s="5" t="s">
        <v>24</v>
      </c>
      <c r="C55" s="5" t="s">
        <v>25</v>
      </c>
      <c r="D55" s="5">
        <v>2895</v>
      </c>
      <c r="E55" s="5">
        <v>90</v>
      </c>
      <c r="F55" s="5">
        <v>292</v>
      </c>
      <c r="G55" s="5">
        <v>24223</v>
      </c>
      <c r="H55" s="5">
        <f t="shared" si="1"/>
        <v>3277</v>
      </c>
      <c r="I55" s="37">
        <f t="shared" si="0"/>
        <v>13.528464682326714</v>
      </c>
      <c r="J55" s="5">
        <f t="shared" si="2"/>
        <v>50</v>
      </c>
    </row>
    <row r="56" spans="1:10">
      <c r="A56" s="5" t="s">
        <v>118</v>
      </c>
      <c r="B56" s="5" t="s">
        <v>24</v>
      </c>
      <c r="C56" s="5" t="s">
        <v>25</v>
      </c>
      <c r="D56" s="5">
        <v>2494</v>
      </c>
      <c r="E56" s="5">
        <v>55</v>
      </c>
      <c r="F56" s="5">
        <v>494</v>
      </c>
      <c r="G56" s="5">
        <v>22580</v>
      </c>
      <c r="H56" s="5">
        <f t="shared" si="1"/>
        <v>3043</v>
      </c>
      <c r="I56" s="37">
        <f t="shared" si="0"/>
        <v>13.476527900797167</v>
      </c>
      <c r="J56" s="5">
        <f t="shared" si="2"/>
        <v>51</v>
      </c>
    </row>
    <row r="57" spans="1:10">
      <c r="A57" s="5" t="s">
        <v>282</v>
      </c>
      <c r="B57" s="5" t="s">
        <v>24</v>
      </c>
      <c r="C57" s="5" t="s">
        <v>25</v>
      </c>
      <c r="D57" s="5">
        <v>4315</v>
      </c>
      <c r="E57" s="5">
        <v>273</v>
      </c>
      <c r="F57" s="5">
        <v>208</v>
      </c>
      <c r="G57" s="5">
        <v>35780</v>
      </c>
      <c r="H57" s="5">
        <f t="shared" si="1"/>
        <v>4796</v>
      </c>
      <c r="I57" s="37">
        <f t="shared" si="0"/>
        <v>13.404136389044158</v>
      </c>
      <c r="J57" s="5">
        <f t="shared" si="2"/>
        <v>52</v>
      </c>
    </row>
    <row r="58" spans="1:10">
      <c r="A58" s="5" t="s">
        <v>13</v>
      </c>
      <c r="B58" s="5" t="s">
        <v>14</v>
      </c>
      <c r="C58" s="5" t="s">
        <v>15</v>
      </c>
      <c r="D58" s="5">
        <v>2414</v>
      </c>
      <c r="E58" s="5">
        <v>137</v>
      </c>
      <c r="F58" s="5">
        <v>245</v>
      </c>
      <c r="G58" s="5">
        <v>21181</v>
      </c>
      <c r="H58" s="5">
        <f t="shared" si="1"/>
        <v>2796</v>
      </c>
      <c r="I58" s="37">
        <f t="shared" si="0"/>
        <v>13.200509890939994</v>
      </c>
      <c r="J58" s="5">
        <f t="shared" si="2"/>
        <v>53</v>
      </c>
    </row>
    <row r="59" spans="1:10">
      <c r="A59" s="5" t="s">
        <v>30</v>
      </c>
      <c r="B59" s="5" t="s">
        <v>397</v>
      </c>
      <c r="C59" s="5" t="s">
        <v>15</v>
      </c>
      <c r="D59" s="5">
        <v>2748</v>
      </c>
      <c r="E59" s="5">
        <v>315</v>
      </c>
      <c r="F59" s="5">
        <v>145</v>
      </c>
      <c r="G59" s="5">
        <v>24401</v>
      </c>
      <c r="H59" s="5">
        <f t="shared" si="1"/>
        <v>3208</v>
      </c>
      <c r="I59" s="37">
        <f t="shared" si="0"/>
        <v>13.14700217204213</v>
      </c>
      <c r="J59" s="5">
        <f t="shared" si="2"/>
        <v>54</v>
      </c>
    </row>
    <row r="60" spans="1:10">
      <c r="A60" s="5" t="s">
        <v>277</v>
      </c>
      <c r="B60" s="5" t="s">
        <v>397</v>
      </c>
      <c r="C60" s="5" t="s">
        <v>15</v>
      </c>
      <c r="D60" s="5">
        <v>4502</v>
      </c>
      <c r="E60" s="5">
        <v>386</v>
      </c>
      <c r="F60" s="5">
        <v>238</v>
      </c>
      <c r="G60" s="5">
        <v>39198</v>
      </c>
      <c r="H60" s="5">
        <f t="shared" si="1"/>
        <v>5126</v>
      </c>
      <c r="I60" s="37">
        <f t="shared" si="0"/>
        <v>13.077197816215113</v>
      </c>
      <c r="J60" s="5">
        <f t="shared" si="2"/>
        <v>55</v>
      </c>
    </row>
    <row r="61" spans="1:10">
      <c r="A61" s="5" t="s">
        <v>43</v>
      </c>
      <c r="B61" s="5" t="s">
        <v>24</v>
      </c>
      <c r="C61" s="5" t="s">
        <v>15</v>
      </c>
      <c r="D61" s="5">
        <v>2357</v>
      </c>
      <c r="E61" s="5">
        <v>172</v>
      </c>
      <c r="F61" s="5">
        <v>274</v>
      </c>
      <c r="G61" s="5">
        <v>21566</v>
      </c>
      <c r="H61" s="5">
        <f t="shared" si="1"/>
        <v>2803</v>
      </c>
      <c r="I61" s="37">
        <f t="shared" si="0"/>
        <v>12.997310581470833</v>
      </c>
      <c r="J61" s="5">
        <f t="shared" si="2"/>
        <v>56</v>
      </c>
    </row>
    <row r="62" spans="1:10">
      <c r="A62" s="5" t="s">
        <v>332</v>
      </c>
      <c r="B62" s="5" t="s">
        <v>24</v>
      </c>
      <c r="C62" s="5" t="s">
        <v>25</v>
      </c>
      <c r="D62" s="5">
        <v>3061</v>
      </c>
      <c r="E62" s="5">
        <v>76</v>
      </c>
      <c r="F62" s="5">
        <v>320</v>
      </c>
      <c r="G62" s="5">
        <v>26640</v>
      </c>
      <c r="H62" s="5">
        <f t="shared" si="1"/>
        <v>3457</v>
      </c>
      <c r="I62" s="37">
        <f t="shared" si="0"/>
        <v>12.976726726726726</v>
      </c>
      <c r="J62" s="5">
        <f t="shared" si="2"/>
        <v>57</v>
      </c>
    </row>
    <row r="63" spans="1:10">
      <c r="A63" s="5" t="s">
        <v>227</v>
      </c>
      <c r="B63" s="5" t="s">
        <v>397</v>
      </c>
      <c r="C63" s="5" t="s">
        <v>57</v>
      </c>
      <c r="D63" s="5">
        <v>4210</v>
      </c>
      <c r="E63" s="5">
        <v>350</v>
      </c>
      <c r="F63" s="5">
        <v>319</v>
      </c>
      <c r="G63" s="5">
        <v>37762</v>
      </c>
      <c r="H63" s="5">
        <f t="shared" si="1"/>
        <v>4879</v>
      </c>
      <c r="I63" s="37">
        <f t="shared" si="0"/>
        <v>12.920396165457337</v>
      </c>
      <c r="J63" s="5">
        <f t="shared" si="2"/>
        <v>58</v>
      </c>
    </row>
    <row r="64" spans="1:10">
      <c r="A64" s="5" t="s">
        <v>261</v>
      </c>
      <c r="B64" s="5" t="s">
        <v>24</v>
      </c>
      <c r="C64" s="5" t="s">
        <v>25</v>
      </c>
      <c r="D64" s="5">
        <v>2778</v>
      </c>
      <c r="E64" s="5">
        <v>317</v>
      </c>
      <c r="F64" s="5">
        <v>241</v>
      </c>
      <c r="G64" s="5">
        <v>26247</v>
      </c>
      <c r="H64" s="5">
        <f t="shared" si="1"/>
        <v>3336</v>
      </c>
      <c r="I64" s="37">
        <f t="shared" si="0"/>
        <v>12.71002400274317</v>
      </c>
      <c r="J64" s="5">
        <f t="shared" si="2"/>
        <v>59</v>
      </c>
    </row>
    <row r="65" spans="1:10">
      <c r="A65" s="5" t="s">
        <v>254</v>
      </c>
      <c r="B65" s="5" t="s">
        <v>24</v>
      </c>
      <c r="C65" s="5" t="s">
        <v>15</v>
      </c>
      <c r="D65" s="5">
        <v>2659</v>
      </c>
      <c r="E65" s="5">
        <v>73</v>
      </c>
      <c r="F65" s="5">
        <v>167</v>
      </c>
      <c r="G65" s="5">
        <v>23090</v>
      </c>
      <c r="H65" s="5">
        <f t="shared" si="1"/>
        <v>2899</v>
      </c>
      <c r="I65" s="37">
        <f t="shared" si="0"/>
        <v>12.555218709398009</v>
      </c>
      <c r="J65" s="5">
        <f t="shared" si="2"/>
        <v>60</v>
      </c>
    </row>
    <row r="66" spans="1:10">
      <c r="A66" s="5" t="s">
        <v>267</v>
      </c>
      <c r="B66" s="5" t="s">
        <v>397</v>
      </c>
      <c r="C66" s="5" t="s">
        <v>15</v>
      </c>
      <c r="D66" s="5">
        <v>4308</v>
      </c>
      <c r="E66" s="5">
        <v>106</v>
      </c>
      <c r="F66" s="5">
        <v>171</v>
      </c>
      <c r="G66" s="5">
        <v>36955</v>
      </c>
      <c r="H66" s="5">
        <f t="shared" si="1"/>
        <v>4585</v>
      </c>
      <c r="I66" s="37">
        <f t="shared" si="0"/>
        <v>12.406981463942634</v>
      </c>
      <c r="J66" s="5">
        <f t="shared" si="2"/>
        <v>62</v>
      </c>
    </row>
    <row r="67" spans="1:10">
      <c r="A67" s="5" t="s">
        <v>258</v>
      </c>
      <c r="B67" s="5" t="s">
        <v>24</v>
      </c>
      <c r="C67" s="5" t="s">
        <v>25</v>
      </c>
      <c r="D67" s="5">
        <v>4303</v>
      </c>
      <c r="E67" s="5">
        <v>302</v>
      </c>
      <c r="F67" s="5">
        <v>306</v>
      </c>
      <c r="G67" s="5">
        <v>39575</v>
      </c>
      <c r="H67" s="5">
        <f t="shared" si="1"/>
        <v>4911</v>
      </c>
      <c r="I67" s="37">
        <f t="shared" si="0"/>
        <v>12.409349336702464</v>
      </c>
      <c r="J67" s="5">
        <f t="shared" si="2"/>
        <v>61</v>
      </c>
    </row>
    <row r="68" spans="1:10">
      <c r="A68" s="5" t="s">
        <v>302</v>
      </c>
      <c r="B68" s="5" t="s">
        <v>24</v>
      </c>
      <c r="C68" s="5" t="s">
        <v>25</v>
      </c>
      <c r="D68" s="5">
        <v>4963</v>
      </c>
      <c r="E68" s="5">
        <v>193</v>
      </c>
      <c r="F68" s="5">
        <v>255</v>
      </c>
      <c r="G68" s="5">
        <v>44386</v>
      </c>
      <c r="H68" s="5">
        <f t="shared" si="1"/>
        <v>5411</v>
      </c>
      <c r="I68" s="37">
        <f t="shared" si="0"/>
        <v>12.190780876853061</v>
      </c>
      <c r="J68" s="5">
        <f t="shared" si="2"/>
        <v>63</v>
      </c>
    </row>
    <row r="69" spans="1:10">
      <c r="A69" s="5" t="s">
        <v>28</v>
      </c>
      <c r="B69" s="5" t="s">
        <v>14</v>
      </c>
      <c r="C69" s="5" t="s">
        <v>15</v>
      </c>
      <c r="D69" s="5">
        <v>3173</v>
      </c>
      <c r="E69" s="5">
        <v>197</v>
      </c>
      <c r="F69" s="5">
        <v>229</v>
      </c>
      <c r="G69" s="5">
        <v>29604</v>
      </c>
      <c r="H69" s="5">
        <f t="shared" si="1"/>
        <v>3599</v>
      </c>
      <c r="I69" s="37">
        <f t="shared" si="0"/>
        <v>12.15714092690177</v>
      </c>
      <c r="J69" s="5">
        <f t="shared" si="2"/>
        <v>64</v>
      </c>
    </row>
    <row r="70" spans="1:10">
      <c r="A70" s="5" t="s">
        <v>336</v>
      </c>
      <c r="B70" s="5" t="s">
        <v>24</v>
      </c>
      <c r="C70" s="5" t="s">
        <v>25</v>
      </c>
      <c r="D70" s="5">
        <v>3393</v>
      </c>
      <c r="E70" s="5">
        <v>79</v>
      </c>
      <c r="F70" s="5">
        <v>104</v>
      </c>
      <c r="G70" s="5">
        <v>30025</v>
      </c>
      <c r="H70" s="5">
        <f t="shared" si="1"/>
        <v>3576</v>
      </c>
      <c r="I70" s="37">
        <f t="shared" ref="I70:I133" si="3">(D70+E70+F70)/G70*100</f>
        <v>11.910074937552039</v>
      </c>
      <c r="J70" s="5">
        <f t="shared" ref="J70:J133" si="4">RANK(I70,I$6:I$305,0)</f>
        <v>65</v>
      </c>
    </row>
    <row r="71" spans="1:10">
      <c r="A71" s="5" t="s">
        <v>83</v>
      </c>
      <c r="B71" s="5" t="s">
        <v>14</v>
      </c>
      <c r="C71" s="5" t="s">
        <v>15</v>
      </c>
      <c r="D71" s="5">
        <v>4891</v>
      </c>
      <c r="E71" s="5">
        <v>387</v>
      </c>
      <c r="F71" s="5">
        <v>450</v>
      </c>
      <c r="G71" s="5">
        <v>48746</v>
      </c>
      <c r="H71" s="5">
        <f t="shared" ref="H71:H134" si="5">SUM(D71+E71+F71)</f>
        <v>5728</v>
      </c>
      <c r="I71" s="37">
        <f t="shared" si="3"/>
        <v>11.750707750379519</v>
      </c>
      <c r="J71" s="5">
        <f t="shared" si="4"/>
        <v>66</v>
      </c>
    </row>
    <row r="72" spans="1:10">
      <c r="A72" s="5" t="s">
        <v>182</v>
      </c>
      <c r="B72" s="5" t="s">
        <v>14</v>
      </c>
      <c r="C72" s="5" t="s">
        <v>25</v>
      </c>
      <c r="D72" s="5">
        <v>4563</v>
      </c>
      <c r="E72" s="5">
        <v>163</v>
      </c>
      <c r="F72" s="5">
        <v>398</v>
      </c>
      <c r="G72" s="5">
        <v>43679</v>
      </c>
      <c r="H72" s="5">
        <f t="shared" si="5"/>
        <v>5124</v>
      </c>
      <c r="I72" s="37">
        <f t="shared" si="3"/>
        <v>11.731037798484397</v>
      </c>
      <c r="J72" s="5">
        <f t="shared" si="4"/>
        <v>67</v>
      </c>
    </row>
    <row r="73" spans="1:10">
      <c r="A73" s="5" t="s">
        <v>306</v>
      </c>
      <c r="B73" s="5" t="s">
        <v>14</v>
      </c>
      <c r="C73" s="5" t="s">
        <v>25</v>
      </c>
      <c r="D73" s="5">
        <v>2448</v>
      </c>
      <c r="E73" s="5">
        <v>98</v>
      </c>
      <c r="F73" s="5">
        <v>464</v>
      </c>
      <c r="G73" s="5">
        <v>25737</v>
      </c>
      <c r="H73" s="5">
        <f t="shared" si="5"/>
        <v>3010</v>
      </c>
      <c r="I73" s="37">
        <f t="shared" si="3"/>
        <v>11.695224773672146</v>
      </c>
      <c r="J73" s="5">
        <f t="shared" si="4"/>
        <v>68</v>
      </c>
    </row>
    <row r="74" spans="1:10">
      <c r="A74" s="5" t="s">
        <v>179</v>
      </c>
      <c r="B74" s="5" t="s">
        <v>24</v>
      </c>
      <c r="C74" s="5" t="s">
        <v>15</v>
      </c>
      <c r="D74" s="5">
        <v>2754</v>
      </c>
      <c r="E74" s="5">
        <v>264</v>
      </c>
      <c r="F74" s="5">
        <v>215</v>
      </c>
      <c r="G74" s="5">
        <v>27762</v>
      </c>
      <c r="H74" s="5">
        <f t="shared" si="5"/>
        <v>3233</v>
      </c>
      <c r="I74" s="37">
        <f t="shared" si="3"/>
        <v>11.645414595490239</v>
      </c>
      <c r="J74" s="5">
        <f t="shared" si="4"/>
        <v>69</v>
      </c>
    </row>
    <row r="75" spans="1:10">
      <c r="A75" s="5" t="s">
        <v>85</v>
      </c>
      <c r="B75" s="5" t="s">
        <v>397</v>
      </c>
      <c r="C75" s="5" t="s">
        <v>15</v>
      </c>
      <c r="D75" s="5">
        <v>3806</v>
      </c>
      <c r="E75" s="5">
        <v>278</v>
      </c>
      <c r="F75" s="5">
        <v>114</v>
      </c>
      <c r="G75" s="5">
        <v>36148</v>
      </c>
      <c r="H75" s="5">
        <f t="shared" si="5"/>
        <v>4198</v>
      </c>
      <c r="I75" s="37">
        <f t="shared" si="3"/>
        <v>11.613367267898639</v>
      </c>
      <c r="J75" s="5">
        <f t="shared" si="4"/>
        <v>70</v>
      </c>
    </row>
    <row r="76" spans="1:10">
      <c r="A76" s="5" t="s">
        <v>185</v>
      </c>
      <c r="B76" s="5" t="s">
        <v>24</v>
      </c>
      <c r="C76" s="5" t="s">
        <v>25</v>
      </c>
      <c r="D76" s="5">
        <v>4287</v>
      </c>
      <c r="E76" s="5">
        <v>122</v>
      </c>
      <c r="F76" s="5">
        <v>273</v>
      </c>
      <c r="G76" s="5">
        <v>40792</v>
      </c>
      <c r="H76" s="5">
        <f t="shared" si="5"/>
        <v>4682</v>
      </c>
      <c r="I76" s="37">
        <f t="shared" si="3"/>
        <v>11.477740733477154</v>
      </c>
      <c r="J76" s="5">
        <f t="shared" si="4"/>
        <v>71</v>
      </c>
    </row>
    <row r="77" spans="1:10">
      <c r="A77" s="5" t="s">
        <v>326</v>
      </c>
      <c r="B77" s="5" t="s">
        <v>14</v>
      </c>
      <c r="C77" s="5" t="s">
        <v>15</v>
      </c>
      <c r="D77" s="5">
        <v>3359</v>
      </c>
      <c r="E77" s="5">
        <v>387</v>
      </c>
      <c r="F77" s="5">
        <v>137</v>
      </c>
      <c r="G77" s="5">
        <v>33861</v>
      </c>
      <c r="H77" s="5">
        <f t="shared" si="5"/>
        <v>3883</v>
      </c>
      <c r="I77" s="37">
        <f t="shared" si="3"/>
        <v>11.467469950680725</v>
      </c>
      <c r="J77" s="5">
        <f t="shared" si="4"/>
        <v>72</v>
      </c>
    </row>
    <row r="78" spans="1:10">
      <c r="A78" s="5" t="s">
        <v>67</v>
      </c>
      <c r="B78" s="5" t="s">
        <v>14</v>
      </c>
      <c r="C78" s="5" t="s">
        <v>15</v>
      </c>
      <c r="D78" s="5">
        <v>2824</v>
      </c>
      <c r="E78" s="5">
        <v>274</v>
      </c>
      <c r="F78" s="5">
        <v>425</v>
      </c>
      <c r="G78" s="5">
        <v>31004</v>
      </c>
      <c r="H78" s="5">
        <f t="shared" si="5"/>
        <v>3523</v>
      </c>
      <c r="I78" s="37">
        <f t="shared" si="3"/>
        <v>11.363049929041415</v>
      </c>
      <c r="J78" s="5">
        <f t="shared" si="4"/>
        <v>73</v>
      </c>
    </row>
    <row r="79" spans="1:10">
      <c r="A79" s="5" t="s">
        <v>229</v>
      </c>
      <c r="B79" s="5" t="s">
        <v>397</v>
      </c>
      <c r="C79" s="5" t="s">
        <v>57</v>
      </c>
      <c r="D79" s="5">
        <v>4957</v>
      </c>
      <c r="E79" s="5">
        <v>365</v>
      </c>
      <c r="F79" s="5">
        <v>262</v>
      </c>
      <c r="G79" s="5">
        <v>49199</v>
      </c>
      <c r="H79" s="5">
        <f t="shared" si="5"/>
        <v>5584</v>
      </c>
      <c r="I79" s="37">
        <f t="shared" si="3"/>
        <v>11.349824183418363</v>
      </c>
      <c r="J79" s="5">
        <f t="shared" si="4"/>
        <v>74</v>
      </c>
    </row>
    <row r="80" spans="1:10">
      <c r="A80" s="5" t="s">
        <v>50</v>
      </c>
      <c r="B80" s="5" t="s">
        <v>24</v>
      </c>
      <c r="C80" s="5" t="s">
        <v>15</v>
      </c>
      <c r="D80" s="5">
        <v>3476</v>
      </c>
      <c r="E80" s="5">
        <v>396</v>
      </c>
      <c r="F80" s="5">
        <v>355</v>
      </c>
      <c r="G80" s="5">
        <v>37492</v>
      </c>
      <c r="H80" s="5">
        <f t="shared" si="5"/>
        <v>4227</v>
      </c>
      <c r="I80" s="37">
        <f t="shared" si="3"/>
        <v>11.27440520644404</v>
      </c>
      <c r="J80" s="5">
        <f t="shared" si="4"/>
        <v>75</v>
      </c>
    </row>
    <row r="81" spans="1:10">
      <c r="A81" s="5" t="s">
        <v>202</v>
      </c>
      <c r="B81" s="5" t="s">
        <v>14</v>
      </c>
      <c r="C81" s="5" t="s">
        <v>15</v>
      </c>
      <c r="D81" s="5">
        <v>2422</v>
      </c>
      <c r="E81" s="5">
        <v>118</v>
      </c>
      <c r="F81" s="5">
        <v>318</v>
      </c>
      <c r="G81" s="5">
        <v>25386</v>
      </c>
      <c r="H81" s="5">
        <f t="shared" si="5"/>
        <v>2858</v>
      </c>
      <c r="I81" s="37">
        <f t="shared" si="3"/>
        <v>11.258173796580792</v>
      </c>
      <c r="J81" s="5">
        <f t="shared" si="4"/>
        <v>76</v>
      </c>
    </row>
    <row r="82" spans="1:10">
      <c r="A82" s="5" t="s">
        <v>320</v>
      </c>
      <c r="B82" s="5" t="s">
        <v>24</v>
      </c>
      <c r="C82" s="5" t="s">
        <v>25</v>
      </c>
      <c r="D82" s="5">
        <v>4471</v>
      </c>
      <c r="E82" s="5">
        <v>249</v>
      </c>
      <c r="F82" s="5">
        <v>317</v>
      </c>
      <c r="G82" s="5">
        <v>44862</v>
      </c>
      <c r="H82" s="5">
        <f t="shared" si="5"/>
        <v>5037</v>
      </c>
      <c r="I82" s="37">
        <f t="shared" si="3"/>
        <v>11.22776514644911</v>
      </c>
      <c r="J82" s="5">
        <f t="shared" si="4"/>
        <v>77</v>
      </c>
    </row>
    <row r="83" spans="1:10">
      <c r="A83" s="5" t="s">
        <v>264</v>
      </c>
      <c r="B83" s="5" t="s">
        <v>24</v>
      </c>
      <c r="C83" s="5" t="s">
        <v>15</v>
      </c>
      <c r="D83" s="5">
        <v>4673</v>
      </c>
      <c r="E83" s="5">
        <v>93</v>
      </c>
      <c r="F83" s="5">
        <v>270</v>
      </c>
      <c r="G83" s="5">
        <v>45260</v>
      </c>
      <c r="H83" s="5">
        <f t="shared" si="5"/>
        <v>5036</v>
      </c>
      <c r="I83" s="37">
        <f t="shared" si="3"/>
        <v>11.126822801590809</v>
      </c>
      <c r="J83" s="5">
        <f t="shared" si="4"/>
        <v>78</v>
      </c>
    </row>
    <row r="84" spans="1:10">
      <c r="A84" s="5" t="s">
        <v>100</v>
      </c>
      <c r="B84" s="5" t="s">
        <v>397</v>
      </c>
      <c r="C84" s="5" t="s">
        <v>15</v>
      </c>
      <c r="D84" s="5">
        <v>4674</v>
      </c>
      <c r="E84" s="5">
        <v>62</v>
      </c>
      <c r="F84" s="5">
        <v>326</v>
      </c>
      <c r="G84" s="5">
        <v>45503</v>
      </c>
      <c r="H84" s="5">
        <f t="shared" si="5"/>
        <v>5062</v>
      </c>
      <c r="I84" s="37">
        <f t="shared" si="3"/>
        <v>11.124541239039184</v>
      </c>
      <c r="J84" s="5">
        <f t="shared" si="4"/>
        <v>79</v>
      </c>
    </row>
    <row r="85" spans="1:10">
      <c r="A85" s="5" t="s">
        <v>335</v>
      </c>
      <c r="B85" s="5" t="s">
        <v>14</v>
      </c>
      <c r="C85" s="5" t="s">
        <v>25</v>
      </c>
      <c r="D85" s="5">
        <v>2244</v>
      </c>
      <c r="E85" s="5">
        <v>231</v>
      </c>
      <c r="F85" s="5">
        <v>392</v>
      </c>
      <c r="G85" s="5">
        <v>25834</v>
      </c>
      <c r="H85" s="5">
        <f t="shared" si="5"/>
        <v>2867</v>
      </c>
      <c r="I85" s="37">
        <f t="shared" si="3"/>
        <v>11.097778121854921</v>
      </c>
      <c r="J85" s="5">
        <f t="shared" si="4"/>
        <v>80</v>
      </c>
    </row>
    <row r="86" spans="1:10">
      <c r="A86" s="5" t="s">
        <v>203</v>
      </c>
      <c r="B86" s="5" t="s">
        <v>397</v>
      </c>
      <c r="C86" s="5" t="s">
        <v>57</v>
      </c>
      <c r="D86" s="5">
        <v>3414</v>
      </c>
      <c r="E86" s="5">
        <v>204</v>
      </c>
      <c r="F86" s="5">
        <v>154</v>
      </c>
      <c r="G86" s="5">
        <v>34146</v>
      </c>
      <c r="H86" s="5">
        <f t="shared" si="5"/>
        <v>3772</v>
      </c>
      <c r="I86" s="37">
        <f t="shared" si="3"/>
        <v>11.046681895390382</v>
      </c>
      <c r="J86" s="5">
        <f t="shared" si="4"/>
        <v>81</v>
      </c>
    </row>
    <row r="87" spans="1:10">
      <c r="A87" s="5" t="s">
        <v>165</v>
      </c>
      <c r="B87" s="5" t="s">
        <v>24</v>
      </c>
      <c r="C87" s="5" t="s">
        <v>15</v>
      </c>
      <c r="D87" s="5">
        <v>2956</v>
      </c>
      <c r="E87" s="5">
        <v>345</v>
      </c>
      <c r="F87" s="5">
        <v>381</v>
      </c>
      <c r="G87" s="5">
        <v>33347</v>
      </c>
      <c r="H87" s="5">
        <f t="shared" si="5"/>
        <v>3682</v>
      </c>
      <c r="I87" s="37">
        <f t="shared" si="3"/>
        <v>11.041472996071612</v>
      </c>
      <c r="J87" s="5">
        <f t="shared" si="4"/>
        <v>82</v>
      </c>
    </row>
    <row r="88" spans="1:10">
      <c r="A88" s="5" t="s">
        <v>64</v>
      </c>
      <c r="B88" s="5" t="s">
        <v>24</v>
      </c>
      <c r="C88" s="5" t="s">
        <v>15</v>
      </c>
      <c r="D88" s="5">
        <v>2607</v>
      </c>
      <c r="E88" s="5">
        <v>180</v>
      </c>
      <c r="F88" s="5">
        <v>379</v>
      </c>
      <c r="G88" s="5">
        <v>28712</v>
      </c>
      <c r="H88" s="5">
        <f t="shared" si="5"/>
        <v>3166</v>
      </c>
      <c r="I88" s="37">
        <f t="shared" si="3"/>
        <v>11.026748397882418</v>
      </c>
      <c r="J88" s="5">
        <f t="shared" si="4"/>
        <v>83</v>
      </c>
    </row>
    <row r="89" spans="1:10">
      <c r="A89" s="5" t="s">
        <v>272</v>
      </c>
      <c r="B89" s="5" t="s">
        <v>397</v>
      </c>
      <c r="C89" s="5" t="s">
        <v>15</v>
      </c>
      <c r="D89" s="5">
        <v>4310</v>
      </c>
      <c r="E89" s="5">
        <v>306</v>
      </c>
      <c r="F89" s="5">
        <v>284</v>
      </c>
      <c r="G89" s="5">
        <v>44606</v>
      </c>
      <c r="H89" s="5">
        <f t="shared" si="5"/>
        <v>4900</v>
      </c>
      <c r="I89" s="37">
        <f t="shared" si="3"/>
        <v>10.985069273191947</v>
      </c>
      <c r="J89" s="5">
        <f t="shared" si="4"/>
        <v>84</v>
      </c>
    </row>
    <row r="90" spans="1:10">
      <c r="A90" s="5" t="s">
        <v>148</v>
      </c>
      <c r="B90" s="5" t="s">
        <v>397</v>
      </c>
      <c r="C90" s="5" t="s">
        <v>57</v>
      </c>
      <c r="D90" s="5">
        <v>3882</v>
      </c>
      <c r="E90" s="5">
        <v>374</v>
      </c>
      <c r="F90" s="5">
        <v>342</v>
      </c>
      <c r="G90" s="5">
        <v>41991</v>
      </c>
      <c r="H90" s="5">
        <f t="shared" si="5"/>
        <v>4598</v>
      </c>
      <c r="I90" s="37">
        <f t="shared" si="3"/>
        <v>10.949965468790932</v>
      </c>
      <c r="J90" s="5">
        <f t="shared" si="4"/>
        <v>85</v>
      </c>
    </row>
    <row r="91" spans="1:10">
      <c r="A91" s="5" t="s">
        <v>89</v>
      </c>
      <c r="B91" s="5" t="s">
        <v>24</v>
      </c>
      <c r="C91" s="5" t="s">
        <v>25</v>
      </c>
      <c r="D91" s="5">
        <v>4276</v>
      </c>
      <c r="E91" s="5">
        <v>223</v>
      </c>
      <c r="F91" s="5">
        <v>227</v>
      </c>
      <c r="G91" s="5">
        <v>43443</v>
      </c>
      <c r="H91" s="5">
        <f t="shared" si="5"/>
        <v>4726</v>
      </c>
      <c r="I91" s="37">
        <f t="shared" si="3"/>
        <v>10.87862256289851</v>
      </c>
      <c r="J91" s="5">
        <f t="shared" si="4"/>
        <v>86</v>
      </c>
    </row>
    <row r="92" spans="1:10">
      <c r="A92" s="5" t="s">
        <v>81</v>
      </c>
      <c r="B92" s="5" t="s">
        <v>14</v>
      </c>
      <c r="C92" s="5" t="s">
        <v>15</v>
      </c>
      <c r="D92" s="5">
        <v>4001</v>
      </c>
      <c r="E92" s="5">
        <v>129</v>
      </c>
      <c r="F92" s="5">
        <v>353</v>
      </c>
      <c r="G92" s="5">
        <v>41265</v>
      </c>
      <c r="H92" s="5">
        <f t="shared" si="5"/>
        <v>4483</v>
      </c>
      <c r="I92" s="37">
        <f t="shared" si="3"/>
        <v>10.863928268508422</v>
      </c>
      <c r="J92" s="5">
        <f t="shared" si="4"/>
        <v>87</v>
      </c>
    </row>
    <row r="93" spans="1:10">
      <c r="A93" s="5" t="s">
        <v>242</v>
      </c>
      <c r="B93" s="5" t="s">
        <v>24</v>
      </c>
      <c r="C93" s="5" t="s">
        <v>25</v>
      </c>
      <c r="D93" s="5">
        <v>2340</v>
      </c>
      <c r="E93" s="5">
        <v>206</v>
      </c>
      <c r="F93" s="5">
        <v>141</v>
      </c>
      <c r="G93" s="5">
        <v>24916</v>
      </c>
      <c r="H93" s="5">
        <f t="shared" si="5"/>
        <v>2687</v>
      </c>
      <c r="I93" s="37">
        <f t="shared" si="3"/>
        <v>10.784235029699792</v>
      </c>
      <c r="J93" s="5">
        <f t="shared" si="4"/>
        <v>88</v>
      </c>
    </row>
    <row r="94" spans="1:10">
      <c r="A94" s="5" t="s">
        <v>77</v>
      </c>
      <c r="B94" s="5" t="s">
        <v>24</v>
      </c>
      <c r="C94" s="5" t="s">
        <v>25</v>
      </c>
      <c r="D94" s="5">
        <v>4095</v>
      </c>
      <c r="E94" s="5">
        <v>400</v>
      </c>
      <c r="F94" s="5">
        <v>385</v>
      </c>
      <c r="G94" s="5">
        <v>45300</v>
      </c>
      <c r="H94" s="5">
        <f t="shared" si="5"/>
        <v>4880</v>
      </c>
      <c r="I94" s="37">
        <f t="shared" si="3"/>
        <v>10.772626931567329</v>
      </c>
      <c r="J94" s="5">
        <f t="shared" si="4"/>
        <v>89</v>
      </c>
    </row>
    <row r="95" spans="1:10">
      <c r="A95" s="5" t="s">
        <v>292</v>
      </c>
      <c r="B95" s="5" t="s">
        <v>397</v>
      </c>
      <c r="C95" s="5" t="s">
        <v>15</v>
      </c>
      <c r="D95" s="5">
        <v>4676</v>
      </c>
      <c r="E95" s="5">
        <v>55</v>
      </c>
      <c r="F95" s="5">
        <v>211</v>
      </c>
      <c r="G95" s="5">
        <v>45917</v>
      </c>
      <c r="H95" s="5">
        <f t="shared" si="5"/>
        <v>4942</v>
      </c>
      <c r="I95" s="37">
        <f t="shared" si="3"/>
        <v>10.762898272970794</v>
      </c>
      <c r="J95" s="5">
        <f t="shared" si="4"/>
        <v>90</v>
      </c>
    </row>
    <row r="96" spans="1:10">
      <c r="A96" s="5" t="s">
        <v>235</v>
      </c>
      <c r="B96" s="5" t="s">
        <v>397</v>
      </c>
      <c r="C96" s="5" t="s">
        <v>15</v>
      </c>
      <c r="D96" s="5">
        <v>3634</v>
      </c>
      <c r="E96" s="5">
        <v>399</v>
      </c>
      <c r="F96" s="5">
        <v>280</v>
      </c>
      <c r="G96" s="5">
        <v>40256</v>
      </c>
      <c r="H96" s="5">
        <f t="shared" si="5"/>
        <v>4313</v>
      </c>
      <c r="I96" s="37">
        <f t="shared" si="3"/>
        <v>10.713930842607313</v>
      </c>
      <c r="J96" s="5">
        <f t="shared" si="4"/>
        <v>91</v>
      </c>
    </row>
    <row r="97" spans="1:10">
      <c r="A97" s="5" t="s">
        <v>188</v>
      </c>
      <c r="B97" s="5" t="s">
        <v>24</v>
      </c>
      <c r="C97" s="5" t="s">
        <v>25</v>
      </c>
      <c r="D97" s="5">
        <v>4752</v>
      </c>
      <c r="E97" s="5">
        <v>56</v>
      </c>
      <c r="F97" s="5">
        <v>334</v>
      </c>
      <c r="G97" s="5">
        <v>48017</v>
      </c>
      <c r="H97" s="5">
        <f t="shared" si="5"/>
        <v>5142</v>
      </c>
      <c r="I97" s="37">
        <f t="shared" si="3"/>
        <v>10.708707332819627</v>
      </c>
      <c r="J97" s="5">
        <f t="shared" si="4"/>
        <v>92</v>
      </c>
    </row>
    <row r="98" spans="1:10">
      <c r="A98" s="5" t="s">
        <v>110</v>
      </c>
      <c r="B98" s="5" t="s">
        <v>24</v>
      </c>
      <c r="C98" s="5" t="s">
        <v>15</v>
      </c>
      <c r="D98" s="5">
        <v>4811</v>
      </c>
      <c r="E98" s="5">
        <v>254</v>
      </c>
      <c r="F98" s="5">
        <v>473</v>
      </c>
      <c r="G98" s="5">
        <v>51964</v>
      </c>
      <c r="H98" s="5">
        <f t="shared" si="5"/>
        <v>5538</v>
      </c>
      <c r="I98" s="37">
        <f t="shared" si="3"/>
        <v>10.657378184897237</v>
      </c>
      <c r="J98" s="5">
        <f t="shared" si="4"/>
        <v>93</v>
      </c>
    </row>
    <row r="99" spans="1:10">
      <c r="A99" s="5" t="s">
        <v>205</v>
      </c>
      <c r="B99" s="5" t="s">
        <v>14</v>
      </c>
      <c r="C99" s="5" t="s">
        <v>25</v>
      </c>
      <c r="D99" s="5">
        <v>2414</v>
      </c>
      <c r="E99" s="5">
        <v>280</v>
      </c>
      <c r="F99" s="5">
        <v>220</v>
      </c>
      <c r="G99" s="5">
        <v>27355</v>
      </c>
      <c r="H99" s="5">
        <f t="shared" si="5"/>
        <v>2914</v>
      </c>
      <c r="I99" s="37">
        <f t="shared" si="3"/>
        <v>10.652531529884847</v>
      </c>
      <c r="J99" s="5">
        <f t="shared" si="4"/>
        <v>94</v>
      </c>
    </row>
    <row r="100" spans="1:10">
      <c r="A100" s="5" t="s">
        <v>97</v>
      </c>
      <c r="B100" s="5" t="s">
        <v>14</v>
      </c>
      <c r="C100" s="5" t="s">
        <v>15</v>
      </c>
      <c r="D100" s="5">
        <v>2683</v>
      </c>
      <c r="E100" s="5">
        <v>223</v>
      </c>
      <c r="F100" s="5">
        <v>405</v>
      </c>
      <c r="G100" s="5">
        <v>31233</v>
      </c>
      <c r="H100" s="5">
        <f t="shared" si="5"/>
        <v>3311</v>
      </c>
      <c r="I100" s="37">
        <f t="shared" si="3"/>
        <v>10.600966926007748</v>
      </c>
      <c r="J100" s="5">
        <f t="shared" si="4"/>
        <v>95</v>
      </c>
    </row>
    <row r="101" spans="1:10">
      <c r="A101" s="5" t="s">
        <v>137</v>
      </c>
      <c r="B101" s="5" t="s">
        <v>14</v>
      </c>
      <c r="C101" s="5" t="s">
        <v>15</v>
      </c>
      <c r="D101" s="5">
        <v>3878</v>
      </c>
      <c r="E101" s="5">
        <v>97</v>
      </c>
      <c r="F101" s="5">
        <v>431</v>
      </c>
      <c r="G101" s="5">
        <v>41763</v>
      </c>
      <c r="H101" s="5">
        <f t="shared" si="5"/>
        <v>4406</v>
      </c>
      <c r="I101" s="37">
        <f t="shared" si="3"/>
        <v>10.550008380623996</v>
      </c>
      <c r="J101" s="5">
        <f t="shared" si="4"/>
        <v>96</v>
      </c>
    </row>
    <row r="102" spans="1:10">
      <c r="A102" s="5" t="s">
        <v>328</v>
      </c>
      <c r="B102" s="5" t="s">
        <v>24</v>
      </c>
      <c r="C102" s="5" t="s">
        <v>25</v>
      </c>
      <c r="D102" s="5">
        <v>4877</v>
      </c>
      <c r="E102" s="5">
        <v>236</v>
      </c>
      <c r="F102" s="5">
        <v>442</v>
      </c>
      <c r="G102" s="5">
        <v>52673</v>
      </c>
      <c r="H102" s="5">
        <f t="shared" si="5"/>
        <v>5555</v>
      </c>
      <c r="I102" s="37">
        <f t="shared" si="3"/>
        <v>10.546200140489436</v>
      </c>
      <c r="J102" s="5">
        <f t="shared" si="4"/>
        <v>98</v>
      </c>
    </row>
    <row r="103" spans="1:10">
      <c r="A103" s="5" t="s">
        <v>280</v>
      </c>
      <c r="B103" s="5" t="s">
        <v>397</v>
      </c>
      <c r="C103" s="5" t="s">
        <v>15</v>
      </c>
      <c r="D103" s="5">
        <v>4774</v>
      </c>
      <c r="E103" s="5">
        <v>358</v>
      </c>
      <c r="F103" s="5">
        <v>389</v>
      </c>
      <c r="G103" s="5">
        <v>52346</v>
      </c>
      <c r="H103" s="5">
        <f t="shared" si="5"/>
        <v>5521</v>
      </c>
      <c r="I103" s="37">
        <f t="shared" si="3"/>
        <v>10.547128720437092</v>
      </c>
      <c r="J103" s="5">
        <f t="shared" si="4"/>
        <v>97</v>
      </c>
    </row>
    <row r="104" spans="1:10">
      <c r="A104" s="5" t="s">
        <v>168</v>
      </c>
      <c r="B104" s="5" t="s">
        <v>14</v>
      </c>
      <c r="C104" s="5" t="s">
        <v>15</v>
      </c>
      <c r="D104" s="5">
        <v>1902</v>
      </c>
      <c r="E104" s="5">
        <v>279</v>
      </c>
      <c r="F104" s="5">
        <v>394</v>
      </c>
      <c r="G104" s="5">
        <v>24615</v>
      </c>
      <c r="H104" s="5">
        <f t="shared" si="5"/>
        <v>2575</v>
      </c>
      <c r="I104" s="37">
        <f t="shared" si="3"/>
        <v>10.461100954702417</v>
      </c>
      <c r="J104" s="5">
        <f t="shared" si="4"/>
        <v>99</v>
      </c>
    </row>
    <row r="105" spans="1:10">
      <c r="A105" s="5" t="s">
        <v>195</v>
      </c>
      <c r="B105" s="5" t="s">
        <v>14</v>
      </c>
      <c r="C105" s="5" t="s">
        <v>15</v>
      </c>
      <c r="D105" s="5">
        <v>3563</v>
      </c>
      <c r="E105" s="5">
        <v>227</v>
      </c>
      <c r="F105" s="5">
        <v>483</v>
      </c>
      <c r="G105" s="5">
        <v>41085</v>
      </c>
      <c r="H105" s="5">
        <f t="shared" si="5"/>
        <v>4273</v>
      </c>
      <c r="I105" s="37">
        <f t="shared" si="3"/>
        <v>10.400389436534015</v>
      </c>
      <c r="J105" s="5">
        <f t="shared" si="4"/>
        <v>100</v>
      </c>
    </row>
    <row r="106" spans="1:10">
      <c r="A106" s="5" t="s">
        <v>70</v>
      </c>
      <c r="B106" s="5" t="s">
        <v>24</v>
      </c>
      <c r="C106" s="5" t="s">
        <v>15</v>
      </c>
      <c r="D106" s="5">
        <v>2411</v>
      </c>
      <c r="E106" s="5">
        <v>168</v>
      </c>
      <c r="F106" s="5">
        <v>194</v>
      </c>
      <c r="G106" s="5">
        <v>26665</v>
      </c>
      <c r="H106" s="5">
        <f t="shared" si="5"/>
        <v>2773</v>
      </c>
      <c r="I106" s="37">
        <f t="shared" si="3"/>
        <v>10.399399962497656</v>
      </c>
      <c r="J106" s="5">
        <f t="shared" si="4"/>
        <v>101</v>
      </c>
    </row>
    <row r="107" spans="1:10">
      <c r="A107" s="5" t="s">
        <v>329</v>
      </c>
      <c r="B107" s="5" t="s">
        <v>14</v>
      </c>
      <c r="C107" s="5" t="s">
        <v>25</v>
      </c>
      <c r="D107" s="5">
        <v>4918</v>
      </c>
      <c r="E107" s="5">
        <v>149</v>
      </c>
      <c r="F107" s="5">
        <v>440</v>
      </c>
      <c r="G107" s="5">
        <v>53269</v>
      </c>
      <c r="H107" s="5">
        <f t="shared" si="5"/>
        <v>5507</v>
      </c>
      <c r="I107" s="37">
        <f t="shared" si="3"/>
        <v>10.338095327488784</v>
      </c>
      <c r="J107" s="5">
        <f t="shared" si="4"/>
        <v>102</v>
      </c>
    </row>
    <row r="108" spans="1:10">
      <c r="A108" s="5" t="s">
        <v>214</v>
      </c>
      <c r="B108" s="5" t="s">
        <v>397</v>
      </c>
      <c r="C108" s="5" t="s">
        <v>15</v>
      </c>
      <c r="D108" s="5">
        <v>4598</v>
      </c>
      <c r="E108" s="5">
        <v>378</v>
      </c>
      <c r="F108" s="5">
        <v>455</v>
      </c>
      <c r="G108" s="5">
        <v>52952</v>
      </c>
      <c r="H108" s="5">
        <f t="shared" si="5"/>
        <v>5431</v>
      </c>
      <c r="I108" s="37">
        <f t="shared" si="3"/>
        <v>10.256458679558845</v>
      </c>
      <c r="J108" s="5">
        <f t="shared" si="4"/>
        <v>103</v>
      </c>
    </row>
    <row r="109" spans="1:10">
      <c r="A109" s="5" t="s">
        <v>91</v>
      </c>
      <c r="B109" s="5" t="s">
        <v>397</v>
      </c>
      <c r="C109" s="5" t="s">
        <v>57</v>
      </c>
      <c r="D109" s="5">
        <v>4161</v>
      </c>
      <c r="E109" s="5">
        <v>61</v>
      </c>
      <c r="F109" s="5">
        <v>481</v>
      </c>
      <c r="G109" s="5">
        <v>45884</v>
      </c>
      <c r="H109" s="5">
        <f t="shared" si="5"/>
        <v>4703</v>
      </c>
      <c r="I109" s="37">
        <f t="shared" si="3"/>
        <v>10.249760265016128</v>
      </c>
      <c r="J109" s="5">
        <f t="shared" si="4"/>
        <v>104</v>
      </c>
    </row>
    <row r="110" spans="1:10">
      <c r="A110" s="5" t="s">
        <v>231</v>
      </c>
      <c r="B110" s="5" t="s">
        <v>397</v>
      </c>
      <c r="C110" s="5" t="s">
        <v>57</v>
      </c>
      <c r="D110" s="5">
        <v>4221</v>
      </c>
      <c r="E110" s="5">
        <v>58</v>
      </c>
      <c r="F110" s="5">
        <v>307</v>
      </c>
      <c r="G110" s="5">
        <v>45080</v>
      </c>
      <c r="H110" s="5">
        <f t="shared" si="5"/>
        <v>4586</v>
      </c>
      <c r="I110" s="37">
        <f t="shared" si="3"/>
        <v>10.173025732031943</v>
      </c>
      <c r="J110" s="5">
        <f t="shared" si="4"/>
        <v>105</v>
      </c>
    </row>
    <row r="111" spans="1:10">
      <c r="A111" s="5" t="s">
        <v>208</v>
      </c>
      <c r="B111" s="5" t="s">
        <v>14</v>
      </c>
      <c r="C111" s="5" t="s">
        <v>15</v>
      </c>
      <c r="D111" s="5">
        <v>2762</v>
      </c>
      <c r="E111" s="5">
        <v>323</v>
      </c>
      <c r="F111" s="5">
        <v>339</v>
      </c>
      <c r="G111" s="5">
        <v>33757</v>
      </c>
      <c r="H111" s="5">
        <f t="shared" si="5"/>
        <v>3424</v>
      </c>
      <c r="I111" s="37">
        <f t="shared" si="3"/>
        <v>10.143081434961637</v>
      </c>
      <c r="J111" s="5">
        <f t="shared" si="4"/>
        <v>106</v>
      </c>
    </row>
    <row r="112" spans="1:10">
      <c r="A112" s="5" t="s">
        <v>140</v>
      </c>
      <c r="B112" s="5" t="s">
        <v>14</v>
      </c>
      <c r="C112" s="5" t="s">
        <v>15</v>
      </c>
      <c r="D112" s="5">
        <v>3004</v>
      </c>
      <c r="E112" s="5">
        <v>218</v>
      </c>
      <c r="F112" s="5">
        <v>415</v>
      </c>
      <c r="G112" s="5">
        <v>36090</v>
      </c>
      <c r="H112" s="5">
        <f t="shared" si="5"/>
        <v>3637</v>
      </c>
      <c r="I112" s="37">
        <f t="shared" si="3"/>
        <v>10.077583818232197</v>
      </c>
      <c r="J112" s="5">
        <f t="shared" si="4"/>
        <v>107</v>
      </c>
    </row>
    <row r="113" spans="1:10">
      <c r="A113" s="5" t="s">
        <v>213</v>
      </c>
      <c r="B113" s="5" t="s">
        <v>14</v>
      </c>
      <c r="C113" s="5" t="s">
        <v>15</v>
      </c>
      <c r="D113" s="5">
        <v>3948</v>
      </c>
      <c r="E113" s="5">
        <v>249</v>
      </c>
      <c r="F113" s="5">
        <v>151</v>
      </c>
      <c r="G113" s="5">
        <v>43147</v>
      </c>
      <c r="H113" s="5">
        <f t="shared" si="5"/>
        <v>4348</v>
      </c>
      <c r="I113" s="37">
        <f t="shared" si="3"/>
        <v>10.077178019329269</v>
      </c>
      <c r="J113" s="5">
        <f t="shared" si="4"/>
        <v>108</v>
      </c>
    </row>
    <row r="114" spans="1:10">
      <c r="A114" s="5" t="s">
        <v>129</v>
      </c>
      <c r="B114" s="5" t="s">
        <v>14</v>
      </c>
      <c r="C114" s="5" t="s">
        <v>15</v>
      </c>
      <c r="D114" s="5">
        <v>2601</v>
      </c>
      <c r="E114" s="5">
        <v>260</v>
      </c>
      <c r="F114" s="5">
        <v>336</v>
      </c>
      <c r="G114" s="5">
        <v>32368</v>
      </c>
      <c r="H114" s="5">
        <f t="shared" si="5"/>
        <v>3197</v>
      </c>
      <c r="I114" s="37">
        <f t="shared" si="3"/>
        <v>9.8770390509144832</v>
      </c>
      <c r="J114" s="5">
        <f t="shared" si="4"/>
        <v>109</v>
      </c>
    </row>
    <row r="115" spans="1:10">
      <c r="A115" s="5" t="s">
        <v>321</v>
      </c>
      <c r="B115" s="5" t="s">
        <v>14</v>
      </c>
      <c r="C115" s="5" t="s">
        <v>15</v>
      </c>
      <c r="D115" s="5">
        <v>4931</v>
      </c>
      <c r="E115" s="5">
        <v>193</v>
      </c>
      <c r="F115" s="5">
        <v>469</v>
      </c>
      <c r="G115" s="5">
        <v>56701</v>
      </c>
      <c r="H115" s="5">
        <f t="shared" si="5"/>
        <v>5593</v>
      </c>
      <c r="I115" s="37">
        <f t="shared" si="3"/>
        <v>9.8640235621946708</v>
      </c>
      <c r="J115" s="5">
        <f t="shared" si="4"/>
        <v>110</v>
      </c>
    </row>
    <row r="116" spans="1:10">
      <c r="A116" s="5" t="s">
        <v>228</v>
      </c>
      <c r="B116" s="5" t="s">
        <v>14</v>
      </c>
      <c r="C116" s="5" t="s">
        <v>15</v>
      </c>
      <c r="D116" s="5">
        <v>3987</v>
      </c>
      <c r="E116" s="5">
        <v>274</v>
      </c>
      <c r="F116" s="5">
        <v>171</v>
      </c>
      <c r="G116" s="5">
        <v>45122</v>
      </c>
      <c r="H116" s="5">
        <f t="shared" si="5"/>
        <v>4432</v>
      </c>
      <c r="I116" s="37">
        <f t="shared" si="3"/>
        <v>9.8222596516111871</v>
      </c>
      <c r="J116" s="5">
        <f t="shared" si="4"/>
        <v>111</v>
      </c>
    </row>
    <row r="117" spans="1:10">
      <c r="A117" s="5" t="s">
        <v>283</v>
      </c>
      <c r="B117" s="5" t="s">
        <v>24</v>
      </c>
      <c r="C117" s="5" t="s">
        <v>25</v>
      </c>
      <c r="D117" s="5">
        <v>2267</v>
      </c>
      <c r="E117" s="5">
        <v>243</v>
      </c>
      <c r="F117" s="5">
        <v>230</v>
      </c>
      <c r="G117" s="5">
        <v>27904</v>
      </c>
      <c r="H117" s="5">
        <f t="shared" si="5"/>
        <v>2740</v>
      </c>
      <c r="I117" s="37">
        <f t="shared" si="3"/>
        <v>9.8193807339449553</v>
      </c>
      <c r="J117" s="5">
        <f t="shared" si="4"/>
        <v>112</v>
      </c>
    </row>
    <row r="118" spans="1:10">
      <c r="A118" s="5" t="s">
        <v>87</v>
      </c>
      <c r="B118" s="5" t="s">
        <v>397</v>
      </c>
      <c r="C118" s="5" t="s">
        <v>57</v>
      </c>
      <c r="D118" s="5">
        <v>3361</v>
      </c>
      <c r="E118" s="5">
        <v>358</v>
      </c>
      <c r="F118" s="5">
        <v>188</v>
      </c>
      <c r="G118" s="5">
        <v>39838</v>
      </c>
      <c r="H118" s="5">
        <f t="shared" si="5"/>
        <v>3907</v>
      </c>
      <c r="I118" s="37">
        <f t="shared" si="3"/>
        <v>9.8072192379135501</v>
      </c>
      <c r="J118" s="5">
        <f t="shared" si="4"/>
        <v>113</v>
      </c>
    </row>
    <row r="119" spans="1:10">
      <c r="A119" s="5" t="s">
        <v>211</v>
      </c>
      <c r="B119" s="5" t="s">
        <v>14</v>
      </c>
      <c r="C119" s="5" t="s">
        <v>25</v>
      </c>
      <c r="D119" s="5">
        <v>2335</v>
      </c>
      <c r="E119" s="5">
        <v>75</v>
      </c>
      <c r="F119" s="5">
        <v>150</v>
      </c>
      <c r="G119" s="5">
        <v>26114</v>
      </c>
      <c r="H119" s="5">
        <f t="shared" si="5"/>
        <v>2560</v>
      </c>
      <c r="I119" s="37">
        <f t="shared" si="3"/>
        <v>9.8031707130274945</v>
      </c>
      <c r="J119" s="5">
        <f t="shared" si="4"/>
        <v>114</v>
      </c>
    </row>
    <row r="120" spans="1:10">
      <c r="A120" s="5" t="s">
        <v>244</v>
      </c>
      <c r="B120" s="5" t="s">
        <v>24</v>
      </c>
      <c r="C120" s="5" t="s">
        <v>15</v>
      </c>
      <c r="D120" s="5">
        <v>4214</v>
      </c>
      <c r="E120" s="5">
        <v>127</v>
      </c>
      <c r="F120" s="5">
        <v>286</v>
      </c>
      <c r="G120" s="5">
        <v>47293</v>
      </c>
      <c r="H120" s="5">
        <f t="shared" si="5"/>
        <v>4627</v>
      </c>
      <c r="I120" s="37">
        <f t="shared" si="3"/>
        <v>9.7836889180216957</v>
      </c>
      <c r="J120" s="5">
        <f t="shared" si="4"/>
        <v>115</v>
      </c>
    </row>
    <row r="121" spans="1:10">
      <c r="A121" s="5" t="s">
        <v>75</v>
      </c>
      <c r="B121" s="5" t="s">
        <v>24</v>
      </c>
      <c r="C121" s="5" t="s">
        <v>25</v>
      </c>
      <c r="D121" s="5">
        <v>3316</v>
      </c>
      <c r="E121" s="5">
        <v>268</v>
      </c>
      <c r="F121" s="5">
        <v>332</v>
      </c>
      <c r="G121" s="5">
        <v>40095</v>
      </c>
      <c r="H121" s="5">
        <f t="shared" si="5"/>
        <v>3916</v>
      </c>
      <c r="I121" s="37">
        <f t="shared" si="3"/>
        <v>9.7668038408779143</v>
      </c>
      <c r="J121" s="5">
        <f t="shared" si="4"/>
        <v>116</v>
      </c>
    </row>
    <row r="122" spans="1:10">
      <c r="A122" s="5" t="s">
        <v>175</v>
      </c>
      <c r="B122" s="5" t="s">
        <v>24</v>
      </c>
      <c r="C122" s="5" t="s">
        <v>25</v>
      </c>
      <c r="D122" s="5">
        <v>2870</v>
      </c>
      <c r="E122" s="5">
        <v>393</v>
      </c>
      <c r="F122" s="5">
        <v>380</v>
      </c>
      <c r="G122" s="5">
        <v>37621</v>
      </c>
      <c r="H122" s="5">
        <f t="shared" si="5"/>
        <v>3643</v>
      </c>
      <c r="I122" s="37">
        <f t="shared" si="3"/>
        <v>9.6834214933149045</v>
      </c>
      <c r="J122" s="5">
        <f t="shared" si="4"/>
        <v>117</v>
      </c>
    </row>
    <row r="123" spans="1:10">
      <c r="A123" s="5" t="s">
        <v>117</v>
      </c>
      <c r="B123" s="5" t="s">
        <v>24</v>
      </c>
      <c r="C123" s="5" t="s">
        <v>15</v>
      </c>
      <c r="D123" s="5">
        <v>2418</v>
      </c>
      <c r="E123" s="5">
        <v>360</v>
      </c>
      <c r="F123" s="5">
        <v>161</v>
      </c>
      <c r="G123" s="5">
        <v>30589</v>
      </c>
      <c r="H123" s="5">
        <f t="shared" si="5"/>
        <v>2939</v>
      </c>
      <c r="I123" s="37">
        <f t="shared" si="3"/>
        <v>9.6080290300434807</v>
      </c>
      <c r="J123" s="5">
        <f t="shared" si="4"/>
        <v>118</v>
      </c>
    </row>
    <row r="124" spans="1:10">
      <c r="A124" s="5" t="s">
        <v>94</v>
      </c>
      <c r="B124" s="5" t="s">
        <v>14</v>
      </c>
      <c r="C124" s="5" t="s">
        <v>15</v>
      </c>
      <c r="D124" s="5">
        <v>4851</v>
      </c>
      <c r="E124" s="5">
        <v>212</v>
      </c>
      <c r="F124" s="5">
        <v>460</v>
      </c>
      <c r="G124" s="5">
        <v>58075</v>
      </c>
      <c r="H124" s="5">
        <f t="shared" si="5"/>
        <v>5523</v>
      </c>
      <c r="I124" s="37">
        <f t="shared" si="3"/>
        <v>9.5101162290142049</v>
      </c>
      <c r="J124" s="5">
        <f t="shared" si="4"/>
        <v>119</v>
      </c>
    </row>
    <row r="125" spans="1:10">
      <c r="A125" s="5" t="s">
        <v>190</v>
      </c>
      <c r="B125" s="5" t="s">
        <v>24</v>
      </c>
      <c r="C125" s="5" t="s">
        <v>25</v>
      </c>
      <c r="D125" s="5">
        <v>2311</v>
      </c>
      <c r="E125" s="5">
        <v>363</v>
      </c>
      <c r="F125" s="5">
        <v>207</v>
      </c>
      <c r="G125" s="5">
        <v>30349</v>
      </c>
      <c r="H125" s="5">
        <f t="shared" si="5"/>
        <v>2881</v>
      </c>
      <c r="I125" s="37">
        <f t="shared" si="3"/>
        <v>9.4928992718046725</v>
      </c>
      <c r="J125" s="5">
        <f t="shared" si="4"/>
        <v>120</v>
      </c>
    </row>
    <row r="126" spans="1:10">
      <c r="A126" s="5" t="s">
        <v>138</v>
      </c>
      <c r="B126" s="5" t="s">
        <v>24</v>
      </c>
      <c r="C126" s="5" t="s">
        <v>25</v>
      </c>
      <c r="D126" s="5">
        <v>4969</v>
      </c>
      <c r="E126" s="5">
        <v>237</v>
      </c>
      <c r="F126" s="5">
        <v>433</v>
      </c>
      <c r="G126" s="5">
        <v>59552</v>
      </c>
      <c r="H126" s="5">
        <f t="shared" si="5"/>
        <v>5639</v>
      </c>
      <c r="I126" s="37">
        <f t="shared" si="3"/>
        <v>9.4690354648038682</v>
      </c>
      <c r="J126" s="5">
        <f t="shared" si="4"/>
        <v>121</v>
      </c>
    </row>
    <row r="127" spans="1:10">
      <c r="A127" s="5" t="s">
        <v>257</v>
      </c>
      <c r="B127" s="5" t="s">
        <v>14</v>
      </c>
      <c r="C127" s="5" t="s">
        <v>15</v>
      </c>
      <c r="D127" s="5">
        <v>2169</v>
      </c>
      <c r="E127" s="5">
        <v>57</v>
      </c>
      <c r="F127" s="5">
        <v>240</v>
      </c>
      <c r="G127" s="5">
        <v>26109</v>
      </c>
      <c r="H127" s="5">
        <f t="shared" si="5"/>
        <v>2466</v>
      </c>
      <c r="I127" s="37">
        <f t="shared" si="3"/>
        <v>9.4450189589796612</v>
      </c>
      <c r="J127" s="5">
        <f t="shared" si="4"/>
        <v>122</v>
      </c>
    </row>
    <row r="128" spans="1:10">
      <c r="A128" s="5" t="s">
        <v>230</v>
      </c>
      <c r="B128" s="5" t="s">
        <v>14</v>
      </c>
      <c r="C128" s="5" t="s">
        <v>15</v>
      </c>
      <c r="D128" s="5">
        <v>2605</v>
      </c>
      <c r="E128" s="5">
        <v>148</v>
      </c>
      <c r="F128" s="5">
        <v>282</v>
      </c>
      <c r="G128" s="5">
        <v>32201</v>
      </c>
      <c r="H128" s="5">
        <f t="shared" si="5"/>
        <v>3035</v>
      </c>
      <c r="I128" s="37">
        <f t="shared" si="3"/>
        <v>9.4251731312692151</v>
      </c>
      <c r="J128" s="5">
        <f t="shared" si="4"/>
        <v>124</v>
      </c>
    </row>
    <row r="129" spans="1:10">
      <c r="A129" s="5" t="s">
        <v>340</v>
      </c>
      <c r="B129" s="5" t="s">
        <v>14</v>
      </c>
      <c r="C129" s="5" t="s">
        <v>15</v>
      </c>
      <c r="D129" s="5">
        <v>1883</v>
      </c>
      <c r="E129" s="5">
        <v>397</v>
      </c>
      <c r="F129" s="5">
        <v>432</v>
      </c>
      <c r="G129" s="5">
        <v>28759</v>
      </c>
      <c r="H129" s="5">
        <f t="shared" si="5"/>
        <v>2712</v>
      </c>
      <c r="I129" s="37">
        <f t="shared" si="3"/>
        <v>9.4300914496331583</v>
      </c>
      <c r="J129" s="5">
        <f t="shared" si="4"/>
        <v>123</v>
      </c>
    </row>
    <row r="130" spans="1:10">
      <c r="A130" s="5" t="s">
        <v>315</v>
      </c>
      <c r="B130" s="5" t="s">
        <v>14</v>
      </c>
      <c r="C130" s="5" t="s">
        <v>15</v>
      </c>
      <c r="D130" s="5">
        <v>4752</v>
      </c>
      <c r="E130" s="5">
        <v>309</v>
      </c>
      <c r="F130" s="5">
        <v>449</v>
      </c>
      <c r="G130" s="5">
        <v>58530</v>
      </c>
      <c r="H130" s="5">
        <f t="shared" si="5"/>
        <v>5510</v>
      </c>
      <c r="I130" s="37">
        <f t="shared" si="3"/>
        <v>9.413975738937296</v>
      </c>
      <c r="J130" s="5">
        <f t="shared" si="4"/>
        <v>125</v>
      </c>
    </row>
    <row r="131" spans="1:10">
      <c r="A131" s="5" t="s">
        <v>161</v>
      </c>
      <c r="B131" s="5" t="s">
        <v>14</v>
      </c>
      <c r="C131" s="5" t="s">
        <v>25</v>
      </c>
      <c r="D131" s="5">
        <v>3916</v>
      </c>
      <c r="E131" s="5">
        <v>229</v>
      </c>
      <c r="F131" s="5">
        <v>459</v>
      </c>
      <c r="G131" s="5">
        <v>48989</v>
      </c>
      <c r="H131" s="5">
        <f t="shared" si="5"/>
        <v>4604</v>
      </c>
      <c r="I131" s="37">
        <f t="shared" si="3"/>
        <v>9.3980281287635989</v>
      </c>
      <c r="J131" s="5">
        <f t="shared" si="4"/>
        <v>126</v>
      </c>
    </row>
    <row r="132" spans="1:10">
      <c r="A132" s="5" t="s">
        <v>52</v>
      </c>
      <c r="B132" s="5" t="s">
        <v>24</v>
      </c>
      <c r="C132" s="5" t="s">
        <v>25</v>
      </c>
      <c r="D132" s="5">
        <v>4049</v>
      </c>
      <c r="E132" s="5">
        <v>94</v>
      </c>
      <c r="F132" s="5">
        <v>377</v>
      </c>
      <c r="G132" s="5">
        <v>48182</v>
      </c>
      <c r="H132" s="5">
        <f t="shared" si="5"/>
        <v>4520</v>
      </c>
      <c r="I132" s="37">
        <f t="shared" si="3"/>
        <v>9.3810966751068872</v>
      </c>
      <c r="J132" s="5">
        <f t="shared" si="4"/>
        <v>127</v>
      </c>
    </row>
    <row r="133" spans="1:10">
      <c r="A133" s="5" t="s">
        <v>82</v>
      </c>
      <c r="B133" s="5" t="s">
        <v>14</v>
      </c>
      <c r="C133" s="5" t="s">
        <v>25</v>
      </c>
      <c r="D133" s="5">
        <v>3451</v>
      </c>
      <c r="E133" s="5">
        <v>393</v>
      </c>
      <c r="F133" s="5">
        <v>363</v>
      </c>
      <c r="G133" s="5">
        <v>44853</v>
      </c>
      <c r="H133" s="5">
        <f t="shared" si="5"/>
        <v>4207</v>
      </c>
      <c r="I133" s="37">
        <f t="shared" si="3"/>
        <v>9.3795286825853346</v>
      </c>
      <c r="J133" s="5">
        <f t="shared" si="4"/>
        <v>128</v>
      </c>
    </row>
    <row r="134" spans="1:10">
      <c r="A134" s="5" t="s">
        <v>309</v>
      </c>
      <c r="B134" s="5" t="s">
        <v>397</v>
      </c>
      <c r="C134" s="5" t="s">
        <v>57</v>
      </c>
      <c r="D134" s="5">
        <v>4621</v>
      </c>
      <c r="E134" s="5">
        <v>298</v>
      </c>
      <c r="F134" s="5">
        <v>374</v>
      </c>
      <c r="G134" s="5">
        <v>56979</v>
      </c>
      <c r="H134" s="5">
        <f t="shared" si="5"/>
        <v>5293</v>
      </c>
      <c r="I134" s="37">
        <f t="shared" ref="I134:I197" si="6">(D134+E134+F134)/G134*100</f>
        <v>9.2893873181347502</v>
      </c>
      <c r="J134" s="5">
        <f t="shared" ref="J134:J197" si="7">RANK(I134,I$6:I$305,0)</f>
        <v>129</v>
      </c>
    </row>
    <row r="135" spans="1:10">
      <c r="A135" s="5" t="s">
        <v>285</v>
      </c>
      <c r="B135" s="5" t="s">
        <v>24</v>
      </c>
      <c r="C135" s="5" t="s">
        <v>25</v>
      </c>
      <c r="D135" s="5">
        <v>3817</v>
      </c>
      <c r="E135" s="5">
        <v>204</v>
      </c>
      <c r="F135" s="5">
        <v>284</v>
      </c>
      <c r="G135" s="5">
        <v>46434</v>
      </c>
      <c r="H135" s="5">
        <f t="shared" ref="H135:H198" si="8">SUM(D135+E135+F135)</f>
        <v>4305</v>
      </c>
      <c r="I135" s="37">
        <f t="shared" si="6"/>
        <v>9.271223672309084</v>
      </c>
      <c r="J135" s="5">
        <f t="shared" si="7"/>
        <v>130</v>
      </c>
    </row>
    <row r="136" spans="1:10">
      <c r="A136" s="5" t="s">
        <v>183</v>
      </c>
      <c r="B136" s="5" t="s">
        <v>14</v>
      </c>
      <c r="C136" s="5" t="s">
        <v>15</v>
      </c>
      <c r="D136" s="5">
        <v>4283</v>
      </c>
      <c r="E136" s="5">
        <v>156</v>
      </c>
      <c r="F136" s="5">
        <v>471</v>
      </c>
      <c r="G136" s="5">
        <v>53004</v>
      </c>
      <c r="H136" s="5">
        <f t="shared" si="8"/>
        <v>4910</v>
      </c>
      <c r="I136" s="37">
        <f t="shared" si="6"/>
        <v>9.2634518149573619</v>
      </c>
      <c r="J136" s="5">
        <f t="shared" si="7"/>
        <v>131</v>
      </c>
    </row>
    <row r="137" spans="1:10">
      <c r="A137" s="5" t="s">
        <v>172</v>
      </c>
      <c r="B137" s="5" t="s">
        <v>24</v>
      </c>
      <c r="C137" s="5" t="s">
        <v>15</v>
      </c>
      <c r="D137" s="5">
        <v>4006</v>
      </c>
      <c r="E137" s="5">
        <v>194</v>
      </c>
      <c r="F137" s="5">
        <v>420</v>
      </c>
      <c r="G137" s="5">
        <v>49964</v>
      </c>
      <c r="H137" s="5">
        <f t="shared" si="8"/>
        <v>4620</v>
      </c>
      <c r="I137" s="37">
        <f t="shared" si="6"/>
        <v>9.2466575934672957</v>
      </c>
      <c r="J137" s="5">
        <f t="shared" si="7"/>
        <v>132</v>
      </c>
    </row>
    <row r="138" spans="1:10">
      <c r="A138" s="5" t="s">
        <v>192</v>
      </c>
      <c r="B138" s="5" t="s">
        <v>14</v>
      </c>
      <c r="C138" s="5" t="s">
        <v>15</v>
      </c>
      <c r="D138" s="5">
        <v>3118</v>
      </c>
      <c r="E138" s="5">
        <v>195</v>
      </c>
      <c r="F138" s="5">
        <v>116</v>
      </c>
      <c r="G138" s="5">
        <v>37100</v>
      </c>
      <c r="H138" s="5">
        <f t="shared" si="8"/>
        <v>3429</v>
      </c>
      <c r="I138" s="37">
        <f t="shared" si="6"/>
        <v>9.2425876010781671</v>
      </c>
      <c r="J138" s="5">
        <f t="shared" si="7"/>
        <v>133</v>
      </c>
    </row>
    <row r="139" spans="1:10">
      <c r="A139" s="5" t="s">
        <v>206</v>
      </c>
      <c r="B139" s="5" t="s">
        <v>14</v>
      </c>
      <c r="C139" s="5" t="s">
        <v>15</v>
      </c>
      <c r="D139" s="5">
        <v>4383</v>
      </c>
      <c r="E139" s="5">
        <v>176</v>
      </c>
      <c r="F139" s="5">
        <v>352</v>
      </c>
      <c r="G139" s="5">
        <v>53239</v>
      </c>
      <c r="H139" s="5">
        <f t="shared" si="8"/>
        <v>4911</v>
      </c>
      <c r="I139" s="37">
        <f t="shared" si="6"/>
        <v>9.2244407295403743</v>
      </c>
      <c r="J139" s="5">
        <f t="shared" si="7"/>
        <v>134</v>
      </c>
    </row>
    <row r="140" spans="1:10">
      <c r="A140" s="5" t="s">
        <v>104</v>
      </c>
      <c r="B140" s="5" t="s">
        <v>24</v>
      </c>
      <c r="C140" s="5" t="s">
        <v>25</v>
      </c>
      <c r="D140" s="5">
        <v>4478</v>
      </c>
      <c r="E140" s="5">
        <v>121</v>
      </c>
      <c r="F140" s="5">
        <v>101</v>
      </c>
      <c r="G140" s="5">
        <v>51035</v>
      </c>
      <c r="H140" s="5">
        <f t="shared" si="8"/>
        <v>4700</v>
      </c>
      <c r="I140" s="37">
        <f t="shared" si="6"/>
        <v>9.2093661212893121</v>
      </c>
      <c r="J140" s="5">
        <f t="shared" si="7"/>
        <v>135</v>
      </c>
    </row>
    <row r="141" spans="1:10">
      <c r="A141" s="5" t="s">
        <v>269</v>
      </c>
      <c r="B141" s="5" t="s">
        <v>397</v>
      </c>
      <c r="C141" s="5" t="s">
        <v>15</v>
      </c>
      <c r="D141" s="5">
        <v>4653</v>
      </c>
      <c r="E141" s="5">
        <v>349</v>
      </c>
      <c r="F141" s="5">
        <v>226</v>
      </c>
      <c r="G141" s="5">
        <v>56876</v>
      </c>
      <c r="H141" s="5">
        <f t="shared" si="8"/>
        <v>5228</v>
      </c>
      <c r="I141" s="37">
        <f t="shared" si="6"/>
        <v>9.1919262958013928</v>
      </c>
      <c r="J141" s="5">
        <f t="shared" si="7"/>
        <v>136</v>
      </c>
    </row>
    <row r="142" spans="1:10">
      <c r="A142" s="5" t="s">
        <v>305</v>
      </c>
      <c r="B142" s="5" t="s">
        <v>24</v>
      </c>
      <c r="C142" s="5" t="s">
        <v>25</v>
      </c>
      <c r="D142" s="5">
        <v>4341</v>
      </c>
      <c r="E142" s="5">
        <v>63</v>
      </c>
      <c r="F142" s="5">
        <v>141</v>
      </c>
      <c r="G142" s="5">
        <v>50081</v>
      </c>
      <c r="H142" s="5">
        <f t="shared" si="8"/>
        <v>4545</v>
      </c>
      <c r="I142" s="37">
        <f t="shared" si="6"/>
        <v>9.0752980172121163</v>
      </c>
      <c r="J142" s="5">
        <f t="shared" si="7"/>
        <v>137</v>
      </c>
    </row>
    <row r="143" spans="1:10">
      <c r="A143" s="5" t="s">
        <v>106</v>
      </c>
      <c r="B143" s="5" t="s">
        <v>14</v>
      </c>
      <c r="C143" s="5" t="s">
        <v>15</v>
      </c>
      <c r="D143" s="5">
        <v>4836</v>
      </c>
      <c r="E143" s="5">
        <v>140</v>
      </c>
      <c r="F143" s="5">
        <v>331</v>
      </c>
      <c r="G143" s="5">
        <v>58792</v>
      </c>
      <c r="H143" s="5">
        <f t="shared" si="8"/>
        <v>5307</v>
      </c>
      <c r="I143" s="37">
        <f t="shared" si="6"/>
        <v>9.0267383317458165</v>
      </c>
      <c r="J143" s="5">
        <f t="shared" si="7"/>
        <v>138</v>
      </c>
    </row>
    <row r="144" spans="1:10">
      <c r="A144" s="5" t="s">
        <v>232</v>
      </c>
      <c r="B144" s="5" t="s">
        <v>24</v>
      </c>
      <c r="C144" s="5" t="s">
        <v>25</v>
      </c>
      <c r="D144" s="5">
        <v>4422</v>
      </c>
      <c r="E144" s="5">
        <v>156</v>
      </c>
      <c r="F144" s="5">
        <v>434</v>
      </c>
      <c r="G144" s="5">
        <v>56165</v>
      </c>
      <c r="H144" s="5">
        <f t="shared" si="8"/>
        <v>5012</v>
      </c>
      <c r="I144" s="37">
        <f t="shared" si="6"/>
        <v>8.9237069349238851</v>
      </c>
      <c r="J144" s="5">
        <f t="shared" si="7"/>
        <v>139</v>
      </c>
    </row>
    <row r="145" spans="1:10">
      <c r="A145" s="5" t="s">
        <v>144</v>
      </c>
      <c r="B145" s="5" t="s">
        <v>24</v>
      </c>
      <c r="C145" s="5" t="s">
        <v>25</v>
      </c>
      <c r="D145" s="5">
        <v>2587</v>
      </c>
      <c r="E145" s="5">
        <v>183</v>
      </c>
      <c r="F145" s="5">
        <v>447</v>
      </c>
      <c r="G145" s="5">
        <v>36266</v>
      </c>
      <c r="H145" s="5">
        <f t="shared" si="8"/>
        <v>3217</v>
      </c>
      <c r="I145" s="37">
        <f t="shared" si="6"/>
        <v>8.8705674736667941</v>
      </c>
      <c r="J145" s="5">
        <f t="shared" si="7"/>
        <v>140</v>
      </c>
    </row>
    <row r="146" spans="1:10">
      <c r="A146" s="5" t="s">
        <v>98</v>
      </c>
      <c r="B146" s="5" t="s">
        <v>397</v>
      </c>
      <c r="C146" s="5" t="s">
        <v>15</v>
      </c>
      <c r="D146" s="5">
        <v>3135</v>
      </c>
      <c r="E146" s="5">
        <v>215</v>
      </c>
      <c r="F146" s="5">
        <v>110</v>
      </c>
      <c r="G146" s="5">
        <v>39192</v>
      </c>
      <c r="H146" s="5">
        <f t="shared" si="8"/>
        <v>3460</v>
      </c>
      <c r="I146" s="37">
        <f t="shared" si="6"/>
        <v>8.8283323127168813</v>
      </c>
      <c r="J146" s="5">
        <f t="shared" si="7"/>
        <v>141</v>
      </c>
    </row>
    <row r="147" spans="1:10">
      <c r="A147" s="5" t="s">
        <v>121</v>
      </c>
      <c r="B147" s="5" t="s">
        <v>24</v>
      </c>
      <c r="C147" s="5" t="s">
        <v>15</v>
      </c>
      <c r="D147" s="5">
        <v>4234</v>
      </c>
      <c r="E147" s="5">
        <v>276</v>
      </c>
      <c r="F147" s="5">
        <v>486</v>
      </c>
      <c r="G147" s="5">
        <v>56623</v>
      </c>
      <c r="H147" s="5">
        <f t="shared" si="8"/>
        <v>4996</v>
      </c>
      <c r="I147" s="37">
        <f t="shared" si="6"/>
        <v>8.8232696960599046</v>
      </c>
      <c r="J147" s="5">
        <f t="shared" si="7"/>
        <v>142</v>
      </c>
    </row>
    <row r="148" spans="1:10">
      <c r="A148" s="5" t="s">
        <v>101</v>
      </c>
      <c r="B148" s="5" t="s">
        <v>397</v>
      </c>
      <c r="C148" s="5" t="s">
        <v>57</v>
      </c>
      <c r="D148" s="5">
        <v>3437</v>
      </c>
      <c r="E148" s="5">
        <v>359</v>
      </c>
      <c r="F148" s="5">
        <v>129</v>
      </c>
      <c r="G148" s="5">
        <v>44558</v>
      </c>
      <c r="H148" s="5">
        <f t="shared" si="8"/>
        <v>3925</v>
      </c>
      <c r="I148" s="37">
        <f t="shared" si="6"/>
        <v>8.8087436599488314</v>
      </c>
      <c r="J148" s="5">
        <f t="shared" si="7"/>
        <v>143</v>
      </c>
    </row>
    <row r="149" spans="1:10">
      <c r="A149" s="5" t="s">
        <v>19</v>
      </c>
      <c r="B149" s="5" t="s">
        <v>14</v>
      </c>
      <c r="C149" s="5" t="s">
        <v>15</v>
      </c>
      <c r="D149" s="5">
        <v>1934</v>
      </c>
      <c r="E149" s="5">
        <v>393</v>
      </c>
      <c r="F149" s="5">
        <v>210</v>
      </c>
      <c r="G149" s="5">
        <v>29129</v>
      </c>
      <c r="H149" s="5">
        <f t="shared" si="8"/>
        <v>2537</v>
      </c>
      <c r="I149" s="37">
        <f t="shared" si="6"/>
        <v>8.7095334546328402</v>
      </c>
      <c r="J149" s="5">
        <f t="shared" si="7"/>
        <v>145</v>
      </c>
    </row>
    <row r="150" spans="1:10">
      <c r="A150" s="5" t="s">
        <v>38</v>
      </c>
      <c r="B150" s="5" t="s">
        <v>24</v>
      </c>
      <c r="C150" s="5" t="s">
        <v>25</v>
      </c>
      <c r="D150" s="5">
        <v>1428</v>
      </c>
      <c r="E150" s="5">
        <v>67</v>
      </c>
      <c r="F150" s="5">
        <v>347</v>
      </c>
      <c r="G150" s="5">
        <v>21148</v>
      </c>
      <c r="H150" s="5">
        <f t="shared" si="8"/>
        <v>1842</v>
      </c>
      <c r="I150" s="37">
        <f t="shared" si="6"/>
        <v>8.7100435029317183</v>
      </c>
      <c r="J150" s="5">
        <f t="shared" si="7"/>
        <v>144</v>
      </c>
    </row>
    <row r="151" spans="1:10">
      <c r="A151" s="5" t="s">
        <v>155</v>
      </c>
      <c r="B151" s="5" t="s">
        <v>14</v>
      </c>
      <c r="C151" s="5" t="s">
        <v>15</v>
      </c>
      <c r="D151" s="5">
        <v>4177</v>
      </c>
      <c r="E151" s="5">
        <v>331</v>
      </c>
      <c r="F151" s="5">
        <v>489</v>
      </c>
      <c r="G151" s="5">
        <v>57451</v>
      </c>
      <c r="H151" s="5">
        <f t="shared" si="8"/>
        <v>4997</v>
      </c>
      <c r="I151" s="37">
        <f t="shared" si="6"/>
        <v>8.6978468608031196</v>
      </c>
      <c r="J151" s="5">
        <f t="shared" si="7"/>
        <v>147</v>
      </c>
    </row>
    <row r="152" spans="1:10">
      <c r="A152" s="5" t="s">
        <v>180</v>
      </c>
      <c r="B152" s="5" t="s">
        <v>24</v>
      </c>
      <c r="C152" s="5" t="s">
        <v>25</v>
      </c>
      <c r="D152" s="5">
        <v>1856</v>
      </c>
      <c r="E152" s="5">
        <v>348</v>
      </c>
      <c r="F152" s="5">
        <v>357</v>
      </c>
      <c r="G152" s="5">
        <v>29428</v>
      </c>
      <c r="H152" s="5">
        <f t="shared" si="8"/>
        <v>2561</v>
      </c>
      <c r="I152" s="37">
        <f t="shared" si="6"/>
        <v>8.7025961669158622</v>
      </c>
      <c r="J152" s="5">
        <f t="shared" si="7"/>
        <v>146</v>
      </c>
    </row>
    <row r="153" spans="1:10">
      <c r="A153" s="5" t="s">
        <v>262</v>
      </c>
      <c r="B153" s="5" t="s">
        <v>24</v>
      </c>
      <c r="C153" s="5" t="s">
        <v>15</v>
      </c>
      <c r="D153" s="5">
        <v>3611</v>
      </c>
      <c r="E153" s="5">
        <v>139</v>
      </c>
      <c r="F153" s="5">
        <v>127</v>
      </c>
      <c r="G153" s="5">
        <v>44768</v>
      </c>
      <c r="H153" s="5">
        <f t="shared" si="8"/>
        <v>3877</v>
      </c>
      <c r="I153" s="37">
        <f t="shared" si="6"/>
        <v>8.6602037169406714</v>
      </c>
      <c r="J153" s="5">
        <f t="shared" si="7"/>
        <v>148</v>
      </c>
    </row>
    <row r="154" spans="1:10">
      <c r="A154" s="5" t="s">
        <v>147</v>
      </c>
      <c r="B154" s="5" t="s">
        <v>24</v>
      </c>
      <c r="C154" s="5" t="s">
        <v>15</v>
      </c>
      <c r="D154" s="5">
        <v>4090</v>
      </c>
      <c r="E154" s="5">
        <v>278</v>
      </c>
      <c r="F154" s="5">
        <v>209</v>
      </c>
      <c r="G154" s="5">
        <v>52853</v>
      </c>
      <c r="H154" s="5">
        <f t="shared" si="8"/>
        <v>4577</v>
      </c>
      <c r="I154" s="37">
        <f t="shared" si="6"/>
        <v>8.659867935594951</v>
      </c>
      <c r="J154" s="5">
        <f t="shared" si="7"/>
        <v>149</v>
      </c>
    </row>
    <row r="155" spans="1:10">
      <c r="A155" s="5" t="s">
        <v>284</v>
      </c>
      <c r="B155" s="5" t="s">
        <v>397</v>
      </c>
      <c r="C155" s="5" t="s">
        <v>15</v>
      </c>
      <c r="D155" s="5">
        <v>4375</v>
      </c>
      <c r="E155" s="5">
        <v>294</v>
      </c>
      <c r="F155" s="5">
        <v>303</v>
      </c>
      <c r="G155" s="5">
        <v>57468</v>
      </c>
      <c r="H155" s="5">
        <f t="shared" si="8"/>
        <v>4972</v>
      </c>
      <c r="I155" s="37">
        <f t="shared" si="6"/>
        <v>8.6517714206166918</v>
      </c>
      <c r="J155" s="5">
        <f t="shared" si="7"/>
        <v>150</v>
      </c>
    </row>
    <row r="156" spans="1:10">
      <c r="A156" s="5" t="s">
        <v>323</v>
      </c>
      <c r="B156" s="5" t="s">
        <v>14</v>
      </c>
      <c r="C156" s="5" t="s">
        <v>15</v>
      </c>
      <c r="D156" s="5">
        <v>4197</v>
      </c>
      <c r="E156" s="5">
        <v>280</v>
      </c>
      <c r="F156" s="5">
        <v>359</v>
      </c>
      <c r="G156" s="5">
        <v>56048</v>
      </c>
      <c r="H156" s="5">
        <f t="shared" si="8"/>
        <v>4836</v>
      </c>
      <c r="I156" s="37">
        <f t="shared" si="6"/>
        <v>8.6283185840707954</v>
      </c>
      <c r="J156" s="5">
        <f t="shared" si="7"/>
        <v>151</v>
      </c>
    </row>
    <row r="157" spans="1:10">
      <c r="A157" s="5" t="s">
        <v>225</v>
      </c>
      <c r="B157" s="5" t="s">
        <v>397</v>
      </c>
      <c r="C157" s="5" t="s">
        <v>57</v>
      </c>
      <c r="D157" s="5">
        <v>2733</v>
      </c>
      <c r="E157" s="5">
        <v>235</v>
      </c>
      <c r="F157" s="5">
        <v>297</v>
      </c>
      <c r="G157" s="5">
        <v>37980</v>
      </c>
      <c r="H157" s="5">
        <f t="shared" si="8"/>
        <v>3265</v>
      </c>
      <c r="I157" s="37">
        <f t="shared" si="6"/>
        <v>8.5966298051606103</v>
      </c>
      <c r="J157" s="5">
        <f t="shared" si="7"/>
        <v>152</v>
      </c>
    </row>
    <row r="158" spans="1:10">
      <c r="A158" s="5" t="s">
        <v>297</v>
      </c>
      <c r="B158" s="5" t="s">
        <v>24</v>
      </c>
      <c r="C158" s="5" t="s">
        <v>25</v>
      </c>
      <c r="D158" s="5">
        <v>3413</v>
      </c>
      <c r="E158" s="5">
        <v>86</v>
      </c>
      <c r="F158" s="5">
        <v>326</v>
      </c>
      <c r="G158" s="5">
        <v>44680</v>
      </c>
      <c r="H158" s="5">
        <f t="shared" si="8"/>
        <v>3825</v>
      </c>
      <c r="I158" s="37">
        <f t="shared" si="6"/>
        <v>8.5608773500447626</v>
      </c>
      <c r="J158" s="5">
        <f t="shared" si="7"/>
        <v>153</v>
      </c>
    </row>
    <row r="159" spans="1:10">
      <c r="A159" s="5" t="s">
        <v>164</v>
      </c>
      <c r="B159" s="5" t="s">
        <v>24</v>
      </c>
      <c r="C159" s="5" t="s">
        <v>25</v>
      </c>
      <c r="D159" s="5">
        <v>3277</v>
      </c>
      <c r="E159" s="5">
        <v>259</v>
      </c>
      <c r="F159" s="5">
        <v>423</v>
      </c>
      <c r="G159" s="5">
        <v>46328</v>
      </c>
      <c r="H159" s="5">
        <f t="shared" si="8"/>
        <v>3959</v>
      </c>
      <c r="I159" s="37">
        <f t="shared" si="6"/>
        <v>8.545587981350371</v>
      </c>
      <c r="J159" s="5">
        <f t="shared" si="7"/>
        <v>154</v>
      </c>
    </row>
    <row r="160" spans="1:10">
      <c r="A160" s="5" t="s">
        <v>48</v>
      </c>
      <c r="B160" s="5" t="s">
        <v>24</v>
      </c>
      <c r="C160" s="5" t="s">
        <v>15</v>
      </c>
      <c r="D160" s="5">
        <v>2460</v>
      </c>
      <c r="E160" s="5">
        <v>253</v>
      </c>
      <c r="F160" s="5">
        <v>409</v>
      </c>
      <c r="G160" s="5">
        <v>36702</v>
      </c>
      <c r="H160" s="5">
        <f t="shared" si="8"/>
        <v>3122</v>
      </c>
      <c r="I160" s="37">
        <f t="shared" si="6"/>
        <v>8.5063484278785886</v>
      </c>
      <c r="J160" s="5">
        <f t="shared" si="7"/>
        <v>155</v>
      </c>
    </row>
    <row r="161" spans="1:10">
      <c r="A161" s="5" t="s">
        <v>327</v>
      </c>
      <c r="B161" s="5" t="s">
        <v>397</v>
      </c>
      <c r="C161" s="5" t="s">
        <v>15</v>
      </c>
      <c r="D161" s="5">
        <v>2172</v>
      </c>
      <c r="E161" s="5">
        <v>70</v>
      </c>
      <c r="F161" s="5">
        <v>338</v>
      </c>
      <c r="G161" s="5">
        <v>30515</v>
      </c>
      <c r="H161" s="5">
        <f t="shared" si="8"/>
        <v>2580</v>
      </c>
      <c r="I161" s="37">
        <f t="shared" si="6"/>
        <v>8.4548582664263474</v>
      </c>
      <c r="J161" s="5">
        <f t="shared" si="7"/>
        <v>156</v>
      </c>
    </row>
    <row r="162" spans="1:10">
      <c r="A162" s="5" t="s">
        <v>44</v>
      </c>
      <c r="B162" s="5" t="s">
        <v>24</v>
      </c>
      <c r="C162" s="5" t="s">
        <v>15</v>
      </c>
      <c r="D162" s="5">
        <v>1971</v>
      </c>
      <c r="E162" s="5">
        <v>306</v>
      </c>
      <c r="F162" s="5">
        <v>370</v>
      </c>
      <c r="G162" s="5">
        <v>31316</v>
      </c>
      <c r="H162" s="5">
        <f t="shared" si="8"/>
        <v>2647</v>
      </c>
      <c r="I162" s="37">
        <f t="shared" si="6"/>
        <v>8.4525482181632388</v>
      </c>
      <c r="J162" s="5">
        <f t="shared" si="7"/>
        <v>158</v>
      </c>
    </row>
    <row r="163" spans="1:10">
      <c r="A163" s="5" t="s">
        <v>209</v>
      </c>
      <c r="B163" s="5" t="s">
        <v>397</v>
      </c>
      <c r="C163" s="5" t="s">
        <v>15</v>
      </c>
      <c r="D163" s="5">
        <v>3782</v>
      </c>
      <c r="E163" s="5">
        <v>144</v>
      </c>
      <c r="F163" s="5">
        <v>484</v>
      </c>
      <c r="G163" s="5">
        <v>52172</v>
      </c>
      <c r="H163" s="5">
        <f t="shared" si="8"/>
        <v>4410</v>
      </c>
      <c r="I163" s="37">
        <f t="shared" si="6"/>
        <v>8.4528099363643339</v>
      </c>
      <c r="J163" s="5">
        <f t="shared" si="7"/>
        <v>157</v>
      </c>
    </row>
    <row r="164" spans="1:10">
      <c r="A164" s="5" t="s">
        <v>216</v>
      </c>
      <c r="B164" s="5" t="s">
        <v>14</v>
      </c>
      <c r="C164" s="5" t="s">
        <v>15</v>
      </c>
      <c r="D164" s="5">
        <v>3469</v>
      </c>
      <c r="E164" s="5">
        <v>76</v>
      </c>
      <c r="F164" s="5">
        <v>371</v>
      </c>
      <c r="G164" s="5">
        <v>46493</v>
      </c>
      <c r="H164" s="5">
        <f t="shared" si="8"/>
        <v>3916</v>
      </c>
      <c r="I164" s="37">
        <f t="shared" si="6"/>
        <v>8.4227733207149456</v>
      </c>
      <c r="J164" s="5">
        <f t="shared" si="7"/>
        <v>159</v>
      </c>
    </row>
    <row r="165" spans="1:10">
      <c r="A165" s="5" t="s">
        <v>324</v>
      </c>
      <c r="B165" s="5" t="s">
        <v>14</v>
      </c>
      <c r="C165" s="5" t="s">
        <v>25</v>
      </c>
      <c r="D165" s="5">
        <v>1914</v>
      </c>
      <c r="E165" s="5">
        <v>156</v>
      </c>
      <c r="F165" s="5">
        <v>255</v>
      </c>
      <c r="G165" s="5">
        <v>27660</v>
      </c>
      <c r="H165" s="5">
        <f t="shared" si="8"/>
        <v>2325</v>
      </c>
      <c r="I165" s="37">
        <f t="shared" si="6"/>
        <v>8.405639913232104</v>
      </c>
      <c r="J165" s="5">
        <f t="shared" si="7"/>
        <v>160</v>
      </c>
    </row>
    <row r="166" spans="1:10">
      <c r="A166" s="5" t="s">
        <v>317</v>
      </c>
      <c r="B166" s="5" t="s">
        <v>14</v>
      </c>
      <c r="C166" s="5" t="s">
        <v>25</v>
      </c>
      <c r="D166" s="5">
        <v>1205</v>
      </c>
      <c r="E166" s="5">
        <v>269</v>
      </c>
      <c r="F166" s="5">
        <v>486</v>
      </c>
      <c r="G166" s="5">
        <v>23341</v>
      </c>
      <c r="H166" s="5">
        <f t="shared" si="8"/>
        <v>1960</v>
      </c>
      <c r="I166" s="37">
        <f t="shared" si="6"/>
        <v>8.3972409065592739</v>
      </c>
      <c r="J166" s="5">
        <f t="shared" si="7"/>
        <v>161</v>
      </c>
    </row>
    <row r="167" spans="1:10">
      <c r="A167" s="5" t="s">
        <v>40</v>
      </c>
      <c r="B167" s="5" t="s">
        <v>24</v>
      </c>
      <c r="C167" s="5" t="s">
        <v>15</v>
      </c>
      <c r="D167" s="5">
        <v>4432</v>
      </c>
      <c r="E167" s="5">
        <v>299</v>
      </c>
      <c r="F167" s="5">
        <v>223</v>
      </c>
      <c r="G167" s="5">
        <v>59016</v>
      </c>
      <c r="H167" s="5">
        <f t="shared" si="8"/>
        <v>4954</v>
      </c>
      <c r="I167" s="37">
        <f t="shared" si="6"/>
        <v>8.3943337400027112</v>
      </c>
      <c r="J167" s="5">
        <f t="shared" si="7"/>
        <v>162</v>
      </c>
    </row>
    <row r="168" spans="1:10">
      <c r="A168" s="5" t="s">
        <v>300</v>
      </c>
      <c r="B168" s="5" t="s">
        <v>24</v>
      </c>
      <c r="C168" s="5" t="s">
        <v>25</v>
      </c>
      <c r="D168" s="5">
        <v>3341</v>
      </c>
      <c r="E168" s="5">
        <v>123</v>
      </c>
      <c r="F168" s="5">
        <v>154</v>
      </c>
      <c r="G168" s="5">
        <v>43369</v>
      </c>
      <c r="H168" s="5">
        <f t="shared" si="8"/>
        <v>3618</v>
      </c>
      <c r="I168" s="37">
        <f t="shared" si="6"/>
        <v>8.3423643616408025</v>
      </c>
      <c r="J168" s="5">
        <f t="shared" si="7"/>
        <v>163</v>
      </c>
    </row>
    <row r="169" spans="1:10">
      <c r="A169" s="5" t="s">
        <v>199</v>
      </c>
      <c r="B169" s="5" t="s">
        <v>14</v>
      </c>
      <c r="C169" s="5" t="s">
        <v>25</v>
      </c>
      <c r="D169" s="5">
        <v>1558</v>
      </c>
      <c r="E169" s="5">
        <v>202</v>
      </c>
      <c r="F169" s="5">
        <v>352</v>
      </c>
      <c r="G169" s="5">
        <v>25405</v>
      </c>
      <c r="H169" s="5">
        <f t="shared" si="8"/>
        <v>2112</v>
      </c>
      <c r="I169" s="37">
        <f t="shared" si="6"/>
        <v>8.3133241487896079</v>
      </c>
      <c r="J169" s="5">
        <f t="shared" si="7"/>
        <v>164</v>
      </c>
    </row>
    <row r="170" spans="1:10">
      <c r="A170" s="5" t="s">
        <v>141</v>
      </c>
      <c r="B170" s="5" t="s">
        <v>24</v>
      </c>
      <c r="C170" s="5" t="s">
        <v>15</v>
      </c>
      <c r="D170" s="5">
        <v>3169</v>
      </c>
      <c r="E170" s="5">
        <v>175</v>
      </c>
      <c r="F170" s="5">
        <v>386</v>
      </c>
      <c r="G170" s="5">
        <v>45012</v>
      </c>
      <c r="H170" s="5">
        <f t="shared" si="8"/>
        <v>3730</v>
      </c>
      <c r="I170" s="37">
        <f t="shared" si="6"/>
        <v>8.2866791077934785</v>
      </c>
      <c r="J170" s="5">
        <f t="shared" si="7"/>
        <v>165</v>
      </c>
    </row>
    <row r="171" spans="1:10">
      <c r="A171" s="5" t="s">
        <v>243</v>
      </c>
      <c r="B171" s="5" t="s">
        <v>14</v>
      </c>
      <c r="C171" s="5" t="s">
        <v>15</v>
      </c>
      <c r="D171" s="5">
        <v>2080</v>
      </c>
      <c r="E171" s="5">
        <v>92</v>
      </c>
      <c r="F171" s="5">
        <v>389</v>
      </c>
      <c r="G171" s="5">
        <v>30971</v>
      </c>
      <c r="H171" s="5">
        <f t="shared" si="8"/>
        <v>2561</v>
      </c>
      <c r="I171" s="37">
        <f t="shared" si="6"/>
        <v>8.269025862904007</v>
      </c>
      <c r="J171" s="5">
        <f t="shared" si="7"/>
        <v>167</v>
      </c>
    </row>
    <row r="172" spans="1:10">
      <c r="A172" s="5" t="s">
        <v>255</v>
      </c>
      <c r="B172" s="5" t="s">
        <v>397</v>
      </c>
      <c r="C172" s="5" t="s">
        <v>15</v>
      </c>
      <c r="D172" s="5">
        <v>2599</v>
      </c>
      <c r="E172" s="5">
        <v>182</v>
      </c>
      <c r="F172" s="5">
        <v>324</v>
      </c>
      <c r="G172" s="5">
        <v>37525</v>
      </c>
      <c r="H172" s="5">
        <f t="shared" si="8"/>
        <v>3105</v>
      </c>
      <c r="I172" s="37">
        <f t="shared" si="6"/>
        <v>8.2744836775483019</v>
      </c>
      <c r="J172" s="5">
        <f t="shared" si="7"/>
        <v>166</v>
      </c>
    </row>
    <row r="173" spans="1:10">
      <c r="A173" s="5" t="s">
        <v>193</v>
      </c>
      <c r="B173" s="5" t="s">
        <v>24</v>
      </c>
      <c r="C173" s="5" t="s">
        <v>25</v>
      </c>
      <c r="D173" s="5">
        <v>3805</v>
      </c>
      <c r="E173" s="5">
        <v>63</v>
      </c>
      <c r="F173" s="5">
        <v>453</v>
      </c>
      <c r="G173" s="5">
        <v>52395</v>
      </c>
      <c r="H173" s="5">
        <f t="shared" si="8"/>
        <v>4321</v>
      </c>
      <c r="I173" s="37">
        <f t="shared" si="6"/>
        <v>8.2469701307376653</v>
      </c>
      <c r="J173" s="5">
        <f t="shared" si="7"/>
        <v>168</v>
      </c>
    </row>
    <row r="174" spans="1:10">
      <c r="A174" s="5" t="s">
        <v>68</v>
      </c>
      <c r="B174" s="5" t="s">
        <v>397</v>
      </c>
      <c r="C174" s="5" t="s">
        <v>57</v>
      </c>
      <c r="D174" s="5">
        <v>3558</v>
      </c>
      <c r="E174" s="5">
        <v>199</v>
      </c>
      <c r="F174" s="5">
        <v>314</v>
      </c>
      <c r="G174" s="5">
        <v>49612</v>
      </c>
      <c r="H174" s="5">
        <f t="shared" si="8"/>
        <v>4071</v>
      </c>
      <c r="I174" s="37">
        <f t="shared" si="6"/>
        <v>8.2056760461178744</v>
      </c>
      <c r="J174" s="5">
        <f t="shared" si="7"/>
        <v>169</v>
      </c>
    </row>
    <row r="175" spans="1:10">
      <c r="A175" s="5" t="s">
        <v>276</v>
      </c>
      <c r="B175" s="5" t="s">
        <v>14</v>
      </c>
      <c r="C175" s="5" t="s">
        <v>15</v>
      </c>
      <c r="D175" s="5">
        <v>2519</v>
      </c>
      <c r="E175" s="5">
        <v>239</v>
      </c>
      <c r="F175" s="5">
        <v>202</v>
      </c>
      <c r="G175" s="5">
        <v>36245</v>
      </c>
      <c r="H175" s="5">
        <f t="shared" si="8"/>
        <v>2960</v>
      </c>
      <c r="I175" s="37">
        <f t="shared" si="6"/>
        <v>8.166643674989654</v>
      </c>
      <c r="J175" s="5">
        <f t="shared" si="7"/>
        <v>170</v>
      </c>
    </row>
    <row r="176" spans="1:10">
      <c r="A176" s="5" t="s">
        <v>186</v>
      </c>
      <c r="B176" s="5" t="s">
        <v>14</v>
      </c>
      <c r="C176" s="5" t="s">
        <v>15</v>
      </c>
      <c r="D176" s="5">
        <v>2633</v>
      </c>
      <c r="E176" s="5">
        <v>380</v>
      </c>
      <c r="F176" s="5">
        <v>318</v>
      </c>
      <c r="G176" s="5">
        <v>40869</v>
      </c>
      <c r="H176" s="5">
        <f t="shared" si="8"/>
        <v>3331</v>
      </c>
      <c r="I176" s="37">
        <f t="shared" si="6"/>
        <v>8.1504318676747669</v>
      </c>
      <c r="J176" s="5">
        <f t="shared" si="7"/>
        <v>172</v>
      </c>
    </row>
    <row r="177" spans="1:10">
      <c r="A177" s="5" t="s">
        <v>112</v>
      </c>
      <c r="B177" s="5" t="s">
        <v>14</v>
      </c>
      <c r="C177" s="5" t="s">
        <v>15</v>
      </c>
      <c r="D177" s="5">
        <v>1360</v>
      </c>
      <c r="E177" s="5">
        <v>52</v>
      </c>
      <c r="F177" s="5">
        <v>249</v>
      </c>
      <c r="G177" s="5">
        <v>20368</v>
      </c>
      <c r="H177" s="5">
        <f t="shared" si="8"/>
        <v>1661</v>
      </c>
      <c r="I177" s="37">
        <f t="shared" si="6"/>
        <v>8.1549489395129608</v>
      </c>
      <c r="J177" s="5">
        <f t="shared" si="7"/>
        <v>171</v>
      </c>
    </row>
    <row r="178" spans="1:10">
      <c r="A178" s="5" t="s">
        <v>189</v>
      </c>
      <c r="B178" s="5" t="s">
        <v>24</v>
      </c>
      <c r="C178" s="5" t="s">
        <v>15</v>
      </c>
      <c r="D178" s="5">
        <v>3890</v>
      </c>
      <c r="E178" s="5">
        <v>338</v>
      </c>
      <c r="F178" s="5">
        <v>408</v>
      </c>
      <c r="G178" s="5">
        <v>56994</v>
      </c>
      <c r="H178" s="5">
        <f t="shared" si="8"/>
        <v>4636</v>
      </c>
      <c r="I178" s="37">
        <f t="shared" si="6"/>
        <v>8.1341895638137345</v>
      </c>
      <c r="J178" s="5">
        <f t="shared" si="7"/>
        <v>173</v>
      </c>
    </row>
    <row r="179" spans="1:10">
      <c r="A179" s="5" t="s">
        <v>65</v>
      </c>
      <c r="B179" s="5" t="s">
        <v>397</v>
      </c>
      <c r="C179" s="5" t="s">
        <v>57</v>
      </c>
      <c r="D179" s="5">
        <v>4013</v>
      </c>
      <c r="E179" s="5">
        <v>92</v>
      </c>
      <c r="F179" s="5">
        <v>320</v>
      </c>
      <c r="G179" s="5">
        <v>54605</v>
      </c>
      <c r="H179" s="5">
        <f t="shared" si="8"/>
        <v>4425</v>
      </c>
      <c r="I179" s="37">
        <f t="shared" si="6"/>
        <v>8.1036535115831878</v>
      </c>
      <c r="J179" s="5">
        <f t="shared" si="7"/>
        <v>174</v>
      </c>
    </row>
    <row r="180" spans="1:10">
      <c r="A180" s="5" t="s">
        <v>273</v>
      </c>
      <c r="B180" s="5" t="s">
        <v>24</v>
      </c>
      <c r="C180" s="5" t="s">
        <v>15</v>
      </c>
      <c r="D180" s="5">
        <v>2752</v>
      </c>
      <c r="E180" s="5">
        <v>91</v>
      </c>
      <c r="F180" s="5">
        <v>309</v>
      </c>
      <c r="G180" s="5">
        <v>39038</v>
      </c>
      <c r="H180" s="5">
        <f t="shared" si="8"/>
        <v>3152</v>
      </c>
      <c r="I180" s="37">
        <f t="shared" si="6"/>
        <v>8.0741841282852604</v>
      </c>
      <c r="J180" s="5">
        <f t="shared" si="7"/>
        <v>175</v>
      </c>
    </row>
    <row r="181" spans="1:10">
      <c r="A181" s="5" t="s">
        <v>71</v>
      </c>
      <c r="B181" s="5" t="s">
        <v>14</v>
      </c>
      <c r="C181" s="5" t="s">
        <v>15</v>
      </c>
      <c r="D181" s="5">
        <v>4036</v>
      </c>
      <c r="E181" s="5">
        <v>382</v>
      </c>
      <c r="F181" s="5">
        <v>112</v>
      </c>
      <c r="G181" s="5">
        <v>56284</v>
      </c>
      <c r="H181" s="5">
        <f t="shared" si="8"/>
        <v>4530</v>
      </c>
      <c r="I181" s="37">
        <f t="shared" si="6"/>
        <v>8.0484684812735416</v>
      </c>
      <c r="J181" s="5">
        <f t="shared" si="7"/>
        <v>176</v>
      </c>
    </row>
    <row r="182" spans="1:10">
      <c r="A182" s="5" t="s">
        <v>260</v>
      </c>
      <c r="B182" s="5" t="s">
        <v>397</v>
      </c>
      <c r="C182" s="5" t="s">
        <v>15</v>
      </c>
      <c r="D182" s="5">
        <v>2569</v>
      </c>
      <c r="E182" s="5">
        <v>375</v>
      </c>
      <c r="F182" s="5">
        <v>140</v>
      </c>
      <c r="G182" s="5">
        <v>38372</v>
      </c>
      <c r="H182" s="5">
        <f t="shared" si="8"/>
        <v>3084</v>
      </c>
      <c r="I182" s="37">
        <f t="shared" si="6"/>
        <v>8.0371103929948919</v>
      </c>
      <c r="J182" s="5">
        <f t="shared" si="7"/>
        <v>177</v>
      </c>
    </row>
    <row r="183" spans="1:10">
      <c r="A183" s="5" t="s">
        <v>63</v>
      </c>
      <c r="B183" s="5" t="s">
        <v>397</v>
      </c>
      <c r="C183" s="5" t="s">
        <v>57</v>
      </c>
      <c r="D183" s="5">
        <v>2786</v>
      </c>
      <c r="E183" s="5">
        <v>208</v>
      </c>
      <c r="F183" s="5">
        <v>368</v>
      </c>
      <c r="G183" s="5">
        <v>42000</v>
      </c>
      <c r="H183" s="5">
        <f t="shared" si="8"/>
        <v>3362</v>
      </c>
      <c r="I183" s="37">
        <f t="shared" si="6"/>
        <v>8.0047619047619047</v>
      </c>
      <c r="J183" s="5">
        <f t="shared" si="7"/>
        <v>178</v>
      </c>
    </row>
    <row r="184" spans="1:10">
      <c r="A184" s="5" t="s">
        <v>169</v>
      </c>
      <c r="B184" s="5" t="s">
        <v>24</v>
      </c>
      <c r="C184" s="5" t="s">
        <v>25</v>
      </c>
      <c r="D184" s="5">
        <v>3219</v>
      </c>
      <c r="E184" s="5">
        <v>267</v>
      </c>
      <c r="F184" s="5">
        <v>424</v>
      </c>
      <c r="G184" s="5">
        <v>48879</v>
      </c>
      <c r="H184" s="5">
        <f t="shared" si="8"/>
        <v>3910</v>
      </c>
      <c r="I184" s="37">
        <f t="shared" si="6"/>
        <v>7.9993453221219744</v>
      </c>
      <c r="J184" s="5">
        <f t="shared" si="7"/>
        <v>179</v>
      </c>
    </row>
    <row r="185" spans="1:10">
      <c r="A185" s="5" t="s">
        <v>246</v>
      </c>
      <c r="B185" s="5" t="s">
        <v>24</v>
      </c>
      <c r="C185" s="5" t="s">
        <v>25</v>
      </c>
      <c r="D185" s="5">
        <v>3989</v>
      </c>
      <c r="E185" s="5">
        <v>128</v>
      </c>
      <c r="F185" s="5">
        <v>476</v>
      </c>
      <c r="G185" s="5">
        <v>57569</v>
      </c>
      <c r="H185" s="5">
        <f t="shared" si="8"/>
        <v>4593</v>
      </c>
      <c r="I185" s="37">
        <f t="shared" si="6"/>
        <v>7.9782521843353189</v>
      </c>
      <c r="J185" s="5">
        <f t="shared" si="7"/>
        <v>180</v>
      </c>
    </row>
    <row r="186" spans="1:10">
      <c r="A186" s="5" t="s">
        <v>132</v>
      </c>
      <c r="B186" s="5" t="s">
        <v>397</v>
      </c>
      <c r="C186" s="5" t="s">
        <v>57</v>
      </c>
      <c r="D186" s="5">
        <v>1948</v>
      </c>
      <c r="E186" s="5">
        <v>315</v>
      </c>
      <c r="F186" s="5">
        <v>155</v>
      </c>
      <c r="G186" s="5">
        <v>30321</v>
      </c>
      <c r="H186" s="5">
        <f t="shared" si="8"/>
        <v>2418</v>
      </c>
      <c r="I186" s="37">
        <f t="shared" si="6"/>
        <v>7.974671020085089</v>
      </c>
      <c r="J186" s="5">
        <f t="shared" si="7"/>
        <v>181</v>
      </c>
    </row>
    <row r="187" spans="1:10">
      <c r="A187" s="5" t="s">
        <v>131</v>
      </c>
      <c r="B187" s="5" t="s">
        <v>24</v>
      </c>
      <c r="C187" s="5" t="s">
        <v>15</v>
      </c>
      <c r="D187" s="5">
        <v>1165</v>
      </c>
      <c r="E187" s="5">
        <v>163</v>
      </c>
      <c r="F187" s="5">
        <v>294</v>
      </c>
      <c r="G187" s="5">
        <v>20659</v>
      </c>
      <c r="H187" s="5">
        <f t="shared" si="8"/>
        <v>1622</v>
      </c>
      <c r="I187" s="37">
        <f t="shared" si="6"/>
        <v>7.8512996756861426</v>
      </c>
      <c r="J187" s="5">
        <f t="shared" si="7"/>
        <v>182</v>
      </c>
    </row>
    <row r="188" spans="1:10">
      <c r="A188" s="5" t="s">
        <v>220</v>
      </c>
      <c r="B188" s="5" t="s">
        <v>24</v>
      </c>
      <c r="C188" s="5" t="s">
        <v>25</v>
      </c>
      <c r="D188" s="5">
        <v>3929</v>
      </c>
      <c r="E188" s="5">
        <v>330</v>
      </c>
      <c r="F188" s="5">
        <v>275</v>
      </c>
      <c r="G188" s="5">
        <v>58329</v>
      </c>
      <c r="H188" s="5">
        <f t="shared" si="8"/>
        <v>4534</v>
      </c>
      <c r="I188" s="37">
        <f t="shared" si="6"/>
        <v>7.773148862486928</v>
      </c>
      <c r="J188" s="5">
        <f t="shared" si="7"/>
        <v>183</v>
      </c>
    </row>
    <row r="189" spans="1:10">
      <c r="A189" s="5" t="s">
        <v>245</v>
      </c>
      <c r="B189" s="5" t="s">
        <v>24</v>
      </c>
      <c r="C189" s="5" t="s">
        <v>15</v>
      </c>
      <c r="D189" s="5">
        <v>3792</v>
      </c>
      <c r="E189" s="5">
        <v>120</v>
      </c>
      <c r="F189" s="5">
        <v>315</v>
      </c>
      <c r="G189" s="5">
        <v>54592</v>
      </c>
      <c r="H189" s="5">
        <f t="shared" si="8"/>
        <v>4227</v>
      </c>
      <c r="I189" s="37">
        <f t="shared" si="6"/>
        <v>7.7428927315357567</v>
      </c>
      <c r="J189" s="5">
        <f t="shared" si="7"/>
        <v>184</v>
      </c>
    </row>
    <row r="190" spans="1:10">
      <c r="A190" s="5" t="s">
        <v>249</v>
      </c>
      <c r="B190" s="5" t="s">
        <v>24</v>
      </c>
      <c r="C190" s="5" t="s">
        <v>25</v>
      </c>
      <c r="D190" s="5">
        <v>3071</v>
      </c>
      <c r="E190" s="5">
        <v>200</v>
      </c>
      <c r="F190" s="5">
        <v>126</v>
      </c>
      <c r="G190" s="5">
        <v>44013</v>
      </c>
      <c r="H190" s="5">
        <f t="shared" si="8"/>
        <v>3397</v>
      </c>
      <c r="I190" s="37">
        <f t="shared" si="6"/>
        <v>7.7181741758116917</v>
      </c>
      <c r="J190" s="5">
        <f t="shared" si="7"/>
        <v>185</v>
      </c>
    </row>
    <row r="191" spans="1:10">
      <c r="A191" s="5" t="s">
        <v>116</v>
      </c>
      <c r="B191" s="5" t="s">
        <v>14</v>
      </c>
      <c r="C191" s="5" t="s">
        <v>15</v>
      </c>
      <c r="D191" s="5">
        <v>2464</v>
      </c>
      <c r="E191" s="5">
        <v>78</v>
      </c>
      <c r="F191" s="5">
        <v>401</v>
      </c>
      <c r="G191" s="5">
        <v>38665</v>
      </c>
      <c r="H191" s="5">
        <f t="shared" si="8"/>
        <v>2943</v>
      </c>
      <c r="I191" s="37">
        <f t="shared" si="6"/>
        <v>7.6115349799560317</v>
      </c>
      <c r="J191" s="5">
        <f t="shared" si="7"/>
        <v>186</v>
      </c>
    </row>
    <row r="192" spans="1:10">
      <c r="A192" s="5" t="s">
        <v>72</v>
      </c>
      <c r="B192" s="5" t="s">
        <v>24</v>
      </c>
      <c r="C192" s="5" t="s">
        <v>25</v>
      </c>
      <c r="D192" s="5">
        <v>2776</v>
      </c>
      <c r="E192" s="5">
        <v>178</v>
      </c>
      <c r="F192" s="5">
        <v>307</v>
      </c>
      <c r="G192" s="5">
        <v>43365</v>
      </c>
      <c r="H192" s="5">
        <f t="shared" si="8"/>
        <v>3261</v>
      </c>
      <c r="I192" s="37">
        <f t="shared" si="6"/>
        <v>7.5198893116568657</v>
      </c>
      <c r="J192" s="5">
        <f t="shared" si="7"/>
        <v>187</v>
      </c>
    </row>
    <row r="193" spans="1:10">
      <c r="A193" s="5" t="s">
        <v>299</v>
      </c>
      <c r="B193" s="5" t="s">
        <v>24</v>
      </c>
      <c r="C193" s="5" t="s">
        <v>25</v>
      </c>
      <c r="D193" s="5">
        <v>1651</v>
      </c>
      <c r="E193" s="5">
        <v>282</v>
      </c>
      <c r="F193" s="5">
        <v>480</v>
      </c>
      <c r="G193" s="5">
        <v>32140</v>
      </c>
      <c r="H193" s="5">
        <f t="shared" si="8"/>
        <v>2413</v>
      </c>
      <c r="I193" s="37">
        <f t="shared" si="6"/>
        <v>7.5077784691972624</v>
      </c>
      <c r="J193" s="5">
        <f t="shared" si="7"/>
        <v>188</v>
      </c>
    </row>
    <row r="194" spans="1:10">
      <c r="A194" s="5" t="s">
        <v>174</v>
      </c>
      <c r="B194" s="5" t="s">
        <v>24</v>
      </c>
      <c r="C194" s="5" t="s">
        <v>15</v>
      </c>
      <c r="D194" s="5">
        <v>1583</v>
      </c>
      <c r="E194" s="5">
        <v>249</v>
      </c>
      <c r="F194" s="5">
        <v>433</v>
      </c>
      <c r="G194" s="5">
        <v>30256</v>
      </c>
      <c r="H194" s="5">
        <f t="shared" si="8"/>
        <v>2265</v>
      </c>
      <c r="I194" s="37">
        <f t="shared" si="6"/>
        <v>7.4861184558434681</v>
      </c>
      <c r="J194" s="5">
        <f t="shared" si="7"/>
        <v>189</v>
      </c>
    </row>
    <row r="195" spans="1:10">
      <c r="A195" s="5" t="s">
        <v>34</v>
      </c>
      <c r="B195" s="5" t="s">
        <v>397</v>
      </c>
      <c r="C195" s="5" t="s">
        <v>15</v>
      </c>
      <c r="D195" s="5">
        <v>3882</v>
      </c>
      <c r="E195" s="5">
        <v>275</v>
      </c>
      <c r="F195" s="5">
        <v>239</v>
      </c>
      <c r="G195" s="5">
        <v>58748</v>
      </c>
      <c r="H195" s="5">
        <f t="shared" si="8"/>
        <v>4396</v>
      </c>
      <c r="I195" s="37">
        <f t="shared" si="6"/>
        <v>7.4828079253761839</v>
      </c>
      <c r="J195" s="5">
        <f t="shared" si="7"/>
        <v>190</v>
      </c>
    </row>
    <row r="196" spans="1:10">
      <c r="A196" s="5" t="s">
        <v>47</v>
      </c>
      <c r="B196" s="5" t="s">
        <v>24</v>
      </c>
      <c r="C196" s="5" t="s">
        <v>25</v>
      </c>
      <c r="D196" s="5">
        <v>3956</v>
      </c>
      <c r="E196" s="5">
        <v>61</v>
      </c>
      <c r="F196" s="5">
        <v>319</v>
      </c>
      <c r="G196" s="5">
        <v>58162</v>
      </c>
      <c r="H196" s="5">
        <f t="shared" si="8"/>
        <v>4336</v>
      </c>
      <c r="I196" s="37">
        <f t="shared" si="6"/>
        <v>7.4550393727863558</v>
      </c>
      <c r="J196" s="5">
        <f t="shared" si="7"/>
        <v>191</v>
      </c>
    </row>
    <row r="197" spans="1:10">
      <c r="A197" s="5" t="s">
        <v>218</v>
      </c>
      <c r="B197" s="5" t="s">
        <v>14</v>
      </c>
      <c r="C197" s="5" t="s">
        <v>25</v>
      </c>
      <c r="D197" s="5">
        <v>3812</v>
      </c>
      <c r="E197" s="5">
        <v>289</v>
      </c>
      <c r="F197" s="5">
        <v>321</v>
      </c>
      <c r="G197" s="5">
        <v>59838</v>
      </c>
      <c r="H197" s="5">
        <f t="shared" si="8"/>
        <v>4422</v>
      </c>
      <c r="I197" s="37">
        <f t="shared" si="6"/>
        <v>7.3899528727564414</v>
      </c>
      <c r="J197" s="5">
        <f t="shared" si="7"/>
        <v>192</v>
      </c>
    </row>
    <row r="198" spans="1:10">
      <c r="A198" s="5" t="s">
        <v>308</v>
      </c>
      <c r="B198" s="5" t="s">
        <v>397</v>
      </c>
      <c r="C198" s="5" t="s">
        <v>57</v>
      </c>
      <c r="D198" s="5">
        <v>2692</v>
      </c>
      <c r="E198" s="5">
        <v>216</v>
      </c>
      <c r="F198" s="5">
        <v>446</v>
      </c>
      <c r="G198" s="5">
        <v>45818</v>
      </c>
      <c r="H198" s="5">
        <f t="shared" si="8"/>
        <v>3354</v>
      </c>
      <c r="I198" s="37">
        <f t="shared" ref="I198:I261" si="9">(D198+E198+F198)/G198*100</f>
        <v>7.3202671439172375</v>
      </c>
      <c r="J198" s="5">
        <f t="shared" ref="J198:J261" si="10">RANK(I198,I$6:I$305,0)</f>
        <v>193</v>
      </c>
    </row>
    <row r="199" spans="1:10">
      <c r="A199" s="5" t="s">
        <v>120</v>
      </c>
      <c r="B199" s="5" t="s">
        <v>14</v>
      </c>
      <c r="C199" s="5" t="s">
        <v>15</v>
      </c>
      <c r="D199" s="5">
        <v>2284</v>
      </c>
      <c r="E199" s="5">
        <v>260</v>
      </c>
      <c r="F199" s="5">
        <v>187</v>
      </c>
      <c r="G199" s="5">
        <v>37400</v>
      </c>
      <c r="H199" s="5">
        <f t="shared" ref="H199:H262" si="11">SUM(D199+E199+F199)</f>
        <v>2731</v>
      </c>
      <c r="I199" s="37">
        <f t="shared" si="9"/>
        <v>7.3021390374331556</v>
      </c>
      <c r="J199" s="5">
        <f t="shared" si="10"/>
        <v>194</v>
      </c>
    </row>
    <row r="200" spans="1:10">
      <c r="A200" s="5" t="s">
        <v>222</v>
      </c>
      <c r="B200" s="5" t="s">
        <v>14</v>
      </c>
      <c r="C200" s="5" t="s">
        <v>15</v>
      </c>
      <c r="D200" s="5">
        <v>2878</v>
      </c>
      <c r="E200" s="5">
        <v>255</v>
      </c>
      <c r="F200" s="5">
        <v>278</v>
      </c>
      <c r="G200" s="5">
        <v>47235</v>
      </c>
      <c r="H200" s="5">
        <f t="shared" si="11"/>
        <v>3411</v>
      </c>
      <c r="I200" s="37">
        <f t="shared" si="9"/>
        <v>7.2213401079707848</v>
      </c>
      <c r="J200" s="5">
        <f t="shared" si="10"/>
        <v>195</v>
      </c>
    </row>
    <row r="201" spans="1:10">
      <c r="A201" s="5" t="s">
        <v>187</v>
      </c>
      <c r="B201" s="5" t="s">
        <v>24</v>
      </c>
      <c r="C201" s="5" t="s">
        <v>25</v>
      </c>
      <c r="D201" s="5">
        <v>2383</v>
      </c>
      <c r="E201" s="5">
        <v>302</v>
      </c>
      <c r="F201" s="5">
        <v>136</v>
      </c>
      <c r="G201" s="5">
        <v>39187</v>
      </c>
      <c r="H201" s="5">
        <f t="shared" si="11"/>
        <v>2821</v>
      </c>
      <c r="I201" s="37">
        <f t="shared" si="9"/>
        <v>7.1988159338556148</v>
      </c>
      <c r="J201" s="5">
        <f t="shared" si="10"/>
        <v>196</v>
      </c>
    </row>
    <row r="202" spans="1:10">
      <c r="A202" s="5" t="s">
        <v>287</v>
      </c>
      <c r="B202" s="5" t="s">
        <v>24</v>
      </c>
      <c r="C202" s="5" t="s">
        <v>25</v>
      </c>
      <c r="D202" s="5">
        <v>3300</v>
      </c>
      <c r="E202" s="5">
        <v>397</v>
      </c>
      <c r="F202" s="5">
        <v>354</v>
      </c>
      <c r="G202" s="5">
        <v>56773</v>
      </c>
      <c r="H202" s="5">
        <f t="shared" si="11"/>
        <v>4051</v>
      </c>
      <c r="I202" s="37">
        <f t="shared" si="9"/>
        <v>7.1354340971940893</v>
      </c>
      <c r="J202" s="5">
        <f t="shared" si="10"/>
        <v>197</v>
      </c>
    </row>
    <row r="203" spans="1:10">
      <c r="A203" s="5" t="s">
        <v>247</v>
      </c>
      <c r="B203" s="5" t="s">
        <v>24</v>
      </c>
      <c r="C203" s="5" t="s">
        <v>25</v>
      </c>
      <c r="D203" s="5">
        <v>2857</v>
      </c>
      <c r="E203" s="5">
        <v>359</v>
      </c>
      <c r="F203" s="5">
        <v>443</v>
      </c>
      <c r="G203" s="5">
        <v>51519</v>
      </c>
      <c r="H203" s="5">
        <f t="shared" si="11"/>
        <v>3659</v>
      </c>
      <c r="I203" s="37">
        <f t="shared" si="9"/>
        <v>7.102234127215203</v>
      </c>
      <c r="J203" s="5">
        <f t="shared" si="10"/>
        <v>198</v>
      </c>
    </row>
    <row r="204" spans="1:10">
      <c r="A204" s="5" t="s">
        <v>219</v>
      </c>
      <c r="B204" s="5" t="s">
        <v>24</v>
      </c>
      <c r="C204" s="5" t="s">
        <v>15</v>
      </c>
      <c r="D204" s="5">
        <v>2387</v>
      </c>
      <c r="E204" s="5">
        <v>78</v>
      </c>
      <c r="F204" s="5">
        <v>353</v>
      </c>
      <c r="G204" s="5">
        <v>39745</v>
      </c>
      <c r="H204" s="5">
        <f t="shared" si="11"/>
        <v>2818</v>
      </c>
      <c r="I204" s="37">
        <f t="shared" si="9"/>
        <v>7.0902000251603976</v>
      </c>
      <c r="J204" s="5">
        <f t="shared" si="10"/>
        <v>199</v>
      </c>
    </row>
    <row r="205" spans="1:10">
      <c r="A205" s="5" t="s">
        <v>181</v>
      </c>
      <c r="B205" s="5" t="s">
        <v>397</v>
      </c>
      <c r="C205" s="5" t="s">
        <v>57</v>
      </c>
      <c r="D205" s="5">
        <v>3543</v>
      </c>
      <c r="E205" s="5">
        <v>218</v>
      </c>
      <c r="F205" s="5">
        <v>334</v>
      </c>
      <c r="G205" s="5">
        <v>58007</v>
      </c>
      <c r="H205" s="5">
        <f t="shared" si="11"/>
        <v>4095</v>
      </c>
      <c r="I205" s="37">
        <f t="shared" si="9"/>
        <v>7.059492819832089</v>
      </c>
      <c r="J205" s="5">
        <f t="shared" si="10"/>
        <v>201</v>
      </c>
    </row>
    <row r="206" spans="1:10">
      <c r="A206" s="5" t="s">
        <v>166</v>
      </c>
      <c r="B206" s="5" t="s">
        <v>24</v>
      </c>
      <c r="C206" s="5" t="s">
        <v>25</v>
      </c>
      <c r="D206" s="5">
        <v>3208</v>
      </c>
      <c r="E206" s="5">
        <v>277</v>
      </c>
      <c r="F206" s="5">
        <v>476</v>
      </c>
      <c r="G206" s="5">
        <v>56072</v>
      </c>
      <c r="H206" s="5">
        <f t="shared" si="11"/>
        <v>3961</v>
      </c>
      <c r="I206" s="37">
        <f t="shared" si="9"/>
        <v>7.064131830503638</v>
      </c>
      <c r="J206" s="5">
        <f t="shared" si="10"/>
        <v>200</v>
      </c>
    </row>
    <row r="207" spans="1:10">
      <c r="A207" s="5" t="s">
        <v>23</v>
      </c>
      <c r="B207" s="5" t="s">
        <v>24</v>
      </c>
      <c r="C207" s="5" t="s">
        <v>25</v>
      </c>
      <c r="D207" s="5">
        <v>3092</v>
      </c>
      <c r="E207" s="5">
        <v>81</v>
      </c>
      <c r="F207" s="5">
        <v>177</v>
      </c>
      <c r="G207" s="5">
        <v>47533</v>
      </c>
      <c r="H207" s="5">
        <f t="shared" si="11"/>
        <v>3350</v>
      </c>
      <c r="I207" s="37">
        <f t="shared" si="9"/>
        <v>7.0477352576105021</v>
      </c>
      <c r="J207" s="5">
        <f t="shared" si="10"/>
        <v>202</v>
      </c>
    </row>
    <row r="208" spans="1:10">
      <c r="A208" s="5" t="s">
        <v>69</v>
      </c>
      <c r="B208" s="5" t="s">
        <v>24</v>
      </c>
      <c r="C208" s="5" t="s">
        <v>25</v>
      </c>
      <c r="D208" s="5">
        <v>3418</v>
      </c>
      <c r="E208" s="5">
        <v>387</v>
      </c>
      <c r="F208" s="5">
        <v>188</v>
      </c>
      <c r="G208" s="5">
        <v>57431</v>
      </c>
      <c r="H208" s="5">
        <f t="shared" si="11"/>
        <v>3993</v>
      </c>
      <c r="I208" s="37">
        <f t="shared" si="9"/>
        <v>6.9526910553533803</v>
      </c>
      <c r="J208" s="5">
        <f t="shared" si="10"/>
        <v>203</v>
      </c>
    </row>
    <row r="209" spans="1:10">
      <c r="A209" s="5" t="s">
        <v>191</v>
      </c>
      <c r="B209" s="5" t="s">
        <v>14</v>
      </c>
      <c r="C209" s="5" t="s">
        <v>25</v>
      </c>
      <c r="D209" s="5">
        <v>2962</v>
      </c>
      <c r="E209" s="5">
        <v>280</v>
      </c>
      <c r="F209" s="5">
        <v>400</v>
      </c>
      <c r="G209" s="5">
        <v>52508</v>
      </c>
      <c r="H209" s="5">
        <f t="shared" si="11"/>
        <v>3642</v>
      </c>
      <c r="I209" s="37">
        <f t="shared" si="9"/>
        <v>6.9360859297630837</v>
      </c>
      <c r="J209" s="5">
        <f t="shared" si="10"/>
        <v>204</v>
      </c>
    </row>
    <row r="210" spans="1:10">
      <c r="A210" s="5" t="s">
        <v>139</v>
      </c>
      <c r="B210" s="5" t="s">
        <v>24</v>
      </c>
      <c r="C210" s="5" t="s">
        <v>15</v>
      </c>
      <c r="D210" s="5">
        <v>1984</v>
      </c>
      <c r="E210" s="5">
        <v>356</v>
      </c>
      <c r="F210" s="5">
        <v>481</v>
      </c>
      <c r="G210" s="5">
        <v>40681</v>
      </c>
      <c r="H210" s="5">
        <f t="shared" si="11"/>
        <v>2821</v>
      </c>
      <c r="I210" s="37">
        <f t="shared" si="9"/>
        <v>6.9344411395983379</v>
      </c>
      <c r="J210" s="5">
        <f t="shared" si="10"/>
        <v>205</v>
      </c>
    </row>
    <row r="211" spans="1:10">
      <c r="A211" s="5" t="s">
        <v>301</v>
      </c>
      <c r="B211" s="5" t="s">
        <v>24</v>
      </c>
      <c r="C211" s="5" t="s">
        <v>15</v>
      </c>
      <c r="D211" s="5">
        <v>2972</v>
      </c>
      <c r="E211" s="5">
        <v>308</v>
      </c>
      <c r="F211" s="5">
        <v>263</v>
      </c>
      <c r="G211" s="5">
        <v>51740</v>
      </c>
      <c r="H211" s="5">
        <f t="shared" si="11"/>
        <v>3543</v>
      </c>
      <c r="I211" s="37">
        <f t="shared" si="9"/>
        <v>6.8477000386548124</v>
      </c>
      <c r="J211" s="5">
        <f t="shared" si="10"/>
        <v>206</v>
      </c>
    </row>
    <row r="212" spans="1:10">
      <c r="A212" s="5" t="s">
        <v>271</v>
      </c>
      <c r="B212" s="5" t="s">
        <v>14</v>
      </c>
      <c r="C212" s="5" t="s">
        <v>15</v>
      </c>
      <c r="D212" s="5">
        <v>1673</v>
      </c>
      <c r="E212" s="5">
        <v>67</v>
      </c>
      <c r="F212" s="5">
        <v>280</v>
      </c>
      <c r="G212" s="5">
        <v>29847</v>
      </c>
      <c r="H212" s="5">
        <f t="shared" si="11"/>
        <v>2020</v>
      </c>
      <c r="I212" s="37">
        <f t="shared" si="9"/>
        <v>6.7678493650953202</v>
      </c>
      <c r="J212" s="5">
        <f t="shared" si="10"/>
        <v>207</v>
      </c>
    </row>
    <row r="213" spans="1:10">
      <c r="A213" s="5" t="s">
        <v>143</v>
      </c>
      <c r="B213" s="5" t="s">
        <v>14</v>
      </c>
      <c r="C213" s="5" t="s">
        <v>15</v>
      </c>
      <c r="D213" s="5">
        <v>1830</v>
      </c>
      <c r="E213" s="5">
        <v>181</v>
      </c>
      <c r="F213" s="5">
        <v>112</v>
      </c>
      <c r="G213" s="5">
        <v>31870</v>
      </c>
      <c r="H213" s="5">
        <f t="shared" si="11"/>
        <v>2123</v>
      </c>
      <c r="I213" s="37">
        <f t="shared" si="9"/>
        <v>6.6614370881706932</v>
      </c>
      <c r="J213" s="5">
        <f t="shared" si="10"/>
        <v>208</v>
      </c>
    </row>
    <row r="214" spans="1:10">
      <c r="A214" s="5" t="s">
        <v>313</v>
      </c>
      <c r="B214" s="5" t="s">
        <v>24</v>
      </c>
      <c r="C214" s="5" t="s">
        <v>15</v>
      </c>
      <c r="D214" s="5">
        <v>2691</v>
      </c>
      <c r="E214" s="5">
        <v>206</v>
      </c>
      <c r="F214" s="5">
        <v>486</v>
      </c>
      <c r="G214" s="5">
        <v>51133</v>
      </c>
      <c r="H214" s="5">
        <f t="shared" si="11"/>
        <v>3383</v>
      </c>
      <c r="I214" s="37">
        <f t="shared" si="9"/>
        <v>6.6160796354604656</v>
      </c>
      <c r="J214" s="5">
        <f t="shared" si="10"/>
        <v>210</v>
      </c>
    </row>
    <row r="215" spans="1:10">
      <c r="A215" s="5" t="s">
        <v>318</v>
      </c>
      <c r="B215" s="5" t="s">
        <v>14</v>
      </c>
      <c r="C215" s="5" t="s">
        <v>15</v>
      </c>
      <c r="D215" s="5">
        <v>3194</v>
      </c>
      <c r="E215" s="5">
        <v>245</v>
      </c>
      <c r="F215" s="5">
        <v>292</v>
      </c>
      <c r="G215" s="5">
        <v>56371</v>
      </c>
      <c r="H215" s="5">
        <f t="shared" si="11"/>
        <v>3731</v>
      </c>
      <c r="I215" s="37">
        <f t="shared" si="9"/>
        <v>6.6186514342481058</v>
      </c>
      <c r="J215" s="5">
        <f t="shared" si="10"/>
        <v>209</v>
      </c>
    </row>
    <row r="216" spans="1:10">
      <c r="A216" s="5" t="s">
        <v>233</v>
      </c>
      <c r="B216" s="5" t="s">
        <v>397</v>
      </c>
      <c r="C216" s="5" t="s">
        <v>57</v>
      </c>
      <c r="D216" s="5">
        <v>1211</v>
      </c>
      <c r="E216" s="5">
        <v>83</v>
      </c>
      <c r="F216" s="5">
        <v>431</v>
      </c>
      <c r="G216" s="5">
        <v>26532</v>
      </c>
      <c r="H216" s="5">
        <f t="shared" si="11"/>
        <v>1725</v>
      </c>
      <c r="I216" s="37">
        <f t="shared" si="9"/>
        <v>6.5015829941203069</v>
      </c>
      <c r="J216" s="5">
        <f t="shared" si="10"/>
        <v>211</v>
      </c>
    </row>
    <row r="217" spans="1:10">
      <c r="A217" s="5" t="s">
        <v>275</v>
      </c>
      <c r="B217" s="5" t="s">
        <v>397</v>
      </c>
      <c r="C217" s="5" t="s">
        <v>15</v>
      </c>
      <c r="D217" s="5">
        <v>2101</v>
      </c>
      <c r="E217" s="5">
        <v>190</v>
      </c>
      <c r="F217" s="5">
        <v>411</v>
      </c>
      <c r="G217" s="5">
        <v>41791</v>
      </c>
      <c r="H217" s="5">
        <f t="shared" si="11"/>
        <v>2702</v>
      </c>
      <c r="I217" s="37">
        <f t="shared" si="9"/>
        <v>6.4655069273288515</v>
      </c>
      <c r="J217" s="5">
        <f t="shared" si="10"/>
        <v>212</v>
      </c>
    </row>
    <row r="218" spans="1:10">
      <c r="A218" s="5" t="s">
        <v>56</v>
      </c>
      <c r="B218" s="5" t="s">
        <v>397</v>
      </c>
      <c r="C218" s="5" t="s">
        <v>57</v>
      </c>
      <c r="D218" s="5">
        <v>1751</v>
      </c>
      <c r="E218" s="5">
        <v>151</v>
      </c>
      <c r="F218" s="5">
        <v>143</v>
      </c>
      <c r="G218" s="5">
        <v>31826</v>
      </c>
      <c r="H218" s="5">
        <f t="shared" si="11"/>
        <v>2045</v>
      </c>
      <c r="I218" s="37">
        <f t="shared" si="9"/>
        <v>6.4255640042732365</v>
      </c>
      <c r="J218" s="5">
        <f t="shared" si="10"/>
        <v>213</v>
      </c>
    </row>
    <row r="219" spans="1:10">
      <c r="A219" s="5" t="s">
        <v>133</v>
      </c>
      <c r="B219" s="5" t="s">
        <v>14</v>
      </c>
      <c r="C219" s="5" t="s">
        <v>15</v>
      </c>
      <c r="D219" s="5">
        <v>1100</v>
      </c>
      <c r="E219" s="5">
        <v>312</v>
      </c>
      <c r="F219" s="5">
        <v>229</v>
      </c>
      <c r="G219" s="5">
        <v>25641</v>
      </c>
      <c r="H219" s="5">
        <f t="shared" si="11"/>
        <v>1641</v>
      </c>
      <c r="I219" s="37">
        <f t="shared" si="9"/>
        <v>6.3999063999063992</v>
      </c>
      <c r="J219" s="5">
        <f t="shared" si="10"/>
        <v>214</v>
      </c>
    </row>
    <row r="220" spans="1:10">
      <c r="A220" s="5" t="s">
        <v>76</v>
      </c>
      <c r="B220" s="5" t="s">
        <v>14</v>
      </c>
      <c r="C220" s="5" t="s">
        <v>15</v>
      </c>
      <c r="D220" s="5">
        <v>2274</v>
      </c>
      <c r="E220" s="5">
        <v>222</v>
      </c>
      <c r="F220" s="5">
        <v>243</v>
      </c>
      <c r="G220" s="5">
        <v>43066</v>
      </c>
      <c r="H220" s="5">
        <f t="shared" si="11"/>
        <v>2739</v>
      </c>
      <c r="I220" s="37">
        <f t="shared" si="9"/>
        <v>6.3600055728416844</v>
      </c>
      <c r="J220" s="5">
        <f t="shared" si="10"/>
        <v>215</v>
      </c>
    </row>
    <row r="221" spans="1:10">
      <c r="A221" s="5" t="s">
        <v>241</v>
      </c>
      <c r="B221" s="5" t="s">
        <v>24</v>
      </c>
      <c r="C221" s="5" t="s">
        <v>25</v>
      </c>
      <c r="D221" s="5">
        <v>1839</v>
      </c>
      <c r="E221" s="5">
        <v>171</v>
      </c>
      <c r="F221" s="5">
        <v>223</v>
      </c>
      <c r="G221" s="5">
        <v>35459</v>
      </c>
      <c r="H221" s="5">
        <f t="shared" si="11"/>
        <v>2233</v>
      </c>
      <c r="I221" s="37">
        <f t="shared" si="9"/>
        <v>6.2974139146620036</v>
      </c>
      <c r="J221" s="5">
        <f t="shared" si="10"/>
        <v>216</v>
      </c>
    </row>
    <row r="222" spans="1:10">
      <c r="A222" s="5" t="s">
        <v>224</v>
      </c>
      <c r="B222" s="5" t="s">
        <v>24</v>
      </c>
      <c r="C222" s="5" t="s">
        <v>25</v>
      </c>
      <c r="D222" s="5">
        <v>2408</v>
      </c>
      <c r="E222" s="5">
        <v>251</v>
      </c>
      <c r="F222" s="5">
        <v>323</v>
      </c>
      <c r="G222" s="5">
        <v>47599</v>
      </c>
      <c r="H222" s="5">
        <f t="shared" si="11"/>
        <v>2982</v>
      </c>
      <c r="I222" s="37">
        <f t="shared" si="9"/>
        <v>6.2648374965860638</v>
      </c>
      <c r="J222" s="5">
        <f t="shared" si="10"/>
        <v>217</v>
      </c>
    </row>
    <row r="223" spans="1:10">
      <c r="A223" s="5" t="s">
        <v>145</v>
      </c>
      <c r="B223" s="5" t="s">
        <v>24</v>
      </c>
      <c r="C223" s="5" t="s">
        <v>15</v>
      </c>
      <c r="D223" s="5">
        <v>2878</v>
      </c>
      <c r="E223" s="5">
        <v>91</v>
      </c>
      <c r="F223" s="5">
        <v>265</v>
      </c>
      <c r="G223" s="5">
        <v>52090</v>
      </c>
      <c r="H223" s="5">
        <f t="shared" si="11"/>
        <v>3234</v>
      </c>
      <c r="I223" s="37">
        <f t="shared" si="9"/>
        <v>6.2084853138798231</v>
      </c>
      <c r="J223" s="5">
        <f t="shared" si="10"/>
        <v>218</v>
      </c>
    </row>
    <row r="224" spans="1:10">
      <c r="A224" s="5" t="s">
        <v>307</v>
      </c>
      <c r="B224" s="5" t="s">
        <v>397</v>
      </c>
      <c r="C224" s="5" t="s">
        <v>15</v>
      </c>
      <c r="D224" s="5">
        <v>2471</v>
      </c>
      <c r="E224" s="5">
        <v>320</v>
      </c>
      <c r="F224" s="5">
        <v>166</v>
      </c>
      <c r="G224" s="5">
        <v>48254</v>
      </c>
      <c r="H224" s="5">
        <f t="shared" si="11"/>
        <v>2957</v>
      </c>
      <c r="I224" s="37">
        <f t="shared" si="9"/>
        <v>6.127989389480665</v>
      </c>
      <c r="J224" s="5">
        <f t="shared" si="10"/>
        <v>219</v>
      </c>
    </row>
    <row r="225" spans="1:10">
      <c r="A225" s="5" t="s">
        <v>127</v>
      </c>
      <c r="B225" s="5" t="s">
        <v>24</v>
      </c>
      <c r="C225" s="5" t="s">
        <v>25</v>
      </c>
      <c r="D225" s="5">
        <v>2683</v>
      </c>
      <c r="E225" s="5">
        <v>89</v>
      </c>
      <c r="F225" s="5">
        <v>496</v>
      </c>
      <c r="G225" s="5">
        <v>53435</v>
      </c>
      <c r="H225" s="5">
        <f t="shared" si="11"/>
        <v>3268</v>
      </c>
      <c r="I225" s="37">
        <f t="shared" si="9"/>
        <v>6.1158416768035933</v>
      </c>
      <c r="J225" s="5">
        <f t="shared" si="10"/>
        <v>220</v>
      </c>
    </row>
    <row r="226" spans="1:10">
      <c r="A226" s="5" t="s">
        <v>338</v>
      </c>
      <c r="B226" s="5" t="s">
        <v>24</v>
      </c>
      <c r="C226" s="5" t="s">
        <v>15</v>
      </c>
      <c r="D226" s="5">
        <v>2275</v>
      </c>
      <c r="E226" s="5">
        <v>125</v>
      </c>
      <c r="F226" s="5">
        <v>285</v>
      </c>
      <c r="G226" s="5">
        <v>43970</v>
      </c>
      <c r="H226" s="5">
        <f t="shared" si="11"/>
        <v>2685</v>
      </c>
      <c r="I226" s="37">
        <f t="shared" si="9"/>
        <v>6.1064362065044353</v>
      </c>
      <c r="J226" s="5">
        <f t="shared" si="10"/>
        <v>221</v>
      </c>
    </row>
    <row r="227" spans="1:10">
      <c r="A227" s="5" t="s">
        <v>184</v>
      </c>
      <c r="B227" s="5" t="s">
        <v>14</v>
      </c>
      <c r="C227" s="5" t="s">
        <v>15</v>
      </c>
      <c r="D227" s="5">
        <v>2329</v>
      </c>
      <c r="E227" s="5">
        <v>291</v>
      </c>
      <c r="F227" s="5">
        <v>373</v>
      </c>
      <c r="G227" s="5">
        <v>49577</v>
      </c>
      <c r="H227" s="5">
        <f t="shared" si="11"/>
        <v>2993</v>
      </c>
      <c r="I227" s="37">
        <f t="shared" si="9"/>
        <v>6.0370736430199488</v>
      </c>
      <c r="J227" s="5">
        <f t="shared" si="10"/>
        <v>222</v>
      </c>
    </row>
    <row r="228" spans="1:10">
      <c r="A228" s="5" t="s">
        <v>125</v>
      </c>
      <c r="B228" s="5" t="s">
        <v>14</v>
      </c>
      <c r="C228" s="5" t="s">
        <v>15</v>
      </c>
      <c r="D228" s="5">
        <v>2965</v>
      </c>
      <c r="E228" s="5">
        <v>171</v>
      </c>
      <c r="F228" s="5">
        <v>328</v>
      </c>
      <c r="G228" s="5">
        <v>57685</v>
      </c>
      <c r="H228" s="5">
        <f t="shared" si="11"/>
        <v>3464</v>
      </c>
      <c r="I228" s="37">
        <f t="shared" si="9"/>
        <v>6.005027303458438</v>
      </c>
      <c r="J228" s="5">
        <f t="shared" si="10"/>
        <v>223</v>
      </c>
    </row>
    <row r="229" spans="1:10">
      <c r="A229" s="5" t="s">
        <v>337</v>
      </c>
      <c r="B229" s="5" t="s">
        <v>24</v>
      </c>
      <c r="C229" s="5" t="s">
        <v>15</v>
      </c>
      <c r="D229" s="5">
        <v>2901</v>
      </c>
      <c r="E229" s="5">
        <v>86</v>
      </c>
      <c r="F229" s="5">
        <v>108</v>
      </c>
      <c r="G229" s="5">
        <v>51777</v>
      </c>
      <c r="H229" s="5">
        <f t="shared" si="11"/>
        <v>3095</v>
      </c>
      <c r="I229" s="37">
        <f t="shared" si="9"/>
        <v>5.9775576027966082</v>
      </c>
      <c r="J229" s="5">
        <f t="shared" si="10"/>
        <v>224</v>
      </c>
    </row>
    <row r="230" spans="1:10">
      <c r="A230" s="5" t="s">
        <v>194</v>
      </c>
      <c r="B230" s="5" t="s">
        <v>14</v>
      </c>
      <c r="C230" s="5" t="s">
        <v>15</v>
      </c>
      <c r="D230" s="5">
        <v>2525</v>
      </c>
      <c r="E230" s="5">
        <v>294</v>
      </c>
      <c r="F230" s="5">
        <v>272</v>
      </c>
      <c r="G230" s="5">
        <v>51875</v>
      </c>
      <c r="H230" s="5">
        <f t="shared" si="11"/>
        <v>3091</v>
      </c>
      <c r="I230" s="37">
        <f t="shared" si="9"/>
        <v>5.9585542168674701</v>
      </c>
      <c r="J230" s="5">
        <f t="shared" si="10"/>
        <v>225</v>
      </c>
    </row>
    <row r="231" spans="1:10">
      <c r="A231" s="5" t="s">
        <v>122</v>
      </c>
      <c r="B231" s="5" t="s">
        <v>14</v>
      </c>
      <c r="C231" s="5" t="s">
        <v>15</v>
      </c>
      <c r="D231" s="5">
        <v>2102</v>
      </c>
      <c r="E231" s="5">
        <v>306</v>
      </c>
      <c r="F231" s="5">
        <v>181</v>
      </c>
      <c r="G231" s="5">
        <v>43650</v>
      </c>
      <c r="H231" s="5">
        <f t="shared" si="11"/>
        <v>2589</v>
      </c>
      <c r="I231" s="37">
        <f t="shared" si="9"/>
        <v>5.9312714776632305</v>
      </c>
      <c r="J231" s="5">
        <f t="shared" si="10"/>
        <v>226</v>
      </c>
    </row>
    <row r="232" spans="1:10">
      <c r="A232" s="5" t="s">
        <v>163</v>
      </c>
      <c r="B232" s="5" t="s">
        <v>397</v>
      </c>
      <c r="C232" s="5" t="s">
        <v>15</v>
      </c>
      <c r="D232" s="5">
        <v>2911</v>
      </c>
      <c r="E232" s="5">
        <v>94</v>
      </c>
      <c r="F232" s="5">
        <v>467</v>
      </c>
      <c r="G232" s="5">
        <v>59083</v>
      </c>
      <c r="H232" s="5">
        <f t="shared" si="11"/>
        <v>3472</v>
      </c>
      <c r="I232" s="37">
        <f t="shared" si="9"/>
        <v>5.8764788517847775</v>
      </c>
      <c r="J232" s="5">
        <f t="shared" si="10"/>
        <v>227</v>
      </c>
    </row>
    <row r="233" spans="1:10">
      <c r="A233" s="5" t="s">
        <v>93</v>
      </c>
      <c r="B233" s="5" t="s">
        <v>24</v>
      </c>
      <c r="C233" s="5" t="s">
        <v>25</v>
      </c>
      <c r="D233" s="5">
        <v>2842</v>
      </c>
      <c r="E233" s="5">
        <v>331</v>
      </c>
      <c r="F233" s="5">
        <v>213</v>
      </c>
      <c r="G233" s="5">
        <v>57660</v>
      </c>
      <c r="H233" s="5">
        <f t="shared" si="11"/>
        <v>3386</v>
      </c>
      <c r="I233" s="37">
        <f t="shared" si="9"/>
        <v>5.8723551855705862</v>
      </c>
      <c r="J233" s="5">
        <f t="shared" si="10"/>
        <v>228</v>
      </c>
    </row>
    <row r="234" spans="1:10">
      <c r="A234" s="5" t="s">
        <v>331</v>
      </c>
      <c r="B234" s="5" t="s">
        <v>14</v>
      </c>
      <c r="C234" s="5" t="s">
        <v>15</v>
      </c>
      <c r="D234" s="5">
        <v>2088</v>
      </c>
      <c r="E234" s="5">
        <v>124</v>
      </c>
      <c r="F234" s="5">
        <v>490</v>
      </c>
      <c r="G234" s="5">
        <v>46544</v>
      </c>
      <c r="H234" s="5">
        <f t="shared" si="11"/>
        <v>2702</v>
      </c>
      <c r="I234" s="37">
        <f t="shared" si="9"/>
        <v>5.8052595393606046</v>
      </c>
      <c r="J234" s="5">
        <f t="shared" si="10"/>
        <v>229</v>
      </c>
    </row>
    <row r="235" spans="1:10">
      <c r="A235" s="5" t="s">
        <v>159</v>
      </c>
      <c r="B235" s="5" t="s">
        <v>24</v>
      </c>
      <c r="C235" s="5" t="s">
        <v>25</v>
      </c>
      <c r="D235" s="5">
        <v>2134</v>
      </c>
      <c r="E235" s="5">
        <v>114</v>
      </c>
      <c r="F235" s="5">
        <v>322</v>
      </c>
      <c r="G235" s="5">
        <v>44338</v>
      </c>
      <c r="H235" s="5">
        <f t="shared" si="11"/>
        <v>2570</v>
      </c>
      <c r="I235" s="37">
        <f t="shared" si="9"/>
        <v>5.7963823356939868</v>
      </c>
      <c r="J235" s="5">
        <f t="shared" si="10"/>
        <v>230</v>
      </c>
    </row>
    <row r="236" spans="1:10">
      <c r="A236" s="5" t="s">
        <v>316</v>
      </c>
      <c r="B236" s="5" t="s">
        <v>24</v>
      </c>
      <c r="C236" s="5" t="s">
        <v>15</v>
      </c>
      <c r="D236" s="5">
        <v>2177</v>
      </c>
      <c r="E236" s="5">
        <v>292</v>
      </c>
      <c r="F236" s="5">
        <v>258</v>
      </c>
      <c r="G236" s="5">
        <v>47276</v>
      </c>
      <c r="H236" s="5">
        <f t="shared" si="11"/>
        <v>2727</v>
      </c>
      <c r="I236" s="37">
        <f t="shared" si="9"/>
        <v>5.7682545054573149</v>
      </c>
      <c r="J236" s="5">
        <f t="shared" si="10"/>
        <v>231</v>
      </c>
    </row>
    <row r="237" spans="1:10">
      <c r="A237" s="5" t="s">
        <v>295</v>
      </c>
      <c r="B237" s="5" t="s">
        <v>24</v>
      </c>
      <c r="C237" s="5" t="s">
        <v>25</v>
      </c>
      <c r="D237" s="5">
        <v>2291</v>
      </c>
      <c r="E237" s="5">
        <v>399</v>
      </c>
      <c r="F237" s="5">
        <v>146</v>
      </c>
      <c r="G237" s="5">
        <v>49319</v>
      </c>
      <c r="H237" s="5">
        <f t="shared" si="11"/>
        <v>2836</v>
      </c>
      <c r="I237" s="37">
        <f t="shared" si="9"/>
        <v>5.750319349540745</v>
      </c>
      <c r="J237" s="5">
        <f t="shared" si="10"/>
        <v>232</v>
      </c>
    </row>
    <row r="238" spans="1:10">
      <c r="A238" s="5" t="s">
        <v>215</v>
      </c>
      <c r="B238" s="5" t="s">
        <v>24</v>
      </c>
      <c r="C238" s="5" t="s">
        <v>25</v>
      </c>
      <c r="D238" s="5">
        <v>2665</v>
      </c>
      <c r="E238" s="5">
        <v>315</v>
      </c>
      <c r="F238" s="5">
        <v>143</v>
      </c>
      <c r="G238" s="5">
        <v>54808</v>
      </c>
      <c r="H238" s="5">
        <f t="shared" si="11"/>
        <v>3123</v>
      </c>
      <c r="I238" s="37">
        <f t="shared" si="9"/>
        <v>5.6980732739746021</v>
      </c>
      <c r="J238" s="5">
        <f t="shared" si="10"/>
        <v>233</v>
      </c>
    </row>
    <row r="239" spans="1:10">
      <c r="A239" s="5" t="s">
        <v>234</v>
      </c>
      <c r="B239" s="5" t="s">
        <v>24</v>
      </c>
      <c r="C239" s="5" t="s">
        <v>25</v>
      </c>
      <c r="D239" s="5">
        <v>2784</v>
      </c>
      <c r="E239" s="5">
        <v>399</v>
      </c>
      <c r="F239" s="5">
        <v>111</v>
      </c>
      <c r="G239" s="5">
        <v>58366</v>
      </c>
      <c r="H239" s="5">
        <f t="shared" si="11"/>
        <v>3294</v>
      </c>
      <c r="I239" s="37">
        <f t="shared" si="9"/>
        <v>5.6436966727204192</v>
      </c>
      <c r="J239" s="5">
        <f t="shared" si="10"/>
        <v>234</v>
      </c>
    </row>
    <row r="240" spans="1:10">
      <c r="A240" s="5" t="s">
        <v>339</v>
      </c>
      <c r="B240" s="5" t="s">
        <v>24</v>
      </c>
      <c r="C240" s="5" t="s">
        <v>25</v>
      </c>
      <c r="D240" s="5">
        <v>2227</v>
      </c>
      <c r="E240" s="5">
        <v>161</v>
      </c>
      <c r="F240" s="5">
        <v>494</v>
      </c>
      <c r="G240" s="5">
        <v>51651</v>
      </c>
      <c r="H240" s="5">
        <f t="shared" si="11"/>
        <v>2882</v>
      </c>
      <c r="I240" s="37">
        <f t="shared" si="9"/>
        <v>5.5797564422760448</v>
      </c>
      <c r="J240" s="5">
        <f t="shared" si="10"/>
        <v>235</v>
      </c>
    </row>
    <row r="241" spans="1:10">
      <c r="A241" s="5" t="s">
        <v>304</v>
      </c>
      <c r="B241" s="5" t="s">
        <v>397</v>
      </c>
      <c r="C241" s="5" t="s">
        <v>57</v>
      </c>
      <c r="D241" s="5">
        <v>2162</v>
      </c>
      <c r="E241" s="5">
        <v>83</v>
      </c>
      <c r="F241" s="5">
        <v>318</v>
      </c>
      <c r="G241" s="5">
        <v>46719</v>
      </c>
      <c r="H241" s="5">
        <f t="shared" si="11"/>
        <v>2563</v>
      </c>
      <c r="I241" s="37">
        <f t="shared" si="9"/>
        <v>5.4859907104176031</v>
      </c>
      <c r="J241" s="5">
        <f t="shared" si="10"/>
        <v>236</v>
      </c>
    </row>
    <row r="242" spans="1:10">
      <c r="A242" s="5" t="s">
        <v>171</v>
      </c>
      <c r="B242" s="5" t="s">
        <v>24</v>
      </c>
      <c r="C242" s="5" t="s">
        <v>15</v>
      </c>
      <c r="D242" s="5">
        <v>1564</v>
      </c>
      <c r="E242" s="5">
        <v>371</v>
      </c>
      <c r="F242" s="5">
        <v>362</v>
      </c>
      <c r="G242" s="5">
        <v>42075</v>
      </c>
      <c r="H242" s="5">
        <f t="shared" si="11"/>
        <v>2297</v>
      </c>
      <c r="I242" s="37">
        <f t="shared" si="9"/>
        <v>5.4592988710635764</v>
      </c>
      <c r="J242" s="5">
        <f t="shared" si="10"/>
        <v>238</v>
      </c>
    </row>
    <row r="243" spans="1:10">
      <c r="A243" s="5" t="s">
        <v>322</v>
      </c>
      <c r="B243" s="5" t="s">
        <v>24</v>
      </c>
      <c r="C243" s="5" t="s">
        <v>25</v>
      </c>
      <c r="D243" s="5">
        <v>2604</v>
      </c>
      <c r="E243" s="5">
        <v>148</v>
      </c>
      <c r="F243" s="5">
        <v>439</v>
      </c>
      <c r="G243" s="5">
        <v>58468</v>
      </c>
      <c r="H243" s="5">
        <f t="shared" si="11"/>
        <v>3191</v>
      </c>
      <c r="I243" s="37">
        <f t="shared" si="9"/>
        <v>5.4576862557296293</v>
      </c>
      <c r="J243" s="5">
        <f t="shared" si="10"/>
        <v>239</v>
      </c>
    </row>
    <row r="244" spans="1:10">
      <c r="A244" s="5" t="s">
        <v>314</v>
      </c>
      <c r="B244" s="5" t="s">
        <v>14</v>
      </c>
      <c r="C244" s="5" t="s">
        <v>15</v>
      </c>
      <c r="D244" s="5">
        <v>2110</v>
      </c>
      <c r="E244" s="5">
        <v>236</v>
      </c>
      <c r="F244" s="5">
        <v>384</v>
      </c>
      <c r="G244" s="5">
        <v>49965</v>
      </c>
      <c r="H244" s="5">
        <f t="shared" si="11"/>
        <v>2730</v>
      </c>
      <c r="I244" s="37">
        <f t="shared" si="9"/>
        <v>5.4638246772740917</v>
      </c>
      <c r="J244" s="5">
        <f t="shared" si="10"/>
        <v>237</v>
      </c>
    </row>
    <row r="245" spans="1:10">
      <c r="A245" s="5" t="s">
        <v>303</v>
      </c>
      <c r="B245" s="5" t="s">
        <v>397</v>
      </c>
      <c r="C245" s="5" t="s">
        <v>15</v>
      </c>
      <c r="D245" s="5">
        <v>2399</v>
      </c>
      <c r="E245" s="5">
        <v>221</v>
      </c>
      <c r="F245" s="5">
        <v>191</v>
      </c>
      <c r="G245" s="5">
        <v>51603</v>
      </c>
      <c r="H245" s="5">
        <f t="shared" si="11"/>
        <v>2811</v>
      </c>
      <c r="I245" s="37">
        <f t="shared" si="9"/>
        <v>5.4473577117609437</v>
      </c>
      <c r="J245" s="5">
        <f t="shared" si="10"/>
        <v>240</v>
      </c>
    </row>
    <row r="246" spans="1:10">
      <c r="A246" s="5" t="s">
        <v>46</v>
      </c>
      <c r="B246" s="5" t="s">
        <v>14</v>
      </c>
      <c r="C246" s="5" t="s">
        <v>15</v>
      </c>
      <c r="D246" s="5">
        <v>1485</v>
      </c>
      <c r="E246" s="5">
        <v>244</v>
      </c>
      <c r="F246" s="5">
        <v>353</v>
      </c>
      <c r="G246" s="5">
        <v>38419</v>
      </c>
      <c r="H246" s="5">
        <f t="shared" si="11"/>
        <v>2082</v>
      </c>
      <c r="I246" s="37">
        <f t="shared" si="9"/>
        <v>5.4191936281527369</v>
      </c>
      <c r="J246" s="5">
        <f t="shared" si="10"/>
        <v>241</v>
      </c>
    </row>
    <row r="247" spans="1:10">
      <c r="A247" s="5" t="s">
        <v>278</v>
      </c>
      <c r="B247" s="5" t="s">
        <v>14</v>
      </c>
      <c r="C247" s="5" t="s">
        <v>15</v>
      </c>
      <c r="D247" s="5">
        <v>2478</v>
      </c>
      <c r="E247" s="5">
        <v>242</v>
      </c>
      <c r="F247" s="5">
        <v>427</v>
      </c>
      <c r="G247" s="5">
        <v>59272</v>
      </c>
      <c r="H247" s="5">
        <f t="shared" si="11"/>
        <v>3147</v>
      </c>
      <c r="I247" s="37">
        <f t="shared" si="9"/>
        <v>5.3094209744904841</v>
      </c>
      <c r="J247" s="5">
        <f t="shared" si="10"/>
        <v>242</v>
      </c>
    </row>
    <row r="248" spans="1:10">
      <c r="A248" s="5" t="s">
        <v>152</v>
      </c>
      <c r="B248" s="5" t="s">
        <v>14</v>
      </c>
      <c r="C248" s="5" t="s">
        <v>15</v>
      </c>
      <c r="D248" s="5">
        <v>1333</v>
      </c>
      <c r="E248" s="5">
        <v>298</v>
      </c>
      <c r="F248" s="5">
        <v>286</v>
      </c>
      <c r="G248" s="5">
        <v>36174</v>
      </c>
      <c r="H248" s="5">
        <f t="shared" si="11"/>
        <v>1917</v>
      </c>
      <c r="I248" s="37">
        <f t="shared" si="9"/>
        <v>5.2993862995521646</v>
      </c>
      <c r="J248" s="5">
        <f t="shared" si="10"/>
        <v>243</v>
      </c>
    </row>
    <row r="249" spans="1:10">
      <c r="A249" s="5" t="s">
        <v>265</v>
      </c>
      <c r="B249" s="5" t="s">
        <v>397</v>
      </c>
      <c r="C249" s="5" t="s">
        <v>15</v>
      </c>
      <c r="D249" s="5">
        <v>1432</v>
      </c>
      <c r="E249" s="5">
        <v>267</v>
      </c>
      <c r="F249" s="5">
        <v>437</v>
      </c>
      <c r="G249" s="5">
        <v>40634</v>
      </c>
      <c r="H249" s="5">
        <f t="shared" si="11"/>
        <v>2136</v>
      </c>
      <c r="I249" s="37">
        <f t="shared" si="9"/>
        <v>5.2566815966924256</v>
      </c>
      <c r="J249" s="5">
        <f t="shared" si="10"/>
        <v>244</v>
      </c>
    </row>
    <row r="250" spans="1:10">
      <c r="A250" s="5" t="s">
        <v>266</v>
      </c>
      <c r="B250" s="5" t="s">
        <v>24</v>
      </c>
      <c r="C250" s="5" t="s">
        <v>25</v>
      </c>
      <c r="D250" s="5">
        <v>2174</v>
      </c>
      <c r="E250" s="5">
        <v>212</v>
      </c>
      <c r="F250" s="5">
        <v>499</v>
      </c>
      <c r="G250" s="5">
        <v>54938</v>
      </c>
      <c r="H250" s="5">
        <f t="shared" si="11"/>
        <v>2885</v>
      </c>
      <c r="I250" s="37">
        <f t="shared" si="9"/>
        <v>5.2513742764570974</v>
      </c>
      <c r="J250" s="5">
        <f t="shared" si="10"/>
        <v>245</v>
      </c>
    </row>
    <row r="251" spans="1:10">
      <c r="A251" s="5" t="s">
        <v>296</v>
      </c>
      <c r="B251" s="5" t="s">
        <v>24</v>
      </c>
      <c r="C251" s="5" t="s">
        <v>25</v>
      </c>
      <c r="D251" s="5">
        <v>2304</v>
      </c>
      <c r="E251" s="5">
        <v>161</v>
      </c>
      <c r="F251" s="5">
        <v>289</v>
      </c>
      <c r="G251" s="5">
        <v>52645</v>
      </c>
      <c r="H251" s="5">
        <f t="shared" si="11"/>
        <v>2754</v>
      </c>
      <c r="I251" s="37">
        <f t="shared" si="9"/>
        <v>5.2312660271630733</v>
      </c>
      <c r="J251" s="5">
        <f t="shared" si="10"/>
        <v>246</v>
      </c>
    </row>
    <row r="252" spans="1:10">
      <c r="A252" s="5" t="s">
        <v>113</v>
      </c>
      <c r="B252" s="5" t="s">
        <v>397</v>
      </c>
      <c r="C252" s="5" t="s">
        <v>57</v>
      </c>
      <c r="D252" s="5">
        <v>1085</v>
      </c>
      <c r="E252" s="5">
        <v>320</v>
      </c>
      <c r="F252" s="5">
        <v>496</v>
      </c>
      <c r="G252" s="5">
        <v>36528</v>
      </c>
      <c r="H252" s="5">
        <f t="shared" si="11"/>
        <v>1901</v>
      </c>
      <c r="I252" s="37">
        <f t="shared" si="9"/>
        <v>5.2042268944371441</v>
      </c>
      <c r="J252" s="5">
        <f t="shared" si="10"/>
        <v>247</v>
      </c>
    </row>
    <row r="253" spans="1:10">
      <c r="A253" s="5" t="s">
        <v>256</v>
      </c>
      <c r="B253" s="5" t="s">
        <v>24</v>
      </c>
      <c r="C253" s="5" t="s">
        <v>15</v>
      </c>
      <c r="D253" s="5">
        <v>1765</v>
      </c>
      <c r="E253" s="5">
        <v>100</v>
      </c>
      <c r="F253" s="5">
        <v>285</v>
      </c>
      <c r="G253" s="5">
        <v>41313</v>
      </c>
      <c r="H253" s="5">
        <f t="shared" si="11"/>
        <v>2150</v>
      </c>
      <c r="I253" s="37">
        <f t="shared" si="9"/>
        <v>5.2041730205988426</v>
      </c>
      <c r="J253" s="5">
        <f t="shared" si="10"/>
        <v>248</v>
      </c>
    </row>
    <row r="254" spans="1:10">
      <c r="A254" s="5" t="s">
        <v>312</v>
      </c>
      <c r="B254" s="5" t="s">
        <v>24</v>
      </c>
      <c r="C254" s="5" t="s">
        <v>15</v>
      </c>
      <c r="D254" s="5">
        <v>2229</v>
      </c>
      <c r="E254" s="5">
        <v>328</v>
      </c>
      <c r="F254" s="5">
        <v>395</v>
      </c>
      <c r="G254" s="5">
        <v>56921</v>
      </c>
      <c r="H254" s="5">
        <f t="shared" si="11"/>
        <v>2952</v>
      </c>
      <c r="I254" s="37">
        <f t="shared" si="9"/>
        <v>5.1861351697967359</v>
      </c>
      <c r="J254" s="5">
        <f t="shared" si="10"/>
        <v>249</v>
      </c>
    </row>
    <row r="255" spans="1:10">
      <c r="A255" s="5" t="s">
        <v>236</v>
      </c>
      <c r="B255" s="5" t="s">
        <v>14</v>
      </c>
      <c r="C255" s="5" t="s">
        <v>15</v>
      </c>
      <c r="D255" s="5">
        <v>1771</v>
      </c>
      <c r="E255" s="5">
        <v>272</v>
      </c>
      <c r="F255" s="5">
        <v>487</v>
      </c>
      <c r="G255" s="5">
        <v>48810</v>
      </c>
      <c r="H255" s="5">
        <f t="shared" si="11"/>
        <v>2530</v>
      </c>
      <c r="I255" s="37">
        <f t="shared" si="9"/>
        <v>5.1833640647408314</v>
      </c>
      <c r="J255" s="5">
        <f t="shared" si="10"/>
        <v>250</v>
      </c>
    </row>
    <row r="256" spans="1:10">
      <c r="A256" s="5" t="s">
        <v>66</v>
      </c>
      <c r="B256" s="5" t="s">
        <v>24</v>
      </c>
      <c r="C256" s="5" t="s">
        <v>25</v>
      </c>
      <c r="D256" s="5">
        <v>2707</v>
      </c>
      <c r="E256" s="5">
        <v>51</v>
      </c>
      <c r="F256" s="5">
        <v>103</v>
      </c>
      <c r="G256" s="5">
        <v>55302</v>
      </c>
      <c r="H256" s="5">
        <f t="shared" si="11"/>
        <v>2861</v>
      </c>
      <c r="I256" s="37">
        <f t="shared" si="9"/>
        <v>5.1734114498571477</v>
      </c>
      <c r="J256" s="5">
        <f t="shared" si="10"/>
        <v>251</v>
      </c>
    </row>
    <row r="257" spans="1:10">
      <c r="A257" s="5" t="s">
        <v>115</v>
      </c>
      <c r="B257" s="5" t="s">
        <v>24</v>
      </c>
      <c r="C257" s="5" t="s">
        <v>25</v>
      </c>
      <c r="D257" s="5">
        <v>1554</v>
      </c>
      <c r="E257" s="5">
        <v>158</v>
      </c>
      <c r="F257" s="5">
        <v>455</v>
      </c>
      <c r="G257" s="5">
        <v>41947</v>
      </c>
      <c r="H257" s="5">
        <f t="shared" si="11"/>
        <v>2167</v>
      </c>
      <c r="I257" s="37">
        <f t="shared" si="9"/>
        <v>5.1660428636136073</v>
      </c>
      <c r="J257" s="5">
        <f t="shared" si="10"/>
        <v>252</v>
      </c>
    </row>
    <row r="258" spans="1:10">
      <c r="A258" s="5" t="s">
        <v>154</v>
      </c>
      <c r="B258" s="5" t="s">
        <v>24</v>
      </c>
      <c r="C258" s="5" t="s">
        <v>15</v>
      </c>
      <c r="D258" s="5">
        <v>1803</v>
      </c>
      <c r="E258" s="5">
        <v>287</v>
      </c>
      <c r="F258" s="5">
        <v>273</v>
      </c>
      <c r="G258" s="5">
        <v>46176</v>
      </c>
      <c r="H258" s="5">
        <f t="shared" si="11"/>
        <v>2363</v>
      </c>
      <c r="I258" s="37">
        <f t="shared" si="9"/>
        <v>5.1173769923769923</v>
      </c>
      <c r="J258" s="5">
        <f t="shared" si="10"/>
        <v>253</v>
      </c>
    </row>
    <row r="259" spans="1:10">
      <c r="A259" s="5" t="s">
        <v>293</v>
      </c>
      <c r="B259" s="5" t="s">
        <v>397</v>
      </c>
      <c r="C259" s="5" t="s">
        <v>15</v>
      </c>
      <c r="D259" s="5">
        <v>1994</v>
      </c>
      <c r="E259" s="5">
        <v>290</v>
      </c>
      <c r="F259" s="5">
        <v>197</v>
      </c>
      <c r="G259" s="5">
        <v>49500</v>
      </c>
      <c r="H259" s="5">
        <f t="shared" si="11"/>
        <v>2481</v>
      </c>
      <c r="I259" s="37">
        <f t="shared" si="9"/>
        <v>5.0121212121212118</v>
      </c>
      <c r="J259" s="5">
        <f t="shared" si="10"/>
        <v>254</v>
      </c>
    </row>
    <row r="260" spans="1:10">
      <c r="A260" s="5" t="s">
        <v>200</v>
      </c>
      <c r="B260" s="5" t="s">
        <v>397</v>
      </c>
      <c r="C260" s="5" t="s">
        <v>57</v>
      </c>
      <c r="D260" s="5">
        <v>1889</v>
      </c>
      <c r="E260" s="5">
        <v>122</v>
      </c>
      <c r="F260" s="5">
        <v>298</v>
      </c>
      <c r="G260" s="5">
        <v>46225</v>
      </c>
      <c r="H260" s="5">
        <f t="shared" si="11"/>
        <v>2309</v>
      </c>
      <c r="I260" s="37">
        <f t="shared" si="9"/>
        <v>4.9951325040562464</v>
      </c>
      <c r="J260" s="5">
        <f t="shared" si="10"/>
        <v>255</v>
      </c>
    </row>
    <row r="261" spans="1:10">
      <c r="A261" s="5" t="s">
        <v>156</v>
      </c>
      <c r="B261" s="5" t="s">
        <v>14</v>
      </c>
      <c r="C261" s="5" t="s">
        <v>25</v>
      </c>
      <c r="D261" s="5">
        <v>1311</v>
      </c>
      <c r="E261" s="5">
        <v>361</v>
      </c>
      <c r="F261" s="5">
        <v>181</v>
      </c>
      <c r="G261" s="5">
        <v>37148</v>
      </c>
      <c r="H261" s="5">
        <f t="shared" si="11"/>
        <v>1853</v>
      </c>
      <c r="I261" s="37">
        <f t="shared" si="9"/>
        <v>4.9881554861634543</v>
      </c>
      <c r="J261" s="5">
        <f t="shared" si="10"/>
        <v>256</v>
      </c>
    </row>
    <row r="262" spans="1:10">
      <c r="A262" s="5" t="s">
        <v>270</v>
      </c>
      <c r="B262" s="5" t="s">
        <v>397</v>
      </c>
      <c r="C262" s="5" t="s">
        <v>15</v>
      </c>
      <c r="D262" s="5">
        <v>1701</v>
      </c>
      <c r="E262" s="5">
        <v>385</v>
      </c>
      <c r="F262" s="5">
        <v>272</v>
      </c>
      <c r="G262" s="5">
        <v>47496</v>
      </c>
      <c r="H262" s="5">
        <f t="shared" si="11"/>
        <v>2358</v>
      </c>
      <c r="I262" s="37">
        <f t="shared" ref="I262:I305" si="12">(D262+E262+F262)/G262*100</f>
        <v>4.9646286003031834</v>
      </c>
      <c r="J262" s="5">
        <f t="shared" ref="J262:J305" si="13">RANK(I262,I$6:I$305,0)</f>
        <v>257</v>
      </c>
    </row>
    <row r="263" spans="1:10">
      <c r="A263" s="5" t="s">
        <v>281</v>
      </c>
      <c r="B263" s="5" t="s">
        <v>24</v>
      </c>
      <c r="C263" s="5" t="s">
        <v>15</v>
      </c>
      <c r="D263" s="5">
        <v>2145</v>
      </c>
      <c r="E263" s="5">
        <v>85</v>
      </c>
      <c r="F263" s="5">
        <v>340</v>
      </c>
      <c r="G263" s="5">
        <v>53323</v>
      </c>
      <c r="H263" s="5">
        <f t="shared" ref="H263:H305" si="14">SUM(D263+E263+F263)</f>
        <v>2570</v>
      </c>
      <c r="I263" s="37">
        <f t="shared" si="12"/>
        <v>4.8196838137389122</v>
      </c>
      <c r="J263" s="5">
        <f t="shared" si="13"/>
        <v>258</v>
      </c>
    </row>
    <row r="264" spans="1:10">
      <c r="A264" s="5" t="s">
        <v>95</v>
      </c>
      <c r="B264" s="5" t="s">
        <v>24</v>
      </c>
      <c r="C264" s="5" t="s">
        <v>15</v>
      </c>
      <c r="D264" s="5">
        <v>1828</v>
      </c>
      <c r="E264" s="5">
        <v>214</v>
      </c>
      <c r="F264" s="5">
        <v>450</v>
      </c>
      <c r="G264" s="5">
        <v>52115</v>
      </c>
      <c r="H264" s="5">
        <f t="shared" si="14"/>
        <v>2492</v>
      </c>
      <c r="I264" s="37">
        <f t="shared" si="12"/>
        <v>4.7817327065144388</v>
      </c>
      <c r="J264" s="5">
        <f t="shared" si="13"/>
        <v>259</v>
      </c>
    </row>
    <row r="265" spans="1:10">
      <c r="A265" s="5" t="s">
        <v>173</v>
      </c>
      <c r="B265" s="5" t="s">
        <v>397</v>
      </c>
      <c r="C265" s="5" t="s">
        <v>15</v>
      </c>
      <c r="D265" s="5">
        <v>1976</v>
      </c>
      <c r="E265" s="5">
        <v>218</v>
      </c>
      <c r="F265" s="5">
        <v>262</v>
      </c>
      <c r="G265" s="5">
        <v>51696</v>
      </c>
      <c r="H265" s="5">
        <f t="shared" si="14"/>
        <v>2456</v>
      </c>
      <c r="I265" s="37">
        <f t="shared" si="12"/>
        <v>4.7508511296812133</v>
      </c>
      <c r="J265" s="5">
        <f t="shared" si="13"/>
        <v>260</v>
      </c>
    </row>
    <row r="266" spans="1:10">
      <c r="A266" s="5" t="s">
        <v>53</v>
      </c>
      <c r="B266" s="5" t="s">
        <v>24</v>
      </c>
      <c r="C266" s="5" t="s">
        <v>15</v>
      </c>
      <c r="D266" s="5">
        <v>1514</v>
      </c>
      <c r="E266" s="5">
        <v>275</v>
      </c>
      <c r="F266" s="5">
        <v>164</v>
      </c>
      <c r="G266" s="5">
        <v>41364</v>
      </c>
      <c r="H266" s="5">
        <f t="shared" si="14"/>
        <v>1953</v>
      </c>
      <c r="I266" s="37">
        <f t="shared" si="12"/>
        <v>4.7214969538729328</v>
      </c>
      <c r="J266" s="5">
        <f t="shared" si="13"/>
        <v>261</v>
      </c>
    </row>
    <row r="267" spans="1:10">
      <c r="A267" s="5" t="s">
        <v>160</v>
      </c>
      <c r="B267" s="5" t="s">
        <v>14</v>
      </c>
      <c r="C267" s="5" t="s">
        <v>15</v>
      </c>
      <c r="D267" s="5">
        <v>2266</v>
      </c>
      <c r="E267" s="5">
        <v>140</v>
      </c>
      <c r="F267" s="5">
        <v>126</v>
      </c>
      <c r="G267" s="5">
        <v>53759</v>
      </c>
      <c r="H267" s="5">
        <f t="shared" si="14"/>
        <v>2532</v>
      </c>
      <c r="I267" s="37">
        <f t="shared" si="12"/>
        <v>4.7099090384865789</v>
      </c>
      <c r="J267" s="5">
        <f t="shared" si="13"/>
        <v>262</v>
      </c>
    </row>
    <row r="268" spans="1:10">
      <c r="A268" s="5" t="s">
        <v>109</v>
      </c>
      <c r="B268" s="5" t="s">
        <v>24</v>
      </c>
      <c r="C268" s="5" t="s">
        <v>25</v>
      </c>
      <c r="D268" s="5">
        <v>1316</v>
      </c>
      <c r="E268" s="5">
        <v>286</v>
      </c>
      <c r="F268" s="5">
        <v>472</v>
      </c>
      <c r="G268" s="5">
        <v>44692</v>
      </c>
      <c r="H268" s="5">
        <f t="shared" si="14"/>
        <v>2074</v>
      </c>
      <c r="I268" s="37">
        <f t="shared" si="12"/>
        <v>4.6406515707509168</v>
      </c>
      <c r="J268" s="5">
        <f t="shared" si="13"/>
        <v>263</v>
      </c>
    </row>
    <row r="269" spans="1:10">
      <c r="A269" s="5" t="s">
        <v>259</v>
      </c>
      <c r="B269" s="5" t="s">
        <v>24</v>
      </c>
      <c r="C269" s="5" t="s">
        <v>15</v>
      </c>
      <c r="D269" s="5">
        <v>1519</v>
      </c>
      <c r="E269" s="5">
        <v>379</v>
      </c>
      <c r="F269" s="5">
        <v>456</v>
      </c>
      <c r="G269" s="5">
        <v>51611</v>
      </c>
      <c r="H269" s="5">
        <f t="shared" si="14"/>
        <v>2354</v>
      </c>
      <c r="I269" s="37">
        <f t="shared" si="12"/>
        <v>4.5610431884675746</v>
      </c>
      <c r="J269" s="5">
        <f t="shared" si="13"/>
        <v>264</v>
      </c>
    </row>
    <row r="270" spans="1:10">
      <c r="A270" s="5" t="s">
        <v>240</v>
      </c>
      <c r="B270" s="5" t="s">
        <v>24</v>
      </c>
      <c r="C270" s="5" t="s">
        <v>15</v>
      </c>
      <c r="D270" s="5">
        <v>2033</v>
      </c>
      <c r="E270" s="5">
        <v>94</v>
      </c>
      <c r="F270" s="5">
        <v>420</v>
      </c>
      <c r="G270" s="5">
        <v>56290</v>
      </c>
      <c r="H270" s="5">
        <f t="shared" si="14"/>
        <v>2547</v>
      </c>
      <c r="I270" s="37">
        <f t="shared" si="12"/>
        <v>4.5247823769763729</v>
      </c>
      <c r="J270" s="5">
        <f t="shared" si="13"/>
        <v>265</v>
      </c>
    </row>
    <row r="271" spans="1:10">
      <c r="A271" s="5" t="s">
        <v>333</v>
      </c>
      <c r="B271" s="5" t="s">
        <v>397</v>
      </c>
      <c r="C271" s="5" t="s">
        <v>57</v>
      </c>
      <c r="D271" s="5">
        <v>1265</v>
      </c>
      <c r="E271" s="5">
        <v>364</v>
      </c>
      <c r="F271" s="5">
        <v>230</v>
      </c>
      <c r="G271" s="5">
        <v>41312</v>
      </c>
      <c r="H271" s="5">
        <f t="shared" si="14"/>
        <v>1859</v>
      </c>
      <c r="I271" s="37">
        <f t="shared" si="12"/>
        <v>4.4999031758326877</v>
      </c>
      <c r="J271" s="5">
        <f t="shared" si="13"/>
        <v>266</v>
      </c>
    </row>
    <row r="272" spans="1:10">
      <c r="A272" s="5" t="s">
        <v>126</v>
      </c>
      <c r="B272" s="5" t="s">
        <v>24</v>
      </c>
      <c r="C272" s="5" t="s">
        <v>25</v>
      </c>
      <c r="D272" s="5">
        <v>1371</v>
      </c>
      <c r="E272" s="5">
        <v>96</v>
      </c>
      <c r="F272" s="5">
        <v>139</v>
      </c>
      <c r="G272" s="5">
        <v>36140</v>
      </c>
      <c r="H272" s="5">
        <f t="shared" si="14"/>
        <v>1606</v>
      </c>
      <c r="I272" s="37">
        <f t="shared" si="12"/>
        <v>4.4438295517432209</v>
      </c>
      <c r="J272" s="5">
        <f t="shared" si="13"/>
        <v>267</v>
      </c>
    </row>
    <row r="273" spans="1:10">
      <c r="A273" s="5" t="s">
        <v>74</v>
      </c>
      <c r="B273" s="5" t="s">
        <v>14</v>
      </c>
      <c r="C273" s="5" t="s">
        <v>15</v>
      </c>
      <c r="D273" s="5">
        <v>1015</v>
      </c>
      <c r="E273" s="5">
        <v>308</v>
      </c>
      <c r="F273" s="5">
        <v>366</v>
      </c>
      <c r="G273" s="5">
        <v>38127</v>
      </c>
      <c r="H273" s="5">
        <f t="shared" si="14"/>
        <v>1689</v>
      </c>
      <c r="I273" s="37">
        <f t="shared" si="12"/>
        <v>4.4299315445747114</v>
      </c>
      <c r="J273" s="5">
        <f t="shared" si="13"/>
        <v>268</v>
      </c>
    </row>
    <row r="274" spans="1:10">
      <c r="A274" s="5" t="s">
        <v>291</v>
      </c>
      <c r="B274" s="5" t="s">
        <v>24</v>
      </c>
      <c r="C274" s="5" t="s">
        <v>15</v>
      </c>
      <c r="D274" s="5">
        <v>1848</v>
      </c>
      <c r="E274" s="5">
        <v>294</v>
      </c>
      <c r="F274" s="5">
        <v>417</v>
      </c>
      <c r="G274" s="5">
        <v>57819</v>
      </c>
      <c r="H274" s="5">
        <f t="shared" si="14"/>
        <v>2559</v>
      </c>
      <c r="I274" s="37">
        <f t="shared" si="12"/>
        <v>4.4258807658382189</v>
      </c>
      <c r="J274" s="5">
        <f t="shared" si="13"/>
        <v>269</v>
      </c>
    </row>
    <row r="275" spans="1:10">
      <c r="A275" s="5" t="s">
        <v>102</v>
      </c>
      <c r="B275" s="5" t="s">
        <v>24</v>
      </c>
      <c r="C275" s="5" t="s">
        <v>25</v>
      </c>
      <c r="D275" s="5">
        <v>1959</v>
      </c>
      <c r="E275" s="5">
        <v>82</v>
      </c>
      <c r="F275" s="5">
        <v>316</v>
      </c>
      <c r="G275" s="5">
        <v>54036</v>
      </c>
      <c r="H275" s="5">
        <f t="shared" si="14"/>
        <v>2357</v>
      </c>
      <c r="I275" s="37">
        <f t="shared" si="12"/>
        <v>4.3619068768968834</v>
      </c>
      <c r="J275" s="5">
        <f t="shared" si="13"/>
        <v>270</v>
      </c>
    </row>
    <row r="276" spans="1:10">
      <c r="A276" s="5" t="s">
        <v>61</v>
      </c>
      <c r="B276" s="5" t="s">
        <v>14</v>
      </c>
      <c r="C276" s="5" t="s">
        <v>25</v>
      </c>
      <c r="D276" s="5">
        <v>1678</v>
      </c>
      <c r="E276" s="5">
        <v>323</v>
      </c>
      <c r="F276" s="5">
        <v>423</v>
      </c>
      <c r="G276" s="5">
        <v>55668</v>
      </c>
      <c r="H276" s="5">
        <f t="shared" si="14"/>
        <v>2424</v>
      </c>
      <c r="I276" s="37">
        <f t="shared" si="12"/>
        <v>4.3543867212761374</v>
      </c>
      <c r="J276" s="5">
        <f t="shared" si="13"/>
        <v>271</v>
      </c>
    </row>
    <row r="277" spans="1:10">
      <c r="A277" s="5" t="s">
        <v>221</v>
      </c>
      <c r="B277" s="5" t="s">
        <v>24</v>
      </c>
      <c r="C277" s="5" t="s">
        <v>15</v>
      </c>
      <c r="D277" s="5">
        <v>2191</v>
      </c>
      <c r="E277" s="5">
        <v>83</v>
      </c>
      <c r="F277" s="5">
        <v>288</v>
      </c>
      <c r="G277" s="5">
        <v>59606</v>
      </c>
      <c r="H277" s="5">
        <f t="shared" si="14"/>
        <v>2562</v>
      </c>
      <c r="I277" s="37">
        <f t="shared" si="12"/>
        <v>4.2982250109049422</v>
      </c>
      <c r="J277" s="5">
        <f t="shared" si="13"/>
        <v>272</v>
      </c>
    </row>
    <row r="278" spans="1:10">
      <c r="A278" s="5" t="s">
        <v>158</v>
      </c>
      <c r="B278" s="5" t="s">
        <v>24</v>
      </c>
      <c r="C278" s="5" t="s">
        <v>25</v>
      </c>
      <c r="D278" s="5">
        <v>2023</v>
      </c>
      <c r="E278" s="5">
        <v>99</v>
      </c>
      <c r="F278" s="5">
        <v>124</v>
      </c>
      <c r="G278" s="5">
        <v>54524</v>
      </c>
      <c r="H278" s="5">
        <f t="shared" si="14"/>
        <v>2246</v>
      </c>
      <c r="I278" s="37">
        <f t="shared" si="12"/>
        <v>4.119286919521679</v>
      </c>
      <c r="J278" s="5">
        <f t="shared" si="13"/>
        <v>273</v>
      </c>
    </row>
    <row r="279" spans="1:10">
      <c r="A279" s="5" t="s">
        <v>114</v>
      </c>
      <c r="B279" s="5" t="s">
        <v>24</v>
      </c>
      <c r="C279" s="5" t="s">
        <v>25</v>
      </c>
      <c r="D279" s="5">
        <v>1763</v>
      </c>
      <c r="E279" s="5">
        <v>187</v>
      </c>
      <c r="F279" s="5">
        <v>206</v>
      </c>
      <c r="G279" s="5">
        <v>53342</v>
      </c>
      <c r="H279" s="5">
        <f t="shared" si="14"/>
        <v>2156</v>
      </c>
      <c r="I279" s="37">
        <f t="shared" si="12"/>
        <v>4.0418432004799225</v>
      </c>
      <c r="J279" s="5">
        <f t="shared" si="13"/>
        <v>274</v>
      </c>
    </row>
    <row r="280" spans="1:10">
      <c r="A280" s="5" t="s">
        <v>252</v>
      </c>
      <c r="B280" s="5" t="s">
        <v>24</v>
      </c>
      <c r="C280" s="5" t="s">
        <v>25</v>
      </c>
      <c r="D280" s="5">
        <v>1433</v>
      </c>
      <c r="E280" s="5">
        <v>305</v>
      </c>
      <c r="F280" s="5">
        <v>452</v>
      </c>
      <c r="G280" s="5">
        <v>54541</v>
      </c>
      <c r="H280" s="5">
        <f t="shared" si="14"/>
        <v>2190</v>
      </c>
      <c r="I280" s="37">
        <f t="shared" si="12"/>
        <v>4.0153279184466735</v>
      </c>
      <c r="J280" s="5">
        <f t="shared" si="13"/>
        <v>275</v>
      </c>
    </row>
    <row r="281" spans="1:10">
      <c r="A281" s="5" t="s">
        <v>84</v>
      </c>
      <c r="B281" s="5" t="s">
        <v>14</v>
      </c>
      <c r="C281" s="5" t="s">
        <v>15</v>
      </c>
      <c r="D281" s="5">
        <v>1452</v>
      </c>
      <c r="E281" s="5">
        <v>326</v>
      </c>
      <c r="F281" s="5">
        <v>281</v>
      </c>
      <c r="G281" s="5">
        <v>51556</v>
      </c>
      <c r="H281" s="5">
        <f t="shared" si="14"/>
        <v>2059</v>
      </c>
      <c r="I281" s="37">
        <f t="shared" si="12"/>
        <v>3.9937155714174879</v>
      </c>
      <c r="J281" s="5">
        <f t="shared" si="13"/>
        <v>276</v>
      </c>
    </row>
    <row r="282" spans="1:10">
      <c r="A282" s="5" t="s">
        <v>79</v>
      </c>
      <c r="B282" s="5" t="s">
        <v>14</v>
      </c>
      <c r="C282" s="5" t="s">
        <v>15</v>
      </c>
      <c r="D282" s="5">
        <v>1341</v>
      </c>
      <c r="E282" s="5">
        <v>238</v>
      </c>
      <c r="F282" s="5">
        <v>472</v>
      </c>
      <c r="G282" s="5">
        <v>51386</v>
      </c>
      <c r="H282" s="5">
        <f t="shared" si="14"/>
        <v>2051</v>
      </c>
      <c r="I282" s="37">
        <f t="shared" si="12"/>
        <v>3.9913595142645857</v>
      </c>
      <c r="J282" s="5">
        <f t="shared" si="13"/>
        <v>277</v>
      </c>
    </row>
    <row r="283" spans="1:10">
      <c r="A283" s="5" t="s">
        <v>153</v>
      </c>
      <c r="B283" s="5" t="s">
        <v>14</v>
      </c>
      <c r="C283" s="5" t="s">
        <v>15</v>
      </c>
      <c r="D283" s="5">
        <v>1616</v>
      </c>
      <c r="E283" s="5">
        <v>180</v>
      </c>
      <c r="F283" s="5">
        <v>360</v>
      </c>
      <c r="G283" s="5">
        <v>54342</v>
      </c>
      <c r="H283" s="5">
        <f t="shared" si="14"/>
        <v>2156</v>
      </c>
      <c r="I283" s="37">
        <f t="shared" si="12"/>
        <v>3.967465312281476</v>
      </c>
      <c r="J283" s="5">
        <f t="shared" si="13"/>
        <v>278</v>
      </c>
    </row>
    <row r="284" spans="1:10">
      <c r="A284" s="5" t="s">
        <v>248</v>
      </c>
      <c r="B284" s="5" t="s">
        <v>24</v>
      </c>
      <c r="C284" s="5" t="s">
        <v>15</v>
      </c>
      <c r="D284" s="5">
        <v>1403</v>
      </c>
      <c r="E284" s="5">
        <v>344</v>
      </c>
      <c r="F284" s="5">
        <v>385</v>
      </c>
      <c r="G284" s="5">
        <v>54223</v>
      </c>
      <c r="H284" s="5">
        <f t="shared" si="14"/>
        <v>2132</v>
      </c>
      <c r="I284" s="37">
        <f t="shared" si="12"/>
        <v>3.9319108127547353</v>
      </c>
      <c r="J284" s="5">
        <f t="shared" si="13"/>
        <v>279</v>
      </c>
    </row>
    <row r="285" spans="1:10">
      <c r="A285" s="5" t="s">
        <v>78</v>
      </c>
      <c r="B285" s="5" t="s">
        <v>14</v>
      </c>
      <c r="C285" s="5" t="s">
        <v>25</v>
      </c>
      <c r="D285" s="5">
        <v>1230</v>
      </c>
      <c r="E285" s="5">
        <v>207</v>
      </c>
      <c r="F285" s="5">
        <v>309</v>
      </c>
      <c r="G285" s="5">
        <v>44629</v>
      </c>
      <c r="H285" s="5">
        <f t="shared" si="14"/>
        <v>1746</v>
      </c>
      <c r="I285" s="37">
        <f t="shared" si="12"/>
        <v>3.9122543637545095</v>
      </c>
      <c r="J285" s="5">
        <f t="shared" si="13"/>
        <v>280</v>
      </c>
    </row>
    <row r="286" spans="1:10">
      <c r="A286" s="5" t="s">
        <v>196</v>
      </c>
      <c r="B286" s="5" t="s">
        <v>397</v>
      </c>
      <c r="C286" s="5" t="s">
        <v>57</v>
      </c>
      <c r="D286" s="5">
        <v>1437</v>
      </c>
      <c r="E286" s="5">
        <v>129</v>
      </c>
      <c r="F286" s="5">
        <v>494</v>
      </c>
      <c r="G286" s="5">
        <v>53048</v>
      </c>
      <c r="H286" s="5">
        <f t="shared" si="14"/>
        <v>2060</v>
      </c>
      <c r="I286" s="37">
        <f t="shared" si="12"/>
        <v>3.8832755240536874</v>
      </c>
      <c r="J286" s="5">
        <f t="shared" si="13"/>
        <v>281</v>
      </c>
    </row>
    <row r="287" spans="1:10">
      <c r="A287" s="5" t="s">
        <v>103</v>
      </c>
      <c r="B287" s="5" t="s">
        <v>24</v>
      </c>
      <c r="C287" s="5" t="s">
        <v>15</v>
      </c>
      <c r="D287" s="5">
        <v>1035</v>
      </c>
      <c r="E287" s="5">
        <v>184</v>
      </c>
      <c r="F287" s="5">
        <v>137</v>
      </c>
      <c r="G287" s="5">
        <v>37302</v>
      </c>
      <c r="H287" s="5">
        <f t="shared" si="14"/>
        <v>1356</v>
      </c>
      <c r="I287" s="37">
        <f t="shared" si="12"/>
        <v>3.6351938233874859</v>
      </c>
      <c r="J287" s="5">
        <f t="shared" si="13"/>
        <v>282</v>
      </c>
    </row>
    <row r="288" spans="1:10">
      <c r="A288" s="5" t="s">
        <v>162</v>
      </c>
      <c r="B288" s="5" t="s">
        <v>24</v>
      </c>
      <c r="C288" s="5" t="s">
        <v>25</v>
      </c>
      <c r="D288" s="5">
        <v>1022</v>
      </c>
      <c r="E288" s="5">
        <v>360</v>
      </c>
      <c r="F288" s="5">
        <v>463</v>
      </c>
      <c r="G288" s="5">
        <v>51468</v>
      </c>
      <c r="H288" s="5">
        <f t="shared" si="14"/>
        <v>1845</v>
      </c>
      <c r="I288" s="37">
        <f t="shared" si="12"/>
        <v>3.5847516903707159</v>
      </c>
      <c r="J288" s="5">
        <f t="shared" si="13"/>
        <v>283</v>
      </c>
    </row>
    <row r="289" spans="1:10">
      <c r="A289" s="5" t="s">
        <v>105</v>
      </c>
      <c r="B289" s="5" t="s">
        <v>397</v>
      </c>
      <c r="C289" s="5" t="s">
        <v>15</v>
      </c>
      <c r="D289" s="5">
        <v>1488</v>
      </c>
      <c r="E289" s="5">
        <v>110</v>
      </c>
      <c r="F289" s="5">
        <v>327</v>
      </c>
      <c r="G289" s="5">
        <v>53805</v>
      </c>
      <c r="H289" s="5">
        <f t="shared" si="14"/>
        <v>1925</v>
      </c>
      <c r="I289" s="37">
        <f t="shared" si="12"/>
        <v>3.5777344113000655</v>
      </c>
      <c r="J289" s="5">
        <f t="shared" si="13"/>
        <v>285</v>
      </c>
    </row>
    <row r="290" spans="1:10">
      <c r="A290" s="5" t="s">
        <v>237</v>
      </c>
      <c r="B290" s="5" t="s">
        <v>397</v>
      </c>
      <c r="C290" s="5" t="s">
        <v>15</v>
      </c>
      <c r="D290" s="5">
        <v>1424</v>
      </c>
      <c r="E290" s="5">
        <v>312</v>
      </c>
      <c r="F290" s="5">
        <v>396</v>
      </c>
      <c r="G290" s="5">
        <v>59517</v>
      </c>
      <c r="H290" s="5">
        <f t="shared" si="14"/>
        <v>2132</v>
      </c>
      <c r="I290" s="37">
        <f t="shared" si="12"/>
        <v>3.5821698002251456</v>
      </c>
      <c r="J290" s="5">
        <f t="shared" si="13"/>
        <v>284</v>
      </c>
    </row>
    <row r="291" spans="1:10">
      <c r="A291" s="5" t="s">
        <v>204</v>
      </c>
      <c r="B291" s="5" t="s">
        <v>14</v>
      </c>
      <c r="C291" s="5" t="s">
        <v>25</v>
      </c>
      <c r="D291" s="5">
        <v>1342</v>
      </c>
      <c r="E291" s="5">
        <v>163</v>
      </c>
      <c r="F291" s="5">
        <v>332</v>
      </c>
      <c r="G291" s="5">
        <v>51712</v>
      </c>
      <c r="H291" s="5">
        <f t="shared" si="14"/>
        <v>1837</v>
      </c>
      <c r="I291" s="37">
        <f t="shared" si="12"/>
        <v>3.5523669554455446</v>
      </c>
      <c r="J291" s="5">
        <f t="shared" si="13"/>
        <v>286</v>
      </c>
    </row>
    <row r="292" spans="1:10">
      <c r="A292" s="5" t="s">
        <v>238</v>
      </c>
      <c r="B292" s="5" t="s">
        <v>24</v>
      </c>
      <c r="C292" s="5" t="s">
        <v>25</v>
      </c>
      <c r="D292" s="5">
        <v>1079</v>
      </c>
      <c r="E292" s="5">
        <v>190</v>
      </c>
      <c r="F292" s="5">
        <v>265</v>
      </c>
      <c r="G292" s="5">
        <v>43786</v>
      </c>
      <c r="H292" s="5">
        <f t="shared" si="14"/>
        <v>1534</v>
      </c>
      <c r="I292" s="37">
        <f t="shared" si="12"/>
        <v>3.5034029141734799</v>
      </c>
      <c r="J292" s="5">
        <f t="shared" si="13"/>
        <v>287</v>
      </c>
    </row>
    <row r="293" spans="1:10">
      <c r="A293" s="5" t="s">
        <v>157</v>
      </c>
      <c r="B293" s="5" t="s">
        <v>14</v>
      </c>
      <c r="C293" s="5" t="s">
        <v>25</v>
      </c>
      <c r="D293" s="5">
        <v>1516</v>
      </c>
      <c r="E293" s="5">
        <v>332</v>
      </c>
      <c r="F293" s="5">
        <v>215</v>
      </c>
      <c r="G293" s="5">
        <v>58981</v>
      </c>
      <c r="H293" s="5">
        <f t="shared" si="14"/>
        <v>2063</v>
      </c>
      <c r="I293" s="37">
        <f t="shared" si="12"/>
        <v>3.4977365592309386</v>
      </c>
      <c r="J293" s="5">
        <f t="shared" si="13"/>
        <v>288</v>
      </c>
    </row>
    <row r="294" spans="1:10">
      <c r="A294" s="5" t="s">
        <v>167</v>
      </c>
      <c r="B294" s="5" t="s">
        <v>24</v>
      </c>
      <c r="C294" s="5" t="s">
        <v>15</v>
      </c>
      <c r="D294" s="5">
        <v>1456</v>
      </c>
      <c r="E294" s="5">
        <v>137</v>
      </c>
      <c r="F294" s="5">
        <v>265</v>
      </c>
      <c r="G294" s="5">
        <v>53485</v>
      </c>
      <c r="H294" s="5">
        <f t="shared" si="14"/>
        <v>1858</v>
      </c>
      <c r="I294" s="37">
        <f t="shared" si="12"/>
        <v>3.4738711788351875</v>
      </c>
      <c r="J294" s="5">
        <f t="shared" si="13"/>
        <v>289</v>
      </c>
    </row>
    <row r="295" spans="1:10">
      <c r="A295" s="5" t="s">
        <v>325</v>
      </c>
      <c r="B295" s="5" t="s">
        <v>397</v>
      </c>
      <c r="C295" s="5" t="s">
        <v>15</v>
      </c>
      <c r="D295" s="5">
        <v>1334</v>
      </c>
      <c r="E295" s="5">
        <v>257</v>
      </c>
      <c r="F295" s="5">
        <v>357</v>
      </c>
      <c r="G295" s="5">
        <v>56910</v>
      </c>
      <c r="H295" s="5">
        <f t="shared" si="14"/>
        <v>1948</v>
      </c>
      <c r="I295" s="37">
        <f t="shared" si="12"/>
        <v>3.4229485151994381</v>
      </c>
      <c r="J295" s="5">
        <f t="shared" si="13"/>
        <v>290</v>
      </c>
    </row>
    <row r="296" spans="1:10">
      <c r="A296" s="5" t="s">
        <v>250</v>
      </c>
      <c r="B296" s="5" t="s">
        <v>24</v>
      </c>
      <c r="C296" s="5" t="s">
        <v>25</v>
      </c>
      <c r="D296" s="5">
        <v>1010</v>
      </c>
      <c r="E296" s="5">
        <v>240</v>
      </c>
      <c r="F296" s="5">
        <v>361</v>
      </c>
      <c r="G296" s="5">
        <v>47229</v>
      </c>
      <c r="H296" s="5">
        <f t="shared" si="14"/>
        <v>1611</v>
      </c>
      <c r="I296" s="37">
        <f t="shared" si="12"/>
        <v>3.4110398272247981</v>
      </c>
      <c r="J296" s="5">
        <f t="shared" si="13"/>
        <v>291</v>
      </c>
    </row>
    <row r="297" spans="1:10">
      <c r="A297" s="5" t="s">
        <v>298</v>
      </c>
      <c r="B297" s="5" t="s">
        <v>397</v>
      </c>
      <c r="C297" s="5" t="s">
        <v>57</v>
      </c>
      <c r="D297" s="5">
        <v>1453</v>
      </c>
      <c r="E297" s="5">
        <v>178</v>
      </c>
      <c r="F297" s="5">
        <v>156</v>
      </c>
      <c r="G297" s="5">
        <v>52980</v>
      </c>
      <c r="H297" s="5">
        <f t="shared" si="14"/>
        <v>1787</v>
      </c>
      <c r="I297" s="37">
        <f t="shared" si="12"/>
        <v>3.3729709324273314</v>
      </c>
      <c r="J297" s="5">
        <f t="shared" si="13"/>
        <v>292</v>
      </c>
    </row>
    <row r="298" spans="1:10">
      <c r="A298" s="5" t="s">
        <v>310</v>
      </c>
      <c r="B298" s="5" t="s">
        <v>24</v>
      </c>
      <c r="C298" s="5" t="s">
        <v>25</v>
      </c>
      <c r="D298" s="5">
        <v>1409</v>
      </c>
      <c r="E298" s="5">
        <v>105</v>
      </c>
      <c r="F298" s="5">
        <v>466</v>
      </c>
      <c r="G298" s="5">
        <v>58923</v>
      </c>
      <c r="H298" s="5">
        <f t="shared" si="14"/>
        <v>1980</v>
      </c>
      <c r="I298" s="37">
        <f t="shared" si="12"/>
        <v>3.3603177027646249</v>
      </c>
      <c r="J298" s="5">
        <f t="shared" si="13"/>
        <v>293</v>
      </c>
    </row>
    <row r="299" spans="1:10">
      <c r="A299" s="5" t="s">
        <v>334</v>
      </c>
      <c r="B299" s="5" t="s">
        <v>14</v>
      </c>
      <c r="C299" s="5" t="s">
        <v>15</v>
      </c>
      <c r="D299" s="5">
        <v>1436</v>
      </c>
      <c r="E299" s="5">
        <v>229</v>
      </c>
      <c r="F299" s="5">
        <v>219</v>
      </c>
      <c r="G299" s="5">
        <v>58488</v>
      </c>
      <c r="H299" s="5">
        <f t="shared" si="14"/>
        <v>1884</v>
      </c>
      <c r="I299" s="37">
        <f t="shared" si="12"/>
        <v>3.2211735740664751</v>
      </c>
      <c r="J299" s="5">
        <f t="shared" si="13"/>
        <v>294</v>
      </c>
    </row>
    <row r="300" spans="1:10">
      <c r="A300" s="5" t="s">
        <v>268</v>
      </c>
      <c r="B300" s="5" t="s">
        <v>397</v>
      </c>
      <c r="C300" s="5" t="s">
        <v>57</v>
      </c>
      <c r="D300" s="5">
        <v>1060</v>
      </c>
      <c r="E300" s="5">
        <v>319</v>
      </c>
      <c r="F300" s="5">
        <v>442</v>
      </c>
      <c r="G300" s="5">
        <v>57194</v>
      </c>
      <c r="H300" s="5">
        <f t="shared" si="14"/>
        <v>1821</v>
      </c>
      <c r="I300" s="37">
        <f t="shared" si="12"/>
        <v>3.1839004091338254</v>
      </c>
      <c r="J300" s="5">
        <f t="shared" si="13"/>
        <v>295</v>
      </c>
    </row>
    <row r="301" spans="1:10">
      <c r="A301" s="5" t="s">
        <v>251</v>
      </c>
      <c r="B301" s="5" t="s">
        <v>24</v>
      </c>
      <c r="C301" s="5" t="s">
        <v>25</v>
      </c>
      <c r="D301" s="5">
        <v>1295</v>
      </c>
      <c r="E301" s="5">
        <v>81</v>
      </c>
      <c r="F301" s="5">
        <v>153</v>
      </c>
      <c r="G301" s="5">
        <v>48350</v>
      </c>
      <c r="H301" s="5">
        <f t="shared" si="14"/>
        <v>1529</v>
      </c>
      <c r="I301" s="37">
        <f t="shared" si="12"/>
        <v>3.1623578076525334</v>
      </c>
      <c r="J301" s="5">
        <f t="shared" si="13"/>
        <v>296</v>
      </c>
    </row>
    <row r="302" spans="1:10">
      <c r="A302" s="5" t="s">
        <v>263</v>
      </c>
      <c r="B302" s="5" t="s">
        <v>24</v>
      </c>
      <c r="C302" s="5" t="s">
        <v>15</v>
      </c>
      <c r="D302" s="5">
        <v>1224</v>
      </c>
      <c r="E302" s="5">
        <v>199</v>
      </c>
      <c r="F302" s="5">
        <v>168</v>
      </c>
      <c r="G302" s="5">
        <v>54232</v>
      </c>
      <c r="H302" s="5">
        <f t="shared" si="14"/>
        <v>1591</v>
      </c>
      <c r="I302" s="37">
        <f t="shared" si="12"/>
        <v>2.9336922849977873</v>
      </c>
      <c r="J302" s="5">
        <f t="shared" si="13"/>
        <v>297</v>
      </c>
    </row>
    <row r="303" spans="1:10">
      <c r="A303" s="5" t="s">
        <v>170</v>
      </c>
      <c r="B303" s="5" t="s">
        <v>397</v>
      </c>
      <c r="C303" s="5" t="s">
        <v>15</v>
      </c>
      <c r="D303" s="5">
        <v>1261</v>
      </c>
      <c r="E303" s="5">
        <v>233</v>
      </c>
      <c r="F303" s="5">
        <v>190</v>
      </c>
      <c r="G303" s="5">
        <v>59888</v>
      </c>
      <c r="H303" s="5">
        <f t="shared" si="14"/>
        <v>1684</v>
      </c>
      <c r="I303" s="37">
        <f t="shared" si="12"/>
        <v>2.8119155757413838</v>
      </c>
      <c r="J303" s="5">
        <f t="shared" si="13"/>
        <v>298</v>
      </c>
    </row>
    <row r="304" spans="1:10">
      <c r="A304" s="5" t="s">
        <v>178</v>
      </c>
      <c r="B304" s="5" t="s">
        <v>24</v>
      </c>
      <c r="C304" s="5" t="s">
        <v>25</v>
      </c>
      <c r="D304" s="5">
        <v>1131</v>
      </c>
      <c r="E304" s="5">
        <v>116</v>
      </c>
      <c r="F304" s="5">
        <v>100</v>
      </c>
      <c r="G304" s="5">
        <v>48437</v>
      </c>
      <c r="H304" s="5">
        <f t="shared" si="14"/>
        <v>1347</v>
      </c>
      <c r="I304" s="37">
        <f t="shared" si="12"/>
        <v>2.7809319322005903</v>
      </c>
      <c r="J304" s="5">
        <f t="shared" si="13"/>
        <v>299</v>
      </c>
    </row>
    <row r="305" spans="1:10">
      <c r="A305" s="5" t="s">
        <v>99</v>
      </c>
      <c r="B305" s="5" t="s">
        <v>397</v>
      </c>
      <c r="C305" s="5" t="s">
        <v>15</v>
      </c>
      <c r="D305" s="5">
        <v>1105</v>
      </c>
      <c r="E305" s="5">
        <v>55</v>
      </c>
      <c r="F305" s="5">
        <v>181</v>
      </c>
      <c r="G305" s="5">
        <v>53581</v>
      </c>
      <c r="H305" s="5">
        <f t="shared" si="14"/>
        <v>1341</v>
      </c>
      <c r="I305" s="37">
        <f t="shared" si="12"/>
        <v>2.5027528414923199</v>
      </c>
      <c r="J305" s="5">
        <f t="shared" si="13"/>
        <v>300</v>
      </c>
    </row>
  </sheetData>
  <mergeCells count="2">
    <mergeCell ref="A1:J1"/>
    <mergeCell ref="A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7212-DD6A-49F3-907D-317A081F1817}">
  <dimension ref="A1:I13"/>
  <sheetViews>
    <sheetView workbookViewId="0">
      <selection activeCell="H4" sqref="H4"/>
    </sheetView>
  </sheetViews>
  <sheetFormatPr defaultRowHeight="14.4"/>
  <sheetData>
    <row r="1" spans="1:9">
      <c r="C1" s="188" t="s">
        <v>405</v>
      </c>
      <c r="D1" s="188"/>
      <c r="E1" s="188"/>
      <c r="F1" s="188"/>
      <c r="G1" s="188"/>
    </row>
    <row r="3" spans="1:9" ht="43.2">
      <c r="A3" s="39" t="s">
        <v>0</v>
      </c>
      <c r="B3" s="39" t="s">
        <v>1</v>
      </c>
      <c r="C3" s="39" t="s">
        <v>3</v>
      </c>
      <c r="D3" s="39" t="s">
        <v>5</v>
      </c>
      <c r="E3" s="39" t="s">
        <v>7</v>
      </c>
      <c r="F3" s="39" t="s">
        <v>6</v>
      </c>
      <c r="G3" s="39" t="s">
        <v>8</v>
      </c>
      <c r="H3" s="39" t="s">
        <v>401</v>
      </c>
      <c r="I3" s="39" t="s">
        <v>402</v>
      </c>
    </row>
    <row r="4" spans="1:9">
      <c r="A4" s="69" t="s">
        <v>36</v>
      </c>
      <c r="B4" s="69" t="s">
        <v>24</v>
      </c>
      <c r="C4" s="69" t="s">
        <v>25</v>
      </c>
      <c r="D4" s="69">
        <v>4674</v>
      </c>
      <c r="E4" s="69">
        <v>327</v>
      </c>
      <c r="F4" s="69">
        <v>409</v>
      </c>
      <c r="G4" s="69">
        <v>20756</v>
      </c>
      <c r="H4" s="70">
        <f t="shared" ref="H4:H13" si="0">(D4+E4+F4)/G4*100</f>
        <v>26.064752360763155</v>
      </c>
      <c r="I4" s="71">
        <f>RANK(H4,$H$4:$H$13,0)</f>
        <v>1</v>
      </c>
    </row>
    <row r="5" spans="1:9">
      <c r="A5" s="69" t="s">
        <v>146</v>
      </c>
      <c r="B5" s="69" t="s">
        <v>24</v>
      </c>
      <c r="C5" s="69" t="s">
        <v>25</v>
      </c>
      <c r="D5" s="69">
        <v>4619</v>
      </c>
      <c r="E5" s="69">
        <v>57</v>
      </c>
      <c r="F5" s="69">
        <v>272</v>
      </c>
      <c r="G5" s="69">
        <v>21334</v>
      </c>
      <c r="H5" s="70">
        <f t="shared" si="0"/>
        <v>23.193025217961939</v>
      </c>
      <c r="I5" s="71">
        <f t="shared" ref="I5:I13" si="1">RANK(H5,$H$4:$H$13,0)</f>
        <v>2</v>
      </c>
    </row>
    <row r="6" spans="1:9">
      <c r="A6" s="69" t="s">
        <v>226</v>
      </c>
      <c r="B6" s="69" t="s">
        <v>24</v>
      </c>
      <c r="C6" s="69" t="s">
        <v>25</v>
      </c>
      <c r="D6" s="69">
        <v>4618</v>
      </c>
      <c r="E6" s="69">
        <v>254</v>
      </c>
      <c r="F6" s="69">
        <v>312</v>
      </c>
      <c r="G6" s="69">
        <v>22571</v>
      </c>
      <c r="H6" s="70">
        <f t="shared" si="0"/>
        <v>22.967524699836073</v>
      </c>
      <c r="I6" s="71">
        <f t="shared" si="1"/>
        <v>3</v>
      </c>
    </row>
    <row r="7" spans="1:9">
      <c r="A7" s="69" t="s">
        <v>319</v>
      </c>
      <c r="B7" s="69" t="s">
        <v>24</v>
      </c>
      <c r="C7" s="69" t="s">
        <v>25</v>
      </c>
      <c r="D7" s="69">
        <v>3507</v>
      </c>
      <c r="E7" s="69">
        <v>371</v>
      </c>
      <c r="F7" s="69">
        <v>295</v>
      </c>
      <c r="G7" s="69">
        <v>20410</v>
      </c>
      <c r="H7" s="70">
        <f t="shared" si="0"/>
        <v>20.445859872611464</v>
      </c>
      <c r="I7" s="71">
        <f t="shared" si="1"/>
        <v>4</v>
      </c>
    </row>
    <row r="8" spans="1:9">
      <c r="A8" s="69" t="s">
        <v>90</v>
      </c>
      <c r="B8" s="69" t="s">
        <v>24</v>
      </c>
      <c r="C8" s="69" t="s">
        <v>15</v>
      </c>
      <c r="D8" s="69">
        <v>4401</v>
      </c>
      <c r="E8" s="69">
        <v>216</v>
      </c>
      <c r="F8" s="69">
        <v>421</v>
      </c>
      <c r="G8" s="69">
        <v>24890</v>
      </c>
      <c r="H8" s="70">
        <f t="shared" si="0"/>
        <v>20.241060666934512</v>
      </c>
      <c r="I8" s="71">
        <f t="shared" si="1"/>
        <v>5</v>
      </c>
    </row>
    <row r="9" spans="1:9">
      <c r="A9" s="69" t="s">
        <v>62</v>
      </c>
      <c r="B9" s="69" t="s">
        <v>14</v>
      </c>
      <c r="C9" s="69" t="s">
        <v>15</v>
      </c>
      <c r="D9" s="69">
        <v>4896</v>
      </c>
      <c r="E9" s="69">
        <v>233</v>
      </c>
      <c r="F9" s="69">
        <v>466</v>
      </c>
      <c r="G9" s="69">
        <v>28621</v>
      </c>
      <c r="H9" s="70">
        <f t="shared" si="0"/>
        <v>19.548583208133888</v>
      </c>
      <c r="I9" s="71">
        <f t="shared" si="1"/>
        <v>6</v>
      </c>
    </row>
    <row r="10" spans="1:9">
      <c r="A10" s="69" t="s">
        <v>197</v>
      </c>
      <c r="B10" s="69" t="s">
        <v>397</v>
      </c>
      <c r="C10" s="69" t="s">
        <v>15</v>
      </c>
      <c r="D10" s="69">
        <v>4425</v>
      </c>
      <c r="E10" s="69">
        <v>162</v>
      </c>
      <c r="F10" s="69">
        <v>185</v>
      </c>
      <c r="G10" s="69">
        <v>24610</v>
      </c>
      <c r="H10" s="70">
        <f t="shared" si="0"/>
        <v>19.390491670052825</v>
      </c>
      <c r="I10" s="71">
        <f t="shared" si="1"/>
        <v>7</v>
      </c>
    </row>
    <row r="11" spans="1:9">
      <c r="A11" s="69" t="s">
        <v>288</v>
      </c>
      <c r="B11" s="69" t="s">
        <v>397</v>
      </c>
      <c r="C11" s="69" t="s">
        <v>57</v>
      </c>
      <c r="D11" s="69">
        <v>4722</v>
      </c>
      <c r="E11" s="69">
        <v>344</v>
      </c>
      <c r="F11" s="69">
        <v>310</v>
      </c>
      <c r="G11" s="69">
        <v>27911</v>
      </c>
      <c r="H11" s="70">
        <f t="shared" si="0"/>
        <v>19.261223173659133</v>
      </c>
      <c r="I11" s="71">
        <f t="shared" si="1"/>
        <v>8</v>
      </c>
    </row>
    <row r="12" spans="1:9">
      <c r="A12" s="69" t="s">
        <v>176</v>
      </c>
      <c r="B12" s="69" t="s">
        <v>24</v>
      </c>
      <c r="C12" s="69" t="s">
        <v>15</v>
      </c>
      <c r="D12" s="69">
        <v>3728</v>
      </c>
      <c r="E12" s="69">
        <v>275</v>
      </c>
      <c r="F12" s="69">
        <v>271</v>
      </c>
      <c r="G12" s="69">
        <v>22827</v>
      </c>
      <c r="H12" s="70">
        <f t="shared" si="0"/>
        <v>18.723441538528935</v>
      </c>
      <c r="I12" s="71">
        <f t="shared" si="1"/>
        <v>9</v>
      </c>
    </row>
    <row r="13" spans="1:9">
      <c r="A13" s="69" t="s">
        <v>108</v>
      </c>
      <c r="B13" s="69" t="s">
        <v>24</v>
      </c>
      <c r="C13" s="69" t="s">
        <v>15</v>
      </c>
      <c r="D13" s="69">
        <v>3276</v>
      </c>
      <c r="E13" s="69">
        <v>114</v>
      </c>
      <c r="F13" s="69">
        <v>421</v>
      </c>
      <c r="G13" s="69">
        <v>20580</v>
      </c>
      <c r="H13" s="70">
        <f t="shared" si="0"/>
        <v>18.517978620019438</v>
      </c>
      <c r="I13" s="71">
        <f t="shared" si="1"/>
        <v>10</v>
      </c>
    </row>
  </sheetData>
  <mergeCells count="1">
    <mergeCell ref="C1:G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2488-EF82-4625-938F-67B7FE1F2FB1}">
  <dimension ref="A3:F19"/>
  <sheetViews>
    <sheetView topLeftCell="A2" zoomScale="115" zoomScaleNormal="115" workbookViewId="0">
      <selection activeCell="B4" sqref="B4"/>
    </sheetView>
  </sheetViews>
  <sheetFormatPr defaultColWidth="11.33203125" defaultRowHeight="14.4"/>
  <cols>
    <col min="1" max="1" width="13.44140625" bestFit="1" customWidth="1"/>
    <col min="2" max="2" width="11.5546875" bestFit="1" customWidth="1"/>
    <col min="3" max="3" width="13.109375" bestFit="1" customWidth="1"/>
    <col min="4" max="4" width="16.6640625" bestFit="1" customWidth="1"/>
  </cols>
  <sheetData>
    <row r="3" spans="1:6">
      <c r="A3" s="40" t="s">
        <v>406</v>
      </c>
      <c r="B3" s="43" t="s">
        <v>407</v>
      </c>
      <c r="C3" s="48" t="s">
        <v>408</v>
      </c>
      <c r="D3" s="48" t="s">
        <v>409</v>
      </c>
    </row>
    <row r="4" spans="1:6" ht="15" thickBot="1">
      <c r="A4" s="41" t="s">
        <v>57</v>
      </c>
      <c r="B4" s="44">
        <v>89871</v>
      </c>
      <c r="C4" s="47">
        <v>9086</v>
      </c>
      <c r="D4" s="47">
        <v>6826</v>
      </c>
      <c r="F4" s="42"/>
    </row>
    <row r="5" spans="1:6" ht="15" thickBot="1">
      <c r="A5" s="46" t="s">
        <v>397</v>
      </c>
      <c r="B5" s="49">
        <v>89871</v>
      </c>
      <c r="C5" s="50">
        <v>9086</v>
      </c>
      <c r="D5" s="50">
        <v>6826</v>
      </c>
    </row>
    <row r="6" spans="1:6" ht="15" thickBot="1">
      <c r="A6" s="41" t="s">
        <v>25</v>
      </c>
      <c r="B6" s="45">
        <v>333918</v>
      </c>
      <c r="C6" s="47">
        <v>34487</v>
      </c>
      <c r="D6" s="47">
        <v>24098</v>
      </c>
    </row>
    <row r="7" spans="1:6">
      <c r="A7" s="46" t="s">
        <v>14</v>
      </c>
      <c r="B7" s="52">
        <v>61815</v>
      </c>
      <c r="C7" s="50">
        <v>7993</v>
      </c>
      <c r="D7" s="50">
        <v>5656</v>
      </c>
    </row>
    <row r="8" spans="1:6" ht="15" thickBot="1">
      <c r="A8" s="46" t="s">
        <v>24</v>
      </c>
      <c r="B8" s="51">
        <v>272103</v>
      </c>
      <c r="C8" s="50">
        <v>26494</v>
      </c>
      <c r="D8" s="50">
        <v>18442</v>
      </c>
    </row>
    <row r="9" spans="1:6" ht="15" thickBot="1">
      <c r="A9" s="41" t="s">
        <v>15</v>
      </c>
      <c r="B9" s="45">
        <v>473386</v>
      </c>
      <c r="C9" s="47">
        <v>49828</v>
      </c>
      <c r="D9" s="47">
        <v>36142</v>
      </c>
    </row>
    <row r="10" spans="1:6">
      <c r="A10" s="46" t="s">
        <v>14</v>
      </c>
      <c r="B10" s="52">
        <v>189658</v>
      </c>
      <c r="C10" s="50">
        <v>21292</v>
      </c>
      <c r="D10" s="50">
        <v>15162</v>
      </c>
    </row>
    <row r="11" spans="1:6">
      <c r="A11" s="46" t="s">
        <v>24</v>
      </c>
      <c r="B11" s="51">
        <v>178192</v>
      </c>
      <c r="C11" s="50">
        <v>19004</v>
      </c>
      <c r="D11" s="50">
        <v>13135</v>
      </c>
    </row>
    <row r="12" spans="1:6">
      <c r="A12" s="46" t="s">
        <v>397</v>
      </c>
      <c r="B12" s="51">
        <v>105536</v>
      </c>
      <c r="C12" s="50">
        <v>9532</v>
      </c>
      <c r="D12" s="50">
        <v>7845</v>
      </c>
    </row>
    <row r="16" spans="1:6">
      <c r="A16" s="189" t="s">
        <v>517</v>
      </c>
      <c r="B16" s="189"/>
    </row>
    <row r="17" spans="1:4">
      <c r="A17" s="179" t="s">
        <v>518</v>
      </c>
      <c r="B17" s="179"/>
      <c r="C17" s="179"/>
      <c r="D17" s="179"/>
    </row>
    <row r="18" spans="1:4">
      <c r="A18" s="179" t="s">
        <v>519</v>
      </c>
      <c r="B18" s="179"/>
      <c r="C18" s="179"/>
      <c r="D18" s="179"/>
    </row>
    <row r="19" spans="1:4">
      <c r="A19" s="179" t="s">
        <v>520</v>
      </c>
      <c r="B19" s="179"/>
      <c r="C19" s="179"/>
      <c r="D19" s="179"/>
    </row>
  </sheetData>
  <mergeCells count="1">
    <mergeCell ref="A16:B16"/>
  </mergeCell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4B29-203C-4CB3-990B-20F6827B2ED5}">
  <dimension ref="A1:D8"/>
  <sheetViews>
    <sheetView workbookViewId="0">
      <selection activeCell="A4" sqref="A4"/>
    </sheetView>
  </sheetViews>
  <sheetFormatPr defaultRowHeight="14.4"/>
  <cols>
    <col min="1" max="1" width="17.21875" bestFit="1" customWidth="1"/>
    <col min="2" max="2" width="16.77734375" bestFit="1" customWidth="1"/>
    <col min="3" max="4" width="14.77734375" bestFit="1" customWidth="1"/>
  </cols>
  <sheetData>
    <row r="1" spans="1:4">
      <c r="A1" s="190" t="s">
        <v>413</v>
      </c>
      <c r="B1" s="190"/>
      <c r="C1" s="190"/>
      <c r="D1" s="190"/>
    </row>
    <row r="2" spans="1:4">
      <c r="A2" s="31"/>
      <c r="B2" s="31"/>
      <c r="C2" s="31"/>
      <c r="D2" s="31"/>
    </row>
    <row r="3" spans="1:4" ht="17.399999999999999">
      <c r="A3" s="66" t="s">
        <v>406</v>
      </c>
      <c r="B3" s="67" t="s">
        <v>411</v>
      </c>
      <c r="C3" s="48" t="s">
        <v>410</v>
      </c>
      <c r="D3" s="65" t="s">
        <v>412</v>
      </c>
    </row>
    <row r="4" spans="1:4">
      <c r="A4" s="60" t="s">
        <v>399</v>
      </c>
      <c r="B4" s="61">
        <v>208.47058823529412</v>
      </c>
      <c r="C4" s="62">
        <v>34</v>
      </c>
      <c r="D4" s="64">
        <f>RANK(B4,$B$4:$B$8,0)</f>
        <v>1</v>
      </c>
    </row>
    <row r="5" spans="1:4">
      <c r="A5" s="60" t="s">
        <v>21</v>
      </c>
      <c r="B5" s="61">
        <v>197.16923076923078</v>
      </c>
      <c r="C5" s="62">
        <v>130</v>
      </c>
      <c r="D5" s="64">
        <f t="shared" ref="D5:D8" si="0">RANK(B5,$B$4:$B$8,0)</f>
        <v>2</v>
      </c>
    </row>
    <row r="6" spans="1:4">
      <c r="A6" s="60" t="s">
        <v>45</v>
      </c>
      <c r="B6" s="61">
        <v>192.45871559633028</v>
      </c>
      <c r="C6" s="62">
        <v>109</v>
      </c>
      <c r="D6" s="68">
        <f t="shared" si="0"/>
        <v>3</v>
      </c>
    </row>
    <row r="7" spans="1:4">
      <c r="A7" s="60" t="s">
        <v>42</v>
      </c>
      <c r="B7" s="61">
        <v>186.72027972027973</v>
      </c>
      <c r="C7" s="62">
        <v>143</v>
      </c>
      <c r="D7" s="68">
        <f t="shared" si="0"/>
        <v>4</v>
      </c>
    </row>
    <row r="8" spans="1:4">
      <c r="A8" s="60" t="s">
        <v>398</v>
      </c>
      <c r="B8" s="61">
        <v>183.47761194029852</v>
      </c>
      <c r="C8" s="62">
        <v>67</v>
      </c>
      <c r="D8" s="68">
        <f t="shared" si="0"/>
        <v>5</v>
      </c>
    </row>
  </sheetData>
  <mergeCells count="1">
    <mergeCell ref="A1:D1"/>
  </mergeCell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1EBC-4735-4CAA-BD5E-F7ABDB6E8989}">
  <dimension ref="A1:R31"/>
  <sheetViews>
    <sheetView topLeftCell="D1" workbookViewId="0">
      <selection activeCell="J4" sqref="J4"/>
    </sheetView>
  </sheetViews>
  <sheetFormatPr defaultRowHeight="14.4"/>
  <cols>
    <col min="1" max="1" width="24" bestFit="1" customWidth="1"/>
    <col min="2" max="2" width="22.5546875" bestFit="1" customWidth="1"/>
    <col min="3" max="3" width="14.88671875" bestFit="1" customWidth="1"/>
    <col min="4" max="4" width="11.21875" bestFit="1" customWidth="1"/>
    <col min="5" max="5" width="15.77734375" bestFit="1" customWidth="1"/>
    <col min="6" max="6" width="16.33203125" bestFit="1" customWidth="1"/>
    <col min="7" max="7" width="19.21875" bestFit="1" customWidth="1"/>
    <col min="8" max="8" width="5.21875" bestFit="1" customWidth="1"/>
    <col min="9" max="9" width="16.6640625" bestFit="1" customWidth="1"/>
    <col min="10" max="10" width="4.5546875" bestFit="1" customWidth="1"/>
  </cols>
  <sheetData>
    <row r="1" spans="1:10">
      <c r="A1" s="191" t="s">
        <v>419</v>
      </c>
      <c r="B1" s="191"/>
      <c r="C1" s="191"/>
      <c r="D1" s="191"/>
      <c r="E1" s="191"/>
      <c r="F1" s="191"/>
      <c r="G1" s="191"/>
      <c r="H1" s="191"/>
    </row>
    <row r="2" spans="1:10">
      <c r="A2" s="191"/>
      <c r="B2" s="191"/>
      <c r="C2" s="191"/>
      <c r="D2" s="191"/>
      <c r="E2" s="191"/>
      <c r="F2" s="191"/>
      <c r="G2" s="191"/>
      <c r="H2" s="191"/>
    </row>
    <row r="3" spans="1:10">
      <c r="A3" s="89" t="s">
        <v>1</v>
      </c>
      <c r="B3" s="90" t="s">
        <v>414</v>
      </c>
      <c r="C3" s="90" t="s">
        <v>415</v>
      </c>
      <c r="D3" s="90" t="s">
        <v>416</v>
      </c>
      <c r="E3" s="90" t="s">
        <v>417</v>
      </c>
      <c r="F3" s="90" t="s">
        <v>418</v>
      </c>
      <c r="G3" s="90" t="s">
        <v>401</v>
      </c>
      <c r="H3" s="90" t="s">
        <v>402</v>
      </c>
      <c r="I3" s="90" t="s">
        <v>427</v>
      </c>
      <c r="J3" s="91" t="s">
        <v>420</v>
      </c>
    </row>
    <row r="4" spans="1:10">
      <c r="A4" s="72" t="s">
        <v>24</v>
      </c>
      <c r="B4" s="5">
        <v>450295</v>
      </c>
      <c r="C4" s="5">
        <v>31577</v>
      </c>
      <c r="D4" s="5">
        <v>45498</v>
      </c>
      <c r="E4" s="5">
        <v>6138949</v>
      </c>
      <c r="F4" s="5">
        <f>B4+C4+D4</f>
        <v>527370</v>
      </c>
      <c r="G4" s="37">
        <f>F4/E4*100</f>
        <v>8.5905584164325202</v>
      </c>
      <c r="H4" s="5">
        <f>RANK(G4,G$4:G$7,0)</f>
        <v>1</v>
      </c>
      <c r="I4" s="5">
        <v>1114204</v>
      </c>
      <c r="J4" s="59">
        <f>F4/I4</f>
        <v>0.47331547903256493</v>
      </c>
    </row>
    <row r="5" spans="1:10">
      <c r="A5" s="72" t="s">
        <v>14</v>
      </c>
      <c r="B5" s="5">
        <v>251473</v>
      </c>
      <c r="C5" s="5">
        <v>20818</v>
      </c>
      <c r="D5" s="5">
        <v>29285</v>
      </c>
      <c r="E5" s="5">
        <v>3553489</v>
      </c>
      <c r="F5" s="5">
        <f>B5+C5+D5</f>
        <v>301576</v>
      </c>
      <c r="G5" s="37">
        <f>(B5+C5+D5)/E5*100</f>
        <v>8.4867576626802546</v>
      </c>
      <c r="H5" s="5">
        <f t="shared" ref="H5:H6" si="0">RANK(G5,G$4:G$7,0)</f>
        <v>2</v>
      </c>
      <c r="I5" s="5">
        <v>1035942</v>
      </c>
      <c r="J5" s="59">
        <f t="shared" ref="J5:J6" si="1">F5/I5</f>
        <v>0.29111282291865759</v>
      </c>
    </row>
    <row r="6" spans="1:10">
      <c r="A6" s="72" t="s">
        <v>397</v>
      </c>
      <c r="B6" s="5">
        <v>195407</v>
      </c>
      <c r="C6" s="5">
        <v>14671</v>
      </c>
      <c r="D6" s="5">
        <v>18618</v>
      </c>
      <c r="E6" s="5">
        <v>2777994</v>
      </c>
      <c r="F6" s="5">
        <f>B6+C6+D6</f>
        <v>228696</v>
      </c>
      <c r="G6" s="37">
        <f>(B6+C6+D6)/E6*100</f>
        <v>8.2324151888017028</v>
      </c>
      <c r="H6" s="5">
        <f t="shared" si="0"/>
        <v>3</v>
      </c>
      <c r="I6" s="5">
        <v>1065782</v>
      </c>
      <c r="J6" s="59">
        <f t="shared" si="1"/>
        <v>0.21458046767537828</v>
      </c>
    </row>
    <row r="7" spans="1:10">
      <c r="A7" s="63"/>
    </row>
    <row r="10" spans="1:10" ht="15.6" customHeight="1">
      <c r="A10" s="192" t="s">
        <v>435</v>
      </c>
      <c r="B10" s="192"/>
    </row>
    <row r="11" spans="1:10">
      <c r="A11" s="193"/>
      <c r="B11" s="193"/>
    </row>
    <row r="12" spans="1:10">
      <c r="A12" s="79" t="s">
        <v>428</v>
      </c>
      <c r="B12" s="79" t="s">
        <v>429</v>
      </c>
    </row>
    <row r="13" spans="1:10" ht="15.6">
      <c r="A13" s="78" t="s">
        <v>430</v>
      </c>
      <c r="B13" s="78" t="s">
        <v>24</v>
      </c>
      <c r="E13" s="81"/>
      <c r="F13" s="81"/>
    </row>
    <row r="14" spans="1:10" ht="15.6">
      <c r="A14" s="78" t="s">
        <v>431</v>
      </c>
      <c r="B14" s="80">
        <v>8.59</v>
      </c>
      <c r="E14" s="81"/>
      <c r="F14" s="81"/>
    </row>
    <row r="15" spans="1:10" ht="15.6">
      <c r="A15" s="78" t="s">
        <v>418</v>
      </c>
      <c r="B15" s="182">
        <v>527370</v>
      </c>
      <c r="E15" s="81"/>
      <c r="F15" s="81"/>
    </row>
    <row r="16" spans="1:10" ht="15.6">
      <c r="A16" s="78" t="s">
        <v>432</v>
      </c>
      <c r="B16" s="78">
        <v>0.47</v>
      </c>
      <c r="E16" s="81"/>
      <c r="F16" s="81"/>
    </row>
    <row r="17" spans="1:18">
      <c r="A17" s="78" t="s">
        <v>433</v>
      </c>
      <c r="B17" s="78" t="s">
        <v>434</v>
      </c>
    </row>
    <row r="18" spans="1:18">
      <c r="N18" s="197" t="s">
        <v>516</v>
      </c>
      <c r="O18" s="197"/>
      <c r="P18" s="197"/>
      <c r="Q18" s="197"/>
      <c r="R18" s="197"/>
    </row>
    <row r="23" spans="1:18">
      <c r="A23" s="194" t="s">
        <v>443</v>
      </c>
      <c r="B23" s="194"/>
    </row>
    <row r="24" spans="1:18">
      <c r="A24" s="88" t="s">
        <v>444</v>
      </c>
      <c r="B24" s="82" t="s">
        <v>445</v>
      </c>
    </row>
    <row r="25" spans="1:18">
      <c r="A25" s="87" t="s">
        <v>436</v>
      </c>
      <c r="B25" s="84" t="s">
        <v>437</v>
      </c>
    </row>
    <row r="26" spans="1:18">
      <c r="A26" s="83" t="s">
        <v>438</v>
      </c>
      <c r="B26" s="84" t="s">
        <v>439</v>
      </c>
    </row>
    <row r="27" spans="1:18">
      <c r="A27" s="83"/>
      <c r="B27" s="84"/>
    </row>
    <row r="28" spans="1:18">
      <c r="A28" s="195" t="s">
        <v>446</v>
      </c>
      <c r="B28" s="196"/>
    </row>
    <row r="29" spans="1:18">
      <c r="A29" s="83" t="s">
        <v>440</v>
      </c>
      <c r="B29" s="84"/>
    </row>
    <row r="30" spans="1:18">
      <c r="A30" s="83" t="s">
        <v>441</v>
      </c>
      <c r="B30" s="84"/>
    </row>
    <row r="31" spans="1:18">
      <c r="A31" s="85" t="s">
        <v>442</v>
      </c>
      <c r="B31" s="86"/>
    </row>
  </sheetData>
  <sortState ref="A4:H6">
    <sortCondition descending="1" ref="G3:G6"/>
  </sortState>
  <mergeCells count="5">
    <mergeCell ref="A1:H2"/>
    <mergeCell ref="A10:B11"/>
    <mergeCell ref="A23:B23"/>
    <mergeCell ref="A28:B28"/>
    <mergeCell ref="N18:R18"/>
  </mergeCells>
  <conditionalFormatting sqref="H4:H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937A-61A7-4830-B114-4FA620458BEC}">
  <dimension ref="A1:F203"/>
  <sheetViews>
    <sheetView workbookViewId="0">
      <selection activeCell="F4" sqref="F4"/>
    </sheetView>
  </sheetViews>
  <sheetFormatPr defaultRowHeight="14.4"/>
  <cols>
    <col min="1" max="1" width="10.33203125" bestFit="1" customWidth="1"/>
    <col min="2" max="2" width="9.109375" bestFit="1" customWidth="1"/>
    <col min="3" max="3" width="13.21875" bestFit="1" customWidth="1"/>
    <col min="4" max="4" width="9.44140625" bestFit="1" customWidth="1"/>
    <col min="5" max="5" width="10.6640625" bestFit="1" customWidth="1"/>
    <col min="6" max="6" width="14.77734375" bestFit="1" customWidth="1"/>
  </cols>
  <sheetData>
    <row r="1" spans="1:6" ht="15.6">
      <c r="A1" s="198" t="s">
        <v>426</v>
      </c>
      <c r="B1" s="198"/>
      <c r="C1" s="198"/>
      <c r="D1" s="198"/>
      <c r="E1" s="198"/>
      <c r="F1" s="198"/>
    </row>
    <row r="3" spans="1:6">
      <c r="A3" s="73" t="s">
        <v>422</v>
      </c>
      <c r="B3" s="74" t="s">
        <v>1</v>
      </c>
      <c r="C3" s="74" t="s">
        <v>423</v>
      </c>
      <c r="D3" s="74" t="s">
        <v>343</v>
      </c>
      <c r="E3" s="74" t="s">
        <v>424</v>
      </c>
      <c r="F3" s="74" t="s">
        <v>425</v>
      </c>
    </row>
    <row r="4" spans="1:6">
      <c r="A4" s="75">
        <v>45446</v>
      </c>
      <c r="B4" s="76" t="s">
        <v>14</v>
      </c>
      <c r="C4" s="76">
        <v>1402</v>
      </c>
      <c r="D4" s="76">
        <v>68</v>
      </c>
      <c r="E4" s="76">
        <f t="shared" ref="E4:E67" si="0">C4-D4</f>
        <v>1334</v>
      </c>
      <c r="F4" s="77">
        <f t="shared" ref="F4:F67" si="1">E4/C4*100</f>
        <v>95.149786019971472</v>
      </c>
    </row>
    <row r="5" spans="1:6">
      <c r="A5" s="75">
        <v>45446</v>
      </c>
      <c r="B5" s="76" t="s">
        <v>24</v>
      </c>
      <c r="C5" s="76">
        <v>995</v>
      </c>
      <c r="D5" s="76">
        <v>86</v>
      </c>
      <c r="E5" s="76">
        <f t="shared" si="0"/>
        <v>909</v>
      </c>
      <c r="F5" s="77">
        <f t="shared" si="1"/>
        <v>91.356783919598001</v>
      </c>
    </row>
    <row r="6" spans="1:6">
      <c r="A6" s="75">
        <v>45446</v>
      </c>
      <c r="B6" s="76" t="s">
        <v>397</v>
      </c>
      <c r="C6" s="76">
        <v>1472</v>
      </c>
      <c r="D6" s="76">
        <v>296</v>
      </c>
      <c r="E6" s="76">
        <f t="shared" si="0"/>
        <v>1176</v>
      </c>
      <c r="F6" s="77">
        <f t="shared" si="1"/>
        <v>79.891304347826093</v>
      </c>
    </row>
    <row r="7" spans="1:6">
      <c r="A7" s="75">
        <v>45453</v>
      </c>
      <c r="B7" s="76" t="s">
        <v>14</v>
      </c>
      <c r="C7" s="76">
        <v>1018</v>
      </c>
      <c r="D7" s="76">
        <v>90</v>
      </c>
      <c r="E7" s="76">
        <f t="shared" si="0"/>
        <v>928</v>
      </c>
      <c r="F7" s="77">
        <f t="shared" si="1"/>
        <v>91.15913555992141</v>
      </c>
    </row>
    <row r="8" spans="1:6">
      <c r="A8" s="75">
        <v>45453</v>
      </c>
      <c r="B8" s="76" t="s">
        <v>24</v>
      </c>
      <c r="C8" s="76">
        <v>1461</v>
      </c>
      <c r="D8" s="76">
        <v>64</v>
      </c>
      <c r="E8" s="76">
        <f t="shared" si="0"/>
        <v>1397</v>
      </c>
      <c r="F8" s="77">
        <f t="shared" si="1"/>
        <v>95.619438740588635</v>
      </c>
    </row>
    <row r="9" spans="1:6">
      <c r="A9" s="75">
        <v>45453</v>
      </c>
      <c r="B9" s="76" t="s">
        <v>397</v>
      </c>
      <c r="C9" s="76">
        <v>545</v>
      </c>
      <c r="D9" s="76">
        <v>93</v>
      </c>
      <c r="E9" s="76">
        <f t="shared" si="0"/>
        <v>452</v>
      </c>
      <c r="F9" s="77">
        <f t="shared" si="1"/>
        <v>82.935779816513772</v>
      </c>
    </row>
    <row r="10" spans="1:6">
      <c r="A10" s="75">
        <v>45460</v>
      </c>
      <c r="B10" s="76" t="s">
        <v>14</v>
      </c>
      <c r="C10" s="76">
        <v>881</v>
      </c>
      <c r="D10" s="76">
        <v>291</v>
      </c>
      <c r="E10" s="76">
        <f t="shared" si="0"/>
        <v>590</v>
      </c>
      <c r="F10" s="77">
        <f t="shared" si="1"/>
        <v>66.969353007945514</v>
      </c>
    </row>
    <row r="11" spans="1:6">
      <c r="A11" s="75">
        <v>45460</v>
      </c>
      <c r="B11" s="76" t="s">
        <v>24</v>
      </c>
      <c r="C11" s="76">
        <v>1414</v>
      </c>
      <c r="D11" s="76">
        <v>131</v>
      </c>
      <c r="E11" s="76">
        <f t="shared" si="0"/>
        <v>1283</v>
      </c>
      <c r="F11" s="77">
        <f t="shared" si="1"/>
        <v>90.735502121640735</v>
      </c>
    </row>
    <row r="12" spans="1:6">
      <c r="A12" s="75">
        <v>45460</v>
      </c>
      <c r="B12" s="76" t="s">
        <v>397</v>
      </c>
      <c r="C12" s="76">
        <v>1472</v>
      </c>
      <c r="D12" s="76">
        <v>170</v>
      </c>
      <c r="E12" s="76">
        <f t="shared" si="0"/>
        <v>1302</v>
      </c>
      <c r="F12" s="77">
        <f t="shared" si="1"/>
        <v>88.451086956521735</v>
      </c>
    </row>
    <row r="13" spans="1:6">
      <c r="A13" s="75">
        <v>45467</v>
      </c>
      <c r="B13" s="76" t="s">
        <v>14</v>
      </c>
      <c r="C13" s="76">
        <v>809</v>
      </c>
      <c r="D13" s="76">
        <v>197</v>
      </c>
      <c r="E13" s="76">
        <f t="shared" si="0"/>
        <v>612</v>
      </c>
      <c r="F13" s="77">
        <f t="shared" si="1"/>
        <v>75.648949320148333</v>
      </c>
    </row>
    <row r="14" spans="1:6">
      <c r="A14" s="75">
        <v>45467</v>
      </c>
      <c r="B14" s="76" t="s">
        <v>24</v>
      </c>
      <c r="C14" s="76">
        <v>1371</v>
      </c>
      <c r="D14" s="76">
        <v>250</v>
      </c>
      <c r="E14" s="76">
        <f t="shared" si="0"/>
        <v>1121</v>
      </c>
      <c r="F14" s="77">
        <f t="shared" si="1"/>
        <v>81.765134938001466</v>
      </c>
    </row>
    <row r="15" spans="1:6">
      <c r="A15" s="75">
        <v>45467</v>
      </c>
      <c r="B15" s="76" t="s">
        <v>397</v>
      </c>
      <c r="C15" s="76">
        <v>844</v>
      </c>
      <c r="D15" s="76">
        <v>144</v>
      </c>
      <c r="E15" s="76">
        <f t="shared" si="0"/>
        <v>700</v>
      </c>
      <c r="F15" s="77">
        <f t="shared" si="1"/>
        <v>82.938388625592424</v>
      </c>
    </row>
    <row r="16" spans="1:6">
      <c r="A16" s="75">
        <v>45474</v>
      </c>
      <c r="B16" s="76" t="s">
        <v>14</v>
      </c>
      <c r="C16" s="76">
        <v>786</v>
      </c>
      <c r="D16" s="76">
        <v>72</v>
      </c>
      <c r="E16" s="76">
        <f t="shared" si="0"/>
        <v>714</v>
      </c>
      <c r="F16" s="77">
        <f t="shared" si="1"/>
        <v>90.839694656488547</v>
      </c>
    </row>
    <row r="17" spans="1:6">
      <c r="A17" s="75">
        <v>45474</v>
      </c>
      <c r="B17" s="76" t="s">
        <v>24</v>
      </c>
      <c r="C17" s="76">
        <v>845</v>
      </c>
      <c r="D17" s="76">
        <v>250</v>
      </c>
      <c r="E17" s="76">
        <f t="shared" si="0"/>
        <v>595</v>
      </c>
      <c r="F17" s="77">
        <f t="shared" si="1"/>
        <v>70.414201183431956</v>
      </c>
    </row>
    <row r="18" spans="1:6">
      <c r="A18" s="75">
        <v>45474</v>
      </c>
      <c r="B18" s="76" t="s">
        <v>397</v>
      </c>
      <c r="C18" s="76">
        <v>1218</v>
      </c>
      <c r="D18" s="76">
        <v>101</v>
      </c>
      <c r="E18" s="76">
        <f t="shared" si="0"/>
        <v>1117</v>
      </c>
      <c r="F18" s="77">
        <f t="shared" si="1"/>
        <v>91.707717569786539</v>
      </c>
    </row>
    <row r="19" spans="1:6">
      <c r="A19" s="75">
        <v>45481</v>
      </c>
      <c r="B19" s="76" t="s">
        <v>14</v>
      </c>
      <c r="C19" s="76">
        <v>797</v>
      </c>
      <c r="D19" s="76">
        <v>130</v>
      </c>
      <c r="E19" s="76">
        <f t="shared" si="0"/>
        <v>667</v>
      </c>
      <c r="F19" s="77">
        <f t="shared" si="1"/>
        <v>83.688833124215805</v>
      </c>
    </row>
    <row r="20" spans="1:6">
      <c r="A20" s="75">
        <v>45481</v>
      </c>
      <c r="B20" s="76" t="s">
        <v>24</v>
      </c>
      <c r="C20" s="76">
        <v>1471</v>
      </c>
      <c r="D20" s="76">
        <v>100</v>
      </c>
      <c r="E20" s="76">
        <f t="shared" si="0"/>
        <v>1371</v>
      </c>
      <c r="F20" s="77">
        <f t="shared" si="1"/>
        <v>93.20190346702924</v>
      </c>
    </row>
    <row r="21" spans="1:6">
      <c r="A21" s="75">
        <v>45481</v>
      </c>
      <c r="B21" s="76" t="s">
        <v>397</v>
      </c>
      <c r="C21" s="76">
        <v>1253</v>
      </c>
      <c r="D21" s="76">
        <v>136</v>
      </c>
      <c r="E21" s="76">
        <f t="shared" si="0"/>
        <v>1117</v>
      </c>
      <c r="F21" s="77">
        <f t="shared" si="1"/>
        <v>89.146049481245015</v>
      </c>
    </row>
    <row r="22" spans="1:6">
      <c r="A22" s="75">
        <v>45488</v>
      </c>
      <c r="B22" s="76" t="s">
        <v>14</v>
      </c>
      <c r="C22" s="76">
        <v>616</v>
      </c>
      <c r="D22" s="76">
        <v>257</v>
      </c>
      <c r="E22" s="76">
        <f t="shared" si="0"/>
        <v>359</v>
      </c>
      <c r="F22" s="77">
        <f t="shared" si="1"/>
        <v>58.279220779220772</v>
      </c>
    </row>
    <row r="23" spans="1:6">
      <c r="A23" s="75">
        <v>45488</v>
      </c>
      <c r="B23" s="76" t="s">
        <v>24</v>
      </c>
      <c r="C23" s="76">
        <v>1308</v>
      </c>
      <c r="D23" s="76">
        <v>210</v>
      </c>
      <c r="E23" s="76">
        <f t="shared" si="0"/>
        <v>1098</v>
      </c>
      <c r="F23" s="77">
        <f t="shared" si="1"/>
        <v>83.944954128440358</v>
      </c>
    </row>
    <row r="24" spans="1:6">
      <c r="A24" s="75">
        <v>45488</v>
      </c>
      <c r="B24" s="76" t="s">
        <v>397</v>
      </c>
      <c r="C24" s="76">
        <v>981</v>
      </c>
      <c r="D24" s="76">
        <v>69</v>
      </c>
      <c r="E24" s="76">
        <f t="shared" si="0"/>
        <v>912</v>
      </c>
      <c r="F24" s="77">
        <f t="shared" si="1"/>
        <v>92.966360856269119</v>
      </c>
    </row>
    <row r="25" spans="1:6">
      <c r="A25" s="75">
        <v>45495</v>
      </c>
      <c r="B25" s="76" t="s">
        <v>14</v>
      </c>
      <c r="C25" s="76">
        <v>866</v>
      </c>
      <c r="D25" s="76">
        <v>74</v>
      </c>
      <c r="E25" s="76">
        <f t="shared" si="0"/>
        <v>792</v>
      </c>
      <c r="F25" s="77">
        <f t="shared" si="1"/>
        <v>91.454965357967666</v>
      </c>
    </row>
    <row r="26" spans="1:6">
      <c r="A26" s="75">
        <v>45495</v>
      </c>
      <c r="B26" s="76" t="s">
        <v>24</v>
      </c>
      <c r="C26" s="76">
        <v>547</v>
      </c>
      <c r="D26" s="76">
        <v>183</v>
      </c>
      <c r="E26" s="76">
        <f t="shared" si="0"/>
        <v>364</v>
      </c>
      <c r="F26" s="77">
        <f t="shared" si="1"/>
        <v>66.544789762340045</v>
      </c>
    </row>
    <row r="27" spans="1:6">
      <c r="A27" s="75">
        <v>45495</v>
      </c>
      <c r="B27" s="76" t="s">
        <v>397</v>
      </c>
      <c r="C27" s="76">
        <v>1241</v>
      </c>
      <c r="D27" s="76">
        <v>116</v>
      </c>
      <c r="E27" s="76">
        <f t="shared" si="0"/>
        <v>1125</v>
      </c>
      <c r="F27" s="77">
        <f t="shared" si="1"/>
        <v>90.652699435938757</v>
      </c>
    </row>
    <row r="28" spans="1:6">
      <c r="A28" s="75">
        <v>45502</v>
      </c>
      <c r="B28" s="76" t="s">
        <v>14</v>
      </c>
      <c r="C28" s="76">
        <v>973</v>
      </c>
      <c r="D28" s="76">
        <v>104</v>
      </c>
      <c r="E28" s="76">
        <f t="shared" si="0"/>
        <v>869</v>
      </c>
      <c r="F28" s="77">
        <f t="shared" si="1"/>
        <v>89.311408016443977</v>
      </c>
    </row>
    <row r="29" spans="1:6">
      <c r="A29" s="75">
        <v>45502</v>
      </c>
      <c r="B29" s="76" t="s">
        <v>24</v>
      </c>
      <c r="C29" s="76">
        <v>611</v>
      </c>
      <c r="D29" s="76">
        <v>197</v>
      </c>
      <c r="E29" s="76">
        <f t="shared" si="0"/>
        <v>414</v>
      </c>
      <c r="F29" s="77">
        <f t="shared" si="1"/>
        <v>67.757774140752872</v>
      </c>
    </row>
    <row r="30" spans="1:6">
      <c r="A30" s="75">
        <v>45502</v>
      </c>
      <c r="B30" s="76" t="s">
        <v>397</v>
      </c>
      <c r="C30" s="76">
        <v>983</v>
      </c>
      <c r="D30" s="76">
        <v>134</v>
      </c>
      <c r="E30" s="76">
        <f t="shared" si="0"/>
        <v>849</v>
      </c>
      <c r="F30" s="77">
        <f t="shared" si="1"/>
        <v>86.368260427263479</v>
      </c>
    </row>
    <row r="31" spans="1:6">
      <c r="A31" s="75">
        <v>45509</v>
      </c>
      <c r="B31" s="76" t="s">
        <v>14</v>
      </c>
      <c r="C31" s="76">
        <v>1449</v>
      </c>
      <c r="D31" s="76">
        <v>96</v>
      </c>
      <c r="E31" s="76">
        <f t="shared" si="0"/>
        <v>1353</v>
      </c>
      <c r="F31" s="77">
        <f t="shared" si="1"/>
        <v>93.374741200828154</v>
      </c>
    </row>
    <row r="32" spans="1:6">
      <c r="A32" s="75">
        <v>45509</v>
      </c>
      <c r="B32" s="76" t="s">
        <v>24</v>
      </c>
      <c r="C32" s="76">
        <v>752</v>
      </c>
      <c r="D32" s="76">
        <v>170</v>
      </c>
      <c r="E32" s="76">
        <f t="shared" si="0"/>
        <v>582</v>
      </c>
      <c r="F32" s="77">
        <f t="shared" si="1"/>
        <v>77.393617021276597</v>
      </c>
    </row>
    <row r="33" spans="1:6">
      <c r="A33" s="75">
        <v>45509</v>
      </c>
      <c r="B33" s="76" t="s">
        <v>397</v>
      </c>
      <c r="C33" s="76">
        <v>937</v>
      </c>
      <c r="D33" s="76">
        <v>179</v>
      </c>
      <c r="E33" s="76">
        <f t="shared" si="0"/>
        <v>758</v>
      </c>
      <c r="F33" s="77">
        <f t="shared" si="1"/>
        <v>80.896478121664884</v>
      </c>
    </row>
    <row r="34" spans="1:6">
      <c r="A34" s="75">
        <v>45516</v>
      </c>
      <c r="B34" s="76" t="s">
        <v>14</v>
      </c>
      <c r="C34" s="76">
        <v>1060</v>
      </c>
      <c r="D34" s="76">
        <v>83</v>
      </c>
      <c r="E34" s="76">
        <f t="shared" si="0"/>
        <v>977</v>
      </c>
      <c r="F34" s="77">
        <f t="shared" si="1"/>
        <v>92.169811320754718</v>
      </c>
    </row>
    <row r="35" spans="1:6">
      <c r="A35" s="75">
        <v>45516</v>
      </c>
      <c r="B35" s="76" t="s">
        <v>24</v>
      </c>
      <c r="C35" s="76">
        <v>1456</v>
      </c>
      <c r="D35" s="76">
        <v>265</v>
      </c>
      <c r="E35" s="76">
        <f t="shared" si="0"/>
        <v>1191</v>
      </c>
      <c r="F35" s="77">
        <f t="shared" si="1"/>
        <v>81.79945054945054</v>
      </c>
    </row>
    <row r="36" spans="1:6">
      <c r="A36" s="75">
        <v>45516</v>
      </c>
      <c r="B36" s="76" t="s">
        <v>397</v>
      </c>
      <c r="C36" s="76">
        <v>1109</v>
      </c>
      <c r="D36" s="76">
        <v>205</v>
      </c>
      <c r="E36" s="76">
        <f t="shared" si="0"/>
        <v>904</v>
      </c>
      <c r="F36" s="77">
        <f t="shared" si="1"/>
        <v>81.514878268710561</v>
      </c>
    </row>
    <row r="37" spans="1:6">
      <c r="A37" s="75">
        <v>45523</v>
      </c>
      <c r="B37" s="76" t="s">
        <v>14</v>
      </c>
      <c r="C37" s="76">
        <v>1002</v>
      </c>
      <c r="D37" s="76">
        <v>93</v>
      </c>
      <c r="E37" s="76">
        <f t="shared" si="0"/>
        <v>909</v>
      </c>
      <c r="F37" s="77">
        <f t="shared" si="1"/>
        <v>90.718562874251489</v>
      </c>
    </row>
    <row r="38" spans="1:6">
      <c r="A38" s="75">
        <v>45523</v>
      </c>
      <c r="B38" s="76" t="s">
        <v>24</v>
      </c>
      <c r="C38" s="76">
        <v>571</v>
      </c>
      <c r="D38" s="76">
        <v>189</v>
      </c>
      <c r="E38" s="76">
        <f t="shared" si="0"/>
        <v>382</v>
      </c>
      <c r="F38" s="77">
        <f t="shared" si="1"/>
        <v>66.900175131348519</v>
      </c>
    </row>
    <row r="39" spans="1:6">
      <c r="A39" s="75">
        <v>45523</v>
      </c>
      <c r="B39" s="76" t="s">
        <v>397</v>
      </c>
      <c r="C39" s="76">
        <v>1240</v>
      </c>
      <c r="D39" s="76">
        <v>231</v>
      </c>
      <c r="E39" s="76">
        <f t="shared" si="0"/>
        <v>1009</v>
      </c>
      <c r="F39" s="77">
        <f t="shared" si="1"/>
        <v>81.370967741935488</v>
      </c>
    </row>
    <row r="40" spans="1:6">
      <c r="A40" s="75">
        <v>45530</v>
      </c>
      <c r="B40" s="76" t="s">
        <v>14</v>
      </c>
      <c r="C40" s="76">
        <v>1154</v>
      </c>
      <c r="D40" s="76">
        <v>132</v>
      </c>
      <c r="E40" s="76">
        <f t="shared" si="0"/>
        <v>1022</v>
      </c>
      <c r="F40" s="77">
        <f t="shared" si="1"/>
        <v>88.56152512998267</v>
      </c>
    </row>
    <row r="41" spans="1:6">
      <c r="A41" s="75">
        <v>45530</v>
      </c>
      <c r="B41" s="76" t="s">
        <v>24</v>
      </c>
      <c r="C41" s="76">
        <v>537</v>
      </c>
      <c r="D41" s="76">
        <v>275</v>
      </c>
      <c r="E41" s="76">
        <f t="shared" si="0"/>
        <v>262</v>
      </c>
      <c r="F41" s="77">
        <f t="shared" si="1"/>
        <v>48.789571694599623</v>
      </c>
    </row>
    <row r="42" spans="1:6">
      <c r="A42" s="75">
        <v>45530</v>
      </c>
      <c r="B42" s="76" t="s">
        <v>397</v>
      </c>
      <c r="C42" s="76">
        <v>1456</v>
      </c>
      <c r="D42" s="76">
        <v>290</v>
      </c>
      <c r="E42" s="76">
        <f t="shared" si="0"/>
        <v>1166</v>
      </c>
      <c r="F42" s="77">
        <f t="shared" si="1"/>
        <v>80.082417582417591</v>
      </c>
    </row>
    <row r="43" spans="1:6">
      <c r="A43" s="75">
        <v>45537</v>
      </c>
      <c r="B43" s="76" t="s">
        <v>14</v>
      </c>
      <c r="C43" s="76">
        <v>721</v>
      </c>
      <c r="D43" s="76">
        <v>206</v>
      </c>
      <c r="E43" s="76">
        <f t="shared" si="0"/>
        <v>515</v>
      </c>
      <c r="F43" s="77">
        <f t="shared" si="1"/>
        <v>71.428571428571431</v>
      </c>
    </row>
    <row r="44" spans="1:6">
      <c r="A44" s="75">
        <v>45537</v>
      </c>
      <c r="B44" s="76" t="s">
        <v>24</v>
      </c>
      <c r="C44" s="76">
        <v>1098</v>
      </c>
      <c r="D44" s="76">
        <v>142</v>
      </c>
      <c r="E44" s="76">
        <f t="shared" si="0"/>
        <v>956</v>
      </c>
      <c r="F44" s="77">
        <f t="shared" si="1"/>
        <v>87.06739526411657</v>
      </c>
    </row>
    <row r="45" spans="1:6">
      <c r="A45" s="75">
        <v>45537</v>
      </c>
      <c r="B45" s="76" t="s">
        <v>397</v>
      </c>
      <c r="C45" s="76">
        <v>1096</v>
      </c>
      <c r="D45" s="76">
        <v>65</v>
      </c>
      <c r="E45" s="76">
        <f t="shared" si="0"/>
        <v>1031</v>
      </c>
      <c r="F45" s="77">
        <f t="shared" si="1"/>
        <v>94.069343065693431</v>
      </c>
    </row>
    <row r="46" spans="1:6">
      <c r="A46" s="75">
        <v>45544</v>
      </c>
      <c r="B46" s="76" t="s">
        <v>14</v>
      </c>
      <c r="C46" s="76">
        <v>912</v>
      </c>
      <c r="D46" s="76">
        <v>275</v>
      </c>
      <c r="E46" s="76">
        <f t="shared" si="0"/>
        <v>637</v>
      </c>
      <c r="F46" s="77">
        <f t="shared" si="1"/>
        <v>69.846491228070178</v>
      </c>
    </row>
    <row r="47" spans="1:6">
      <c r="A47" s="75">
        <v>45544</v>
      </c>
      <c r="B47" s="76" t="s">
        <v>24</v>
      </c>
      <c r="C47" s="76">
        <v>1430</v>
      </c>
      <c r="D47" s="76">
        <v>162</v>
      </c>
      <c r="E47" s="76">
        <f t="shared" si="0"/>
        <v>1268</v>
      </c>
      <c r="F47" s="77">
        <f t="shared" si="1"/>
        <v>88.671328671328681</v>
      </c>
    </row>
    <row r="48" spans="1:6">
      <c r="A48" s="75">
        <v>45544</v>
      </c>
      <c r="B48" s="76" t="s">
        <v>397</v>
      </c>
      <c r="C48" s="76">
        <v>854</v>
      </c>
      <c r="D48" s="76">
        <v>129</v>
      </c>
      <c r="E48" s="76">
        <f t="shared" si="0"/>
        <v>725</v>
      </c>
      <c r="F48" s="77">
        <f t="shared" si="1"/>
        <v>84.894613583138181</v>
      </c>
    </row>
    <row r="49" spans="1:6">
      <c r="A49" s="75">
        <v>45551</v>
      </c>
      <c r="B49" s="76" t="s">
        <v>14</v>
      </c>
      <c r="C49" s="76">
        <v>681</v>
      </c>
      <c r="D49" s="76">
        <v>210</v>
      </c>
      <c r="E49" s="76">
        <f t="shared" si="0"/>
        <v>471</v>
      </c>
      <c r="F49" s="77">
        <f t="shared" si="1"/>
        <v>69.162995594713664</v>
      </c>
    </row>
    <row r="50" spans="1:6">
      <c r="A50" s="75">
        <v>45551</v>
      </c>
      <c r="B50" s="76" t="s">
        <v>24</v>
      </c>
      <c r="C50" s="76">
        <v>1373</v>
      </c>
      <c r="D50" s="76">
        <v>82</v>
      </c>
      <c r="E50" s="76">
        <f t="shared" si="0"/>
        <v>1291</v>
      </c>
      <c r="F50" s="77">
        <f t="shared" si="1"/>
        <v>94.027676620538969</v>
      </c>
    </row>
    <row r="51" spans="1:6">
      <c r="A51" s="75">
        <v>45551</v>
      </c>
      <c r="B51" s="76" t="s">
        <v>397</v>
      </c>
      <c r="C51" s="76">
        <v>685</v>
      </c>
      <c r="D51" s="76">
        <v>285</v>
      </c>
      <c r="E51" s="76">
        <f t="shared" si="0"/>
        <v>400</v>
      </c>
      <c r="F51" s="77">
        <f t="shared" si="1"/>
        <v>58.394160583941598</v>
      </c>
    </row>
    <row r="52" spans="1:6">
      <c r="A52" s="75">
        <v>45558</v>
      </c>
      <c r="B52" s="76" t="s">
        <v>14</v>
      </c>
      <c r="C52" s="76">
        <v>1290</v>
      </c>
      <c r="D52" s="76">
        <v>177</v>
      </c>
      <c r="E52" s="76">
        <f t="shared" si="0"/>
        <v>1113</v>
      </c>
      <c r="F52" s="77">
        <f t="shared" si="1"/>
        <v>86.279069767441868</v>
      </c>
    </row>
    <row r="53" spans="1:6">
      <c r="A53" s="75">
        <v>45558</v>
      </c>
      <c r="B53" s="76" t="s">
        <v>24</v>
      </c>
      <c r="C53" s="76">
        <v>1437</v>
      </c>
      <c r="D53" s="76">
        <v>239</v>
      </c>
      <c r="E53" s="76">
        <f t="shared" si="0"/>
        <v>1198</v>
      </c>
      <c r="F53" s="77">
        <f t="shared" si="1"/>
        <v>83.368128044537229</v>
      </c>
    </row>
    <row r="54" spans="1:6">
      <c r="A54" s="75">
        <v>45558</v>
      </c>
      <c r="B54" s="76" t="s">
        <v>397</v>
      </c>
      <c r="C54" s="76">
        <v>769</v>
      </c>
      <c r="D54" s="76">
        <v>295</v>
      </c>
      <c r="E54" s="76">
        <f t="shared" si="0"/>
        <v>474</v>
      </c>
      <c r="F54" s="77">
        <f t="shared" si="1"/>
        <v>61.638491547464234</v>
      </c>
    </row>
    <row r="55" spans="1:6">
      <c r="A55" s="75">
        <v>45565</v>
      </c>
      <c r="B55" s="76" t="s">
        <v>14</v>
      </c>
      <c r="C55" s="76">
        <v>1416</v>
      </c>
      <c r="D55" s="76">
        <v>284</v>
      </c>
      <c r="E55" s="76">
        <f t="shared" si="0"/>
        <v>1132</v>
      </c>
      <c r="F55" s="77">
        <f t="shared" si="1"/>
        <v>79.943502824858754</v>
      </c>
    </row>
    <row r="56" spans="1:6">
      <c r="A56" s="75">
        <v>45565</v>
      </c>
      <c r="B56" s="76" t="s">
        <v>24</v>
      </c>
      <c r="C56" s="76">
        <v>998</v>
      </c>
      <c r="D56" s="76">
        <v>154</v>
      </c>
      <c r="E56" s="76">
        <f t="shared" si="0"/>
        <v>844</v>
      </c>
      <c r="F56" s="77">
        <f t="shared" si="1"/>
        <v>84.569138276553105</v>
      </c>
    </row>
    <row r="57" spans="1:6">
      <c r="A57" s="75">
        <v>45565</v>
      </c>
      <c r="B57" s="76" t="s">
        <v>397</v>
      </c>
      <c r="C57" s="76">
        <v>1421</v>
      </c>
      <c r="D57" s="76">
        <v>246</v>
      </c>
      <c r="E57" s="76">
        <f t="shared" si="0"/>
        <v>1175</v>
      </c>
      <c r="F57" s="77">
        <f t="shared" si="1"/>
        <v>82.688247712878265</v>
      </c>
    </row>
    <row r="58" spans="1:6">
      <c r="A58" s="75">
        <v>45572</v>
      </c>
      <c r="B58" s="76" t="s">
        <v>14</v>
      </c>
      <c r="C58" s="76">
        <v>764</v>
      </c>
      <c r="D58" s="76">
        <v>205</v>
      </c>
      <c r="E58" s="76">
        <f t="shared" si="0"/>
        <v>559</v>
      </c>
      <c r="F58" s="77">
        <f t="shared" si="1"/>
        <v>73.167539267015698</v>
      </c>
    </row>
    <row r="59" spans="1:6">
      <c r="A59" s="75">
        <v>45572</v>
      </c>
      <c r="B59" s="76" t="s">
        <v>24</v>
      </c>
      <c r="C59" s="76">
        <v>678</v>
      </c>
      <c r="D59" s="76">
        <v>124</v>
      </c>
      <c r="E59" s="76">
        <f t="shared" si="0"/>
        <v>554</v>
      </c>
      <c r="F59" s="77">
        <f t="shared" si="1"/>
        <v>81.710914454277287</v>
      </c>
    </row>
    <row r="60" spans="1:6">
      <c r="A60" s="75">
        <v>45572</v>
      </c>
      <c r="B60" s="76" t="s">
        <v>397</v>
      </c>
      <c r="C60" s="76">
        <v>1328</v>
      </c>
      <c r="D60" s="76">
        <v>103</v>
      </c>
      <c r="E60" s="76">
        <f t="shared" si="0"/>
        <v>1225</v>
      </c>
      <c r="F60" s="77">
        <f t="shared" si="1"/>
        <v>92.243975903614455</v>
      </c>
    </row>
    <row r="61" spans="1:6">
      <c r="A61" s="75">
        <v>45579</v>
      </c>
      <c r="B61" s="76" t="s">
        <v>14</v>
      </c>
      <c r="C61" s="76">
        <v>1161</v>
      </c>
      <c r="D61" s="76">
        <v>269</v>
      </c>
      <c r="E61" s="76">
        <f t="shared" si="0"/>
        <v>892</v>
      </c>
      <c r="F61" s="77">
        <f t="shared" si="1"/>
        <v>76.830318690783798</v>
      </c>
    </row>
    <row r="62" spans="1:6">
      <c r="A62" s="75">
        <v>45579</v>
      </c>
      <c r="B62" s="76" t="s">
        <v>24</v>
      </c>
      <c r="C62" s="76">
        <v>588</v>
      </c>
      <c r="D62" s="76">
        <v>52</v>
      </c>
      <c r="E62" s="76">
        <f t="shared" si="0"/>
        <v>536</v>
      </c>
      <c r="F62" s="77">
        <f t="shared" si="1"/>
        <v>91.156462585034021</v>
      </c>
    </row>
    <row r="63" spans="1:6">
      <c r="A63" s="75">
        <v>45579</v>
      </c>
      <c r="B63" s="76" t="s">
        <v>397</v>
      </c>
      <c r="C63" s="76">
        <v>1457</v>
      </c>
      <c r="D63" s="76">
        <v>215</v>
      </c>
      <c r="E63" s="76">
        <f t="shared" si="0"/>
        <v>1242</v>
      </c>
      <c r="F63" s="77">
        <f t="shared" si="1"/>
        <v>85.243651338366504</v>
      </c>
    </row>
    <row r="64" spans="1:6">
      <c r="A64" s="75">
        <v>45586</v>
      </c>
      <c r="B64" s="76" t="s">
        <v>14</v>
      </c>
      <c r="C64" s="76">
        <v>1190</v>
      </c>
      <c r="D64" s="76">
        <v>242</v>
      </c>
      <c r="E64" s="76">
        <f t="shared" si="0"/>
        <v>948</v>
      </c>
      <c r="F64" s="77">
        <f t="shared" si="1"/>
        <v>79.663865546218489</v>
      </c>
    </row>
    <row r="65" spans="1:6">
      <c r="A65" s="75">
        <v>45586</v>
      </c>
      <c r="B65" s="76" t="s">
        <v>24</v>
      </c>
      <c r="C65" s="76">
        <v>886</v>
      </c>
      <c r="D65" s="76">
        <v>124</v>
      </c>
      <c r="E65" s="76">
        <f t="shared" si="0"/>
        <v>762</v>
      </c>
      <c r="F65" s="77">
        <f t="shared" si="1"/>
        <v>86.004514672686227</v>
      </c>
    </row>
    <row r="66" spans="1:6">
      <c r="A66" s="75">
        <v>45586</v>
      </c>
      <c r="B66" s="76" t="s">
        <v>397</v>
      </c>
      <c r="C66" s="76">
        <v>1237</v>
      </c>
      <c r="D66" s="76">
        <v>155</v>
      </c>
      <c r="E66" s="76">
        <f t="shared" si="0"/>
        <v>1082</v>
      </c>
      <c r="F66" s="77">
        <f t="shared" si="1"/>
        <v>87.469684721099441</v>
      </c>
    </row>
    <row r="67" spans="1:6">
      <c r="A67" s="75">
        <v>45593</v>
      </c>
      <c r="B67" s="76" t="s">
        <v>14</v>
      </c>
      <c r="C67" s="76">
        <v>1435</v>
      </c>
      <c r="D67" s="76">
        <v>261</v>
      </c>
      <c r="E67" s="76">
        <f t="shared" si="0"/>
        <v>1174</v>
      </c>
      <c r="F67" s="77">
        <f t="shared" si="1"/>
        <v>81.811846689895475</v>
      </c>
    </row>
    <row r="68" spans="1:6">
      <c r="A68" s="75">
        <v>45593</v>
      </c>
      <c r="B68" s="76" t="s">
        <v>24</v>
      </c>
      <c r="C68" s="76">
        <v>746</v>
      </c>
      <c r="D68" s="76">
        <v>282</v>
      </c>
      <c r="E68" s="76">
        <f t="shared" ref="E68:E131" si="2">C68-D68</f>
        <v>464</v>
      </c>
      <c r="F68" s="77">
        <f t="shared" ref="F68:F131" si="3">E68/C68*100</f>
        <v>62.198391420911527</v>
      </c>
    </row>
    <row r="69" spans="1:6">
      <c r="A69" s="75">
        <v>45593</v>
      </c>
      <c r="B69" s="76" t="s">
        <v>397</v>
      </c>
      <c r="C69" s="76">
        <v>759</v>
      </c>
      <c r="D69" s="76">
        <v>216</v>
      </c>
      <c r="E69" s="76">
        <f t="shared" si="2"/>
        <v>543</v>
      </c>
      <c r="F69" s="77">
        <f t="shared" si="3"/>
        <v>71.541501976284579</v>
      </c>
    </row>
    <row r="70" spans="1:6">
      <c r="A70" s="75">
        <v>45600</v>
      </c>
      <c r="B70" s="76" t="s">
        <v>14</v>
      </c>
      <c r="C70" s="76">
        <v>1437</v>
      </c>
      <c r="D70" s="76">
        <v>235</v>
      </c>
      <c r="E70" s="76">
        <f t="shared" si="2"/>
        <v>1202</v>
      </c>
      <c r="F70" s="77">
        <f t="shared" si="3"/>
        <v>83.646485734168408</v>
      </c>
    </row>
    <row r="71" spans="1:6">
      <c r="A71" s="75">
        <v>45600</v>
      </c>
      <c r="B71" s="76" t="s">
        <v>24</v>
      </c>
      <c r="C71" s="76">
        <v>1463</v>
      </c>
      <c r="D71" s="76">
        <v>73</v>
      </c>
      <c r="E71" s="76">
        <f t="shared" si="2"/>
        <v>1390</v>
      </c>
      <c r="F71" s="77">
        <f t="shared" si="3"/>
        <v>95.010252904989741</v>
      </c>
    </row>
    <row r="72" spans="1:6">
      <c r="A72" s="75">
        <v>45600</v>
      </c>
      <c r="B72" s="76" t="s">
        <v>397</v>
      </c>
      <c r="C72" s="76">
        <v>1208</v>
      </c>
      <c r="D72" s="76">
        <v>224</v>
      </c>
      <c r="E72" s="76">
        <f t="shared" si="2"/>
        <v>984</v>
      </c>
      <c r="F72" s="77">
        <f t="shared" si="3"/>
        <v>81.456953642384107</v>
      </c>
    </row>
    <row r="73" spans="1:6">
      <c r="A73" s="75">
        <v>45607</v>
      </c>
      <c r="B73" s="76" t="s">
        <v>14</v>
      </c>
      <c r="C73" s="76">
        <v>1391</v>
      </c>
      <c r="D73" s="76">
        <v>187</v>
      </c>
      <c r="E73" s="76">
        <f t="shared" si="2"/>
        <v>1204</v>
      </c>
      <c r="F73" s="77">
        <f t="shared" si="3"/>
        <v>86.556434219985618</v>
      </c>
    </row>
    <row r="74" spans="1:6">
      <c r="A74" s="75">
        <v>45607</v>
      </c>
      <c r="B74" s="76" t="s">
        <v>24</v>
      </c>
      <c r="C74" s="76">
        <v>655</v>
      </c>
      <c r="D74" s="76">
        <v>123</v>
      </c>
      <c r="E74" s="76">
        <f t="shared" si="2"/>
        <v>532</v>
      </c>
      <c r="F74" s="77">
        <f t="shared" si="3"/>
        <v>81.221374045801525</v>
      </c>
    </row>
    <row r="75" spans="1:6">
      <c r="A75" s="75">
        <v>45607</v>
      </c>
      <c r="B75" s="76" t="s">
        <v>397</v>
      </c>
      <c r="C75" s="76">
        <v>1148</v>
      </c>
      <c r="D75" s="76">
        <v>90</v>
      </c>
      <c r="E75" s="76">
        <f t="shared" si="2"/>
        <v>1058</v>
      </c>
      <c r="F75" s="77">
        <f t="shared" si="3"/>
        <v>92.160278745644604</v>
      </c>
    </row>
    <row r="76" spans="1:6">
      <c r="A76" s="75">
        <v>45614</v>
      </c>
      <c r="B76" s="76" t="s">
        <v>14</v>
      </c>
      <c r="C76" s="76">
        <v>946</v>
      </c>
      <c r="D76" s="76">
        <v>270</v>
      </c>
      <c r="E76" s="76">
        <f t="shared" si="2"/>
        <v>676</v>
      </c>
      <c r="F76" s="77">
        <f t="shared" si="3"/>
        <v>71.458773784355174</v>
      </c>
    </row>
    <row r="77" spans="1:6">
      <c r="A77" s="75">
        <v>45614</v>
      </c>
      <c r="B77" s="76" t="s">
        <v>24</v>
      </c>
      <c r="C77" s="76">
        <v>791</v>
      </c>
      <c r="D77" s="76">
        <v>214</v>
      </c>
      <c r="E77" s="76">
        <f t="shared" si="2"/>
        <v>577</v>
      </c>
      <c r="F77" s="77">
        <f t="shared" si="3"/>
        <v>72.945638432364106</v>
      </c>
    </row>
    <row r="78" spans="1:6">
      <c r="A78" s="75">
        <v>45614</v>
      </c>
      <c r="B78" s="76" t="s">
        <v>397</v>
      </c>
      <c r="C78" s="76">
        <v>793</v>
      </c>
      <c r="D78" s="76">
        <v>111</v>
      </c>
      <c r="E78" s="76">
        <f t="shared" si="2"/>
        <v>682</v>
      </c>
      <c r="F78" s="77">
        <f t="shared" si="3"/>
        <v>86.002522068095843</v>
      </c>
    </row>
    <row r="79" spans="1:6">
      <c r="A79" s="75">
        <v>45621</v>
      </c>
      <c r="B79" s="76" t="s">
        <v>14</v>
      </c>
      <c r="C79" s="76">
        <v>663</v>
      </c>
      <c r="D79" s="76">
        <v>213</v>
      </c>
      <c r="E79" s="76">
        <f t="shared" si="2"/>
        <v>450</v>
      </c>
      <c r="F79" s="77">
        <f t="shared" si="3"/>
        <v>67.873303167420815</v>
      </c>
    </row>
    <row r="80" spans="1:6">
      <c r="A80" s="75">
        <v>45621</v>
      </c>
      <c r="B80" s="76" t="s">
        <v>24</v>
      </c>
      <c r="C80" s="76">
        <v>954</v>
      </c>
      <c r="D80" s="76">
        <v>271</v>
      </c>
      <c r="E80" s="76">
        <f t="shared" si="2"/>
        <v>683</v>
      </c>
      <c r="F80" s="77">
        <f t="shared" si="3"/>
        <v>71.59329140461216</v>
      </c>
    </row>
    <row r="81" spans="1:6">
      <c r="A81" s="75">
        <v>45621</v>
      </c>
      <c r="B81" s="76" t="s">
        <v>397</v>
      </c>
      <c r="C81" s="76">
        <v>1313</v>
      </c>
      <c r="D81" s="76">
        <v>159</v>
      </c>
      <c r="E81" s="76">
        <f t="shared" si="2"/>
        <v>1154</v>
      </c>
      <c r="F81" s="77">
        <f t="shared" si="3"/>
        <v>87.890327494287888</v>
      </c>
    </row>
    <row r="82" spans="1:6">
      <c r="A82" s="75">
        <v>45628</v>
      </c>
      <c r="B82" s="76" t="s">
        <v>14</v>
      </c>
      <c r="C82" s="76">
        <v>895</v>
      </c>
      <c r="D82" s="76">
        <v>87</v>
      </c>
      <c r="E82" s="76">
        <f t="shared" si="2"/>
        <v>808</v>
      </c>
      <c r="F82" s="77">
        <f t="shared" si="3"/>
        <v>90.279329608938554</v>
      </c>
    </row>
    <row r="83" spans="1:6">
      <c r="A83" s="75">
        <v>45628</v>
      </c>
      <c r="B83" s="76" t="s">
        <v>24</v>
      </c>
      <c r="C83" s="76">
        <v>1027</v>
      </c>
      <c r="D83" s="76">
        <v>156</v>
      </c>
      <c r="E83" s="76">
        <f t="shared" si="2"/>
        <v>871</v>
      </c>
      <c r="F83" s="77">
        <f t="shared" si="3"/>
        <v>84.810126582278471</v>
      </c>
    </row>
    <row r="84" spans="1:6">
      <c r="A84" s="75">
        <v>45628</v>
      </c>
      <c r="B84" s="76" t="s">
        <v>397</v>
      </c>
      <c r="C84" s="76">
        <v>990</v>
      </c>
      <c r="D84" s="76">
        <v>286</v>
      </c>
      <c r="E84" s="76">
        <f t="shared" si="2"/>
        <v>704</v>
      </c>
      <c r="F84" s="77">
        <f t="shared" si="3"/>
        <v>71.111111111111114</v>
      </c>
    </row>
    <row r="85" spans="1:6">
      <c r="A85" s="75">
        <v>45635</v>
      </c>
      <c r="B85" s="76" t="s">
        <v>14</v>
      </c>
      <c r="C85" s="76">
        <v>875</v>
      </c>
      <c r="D85" s="76">
        <v>264</v>
      </c>
      <c r="E85" s="76">
        <f t="shared" si="2"/>
        <v>611</v>
      </c>
      <c r="F85" s="77">
        <f t="shared" si="3"/>
        <v>69.828571428571422</v>
      </c>
    </row>
    <row r="86" spans="1:6">
      <c r="A86" s="75">
        <v>45635</v>
      </c>
      <c r="B86" s="76" t="s">
        <v>24</v>
      </c>
      <c r="C86" s="76">
        <v>599</v>
      </c>
      <c r="D86" s="76">
        <v>194</v>
      </c>
      <c r="E86" s="76">
        <f t="shared" si="2"/>
        <v>405</v>
      </c>
      <c r="F86" s="77">
        <f t="shared" si="3"/>
        <v>67.612687813021694</v>
      </c>
    </row>
    <row r="87" spans="1:6">
      <c r="A87" s="75">
        <v>45635</v>
      </c>
      <c r="B87" s="76" t="s">
        <v>397</v>
      </c>
      <c r="C87" s="76">
        <v>630</v>
      </c>
      <c r="D87" s="76">
        <v>248</v>
      </c>
      <c r="E87" s="76">
        <f t="shared" si="2"/>
        <v>382</v>
      </c>
      <c r="F87" s="77">
        <f t="shared" si="3"/>
        <v>60.634920634920633</v>
      </c>
    </row>
    <row r="88" spans="1:6">
      <c r="A88" s="75">
        <v>45642</v>
      </c>
      <c r="B88" s="76" t="s">
        <v>14</v>
      </c>
      <c r="C88" s="76">
        <v>1350</v>
      </c>
      <c r="D88" s="76">
        <v>233</v>
      </c>
      <c r="E88" s="76">
        <f t="shared" si="2"/>
        <v>1117</v>
      </c>
      <c r="F88" s="77">
        <f t="shared" si="3"/>
        <v>82.740740740740733</v>
      </c>
    </row>
    <row r="89" spans="1:6">
      <c r="A89" s="75">
        <v>45642</v>
      </c>
      <c r="B89" s="76" t="s">
        <v>24</v>
      </c>
      <c r="C89" s="76">
        <v>632</v>
      </c>
      <c r="D89" s="76">
        <v>155</v>
      </c>
      <c r="E89" s="76">
        <f t="shared" si="2"/>
        <v>477</v>
      </c>
      <c r="F89" s="77">
        <f t="shared" si="3"/>
        <v>75.474683544303801</v>
      </c>
    </row>
    <row r="90" spans="1:6">
      <c r="A90" s="75">
        <v>45642</v>
      </c>
      <c r="B90" s="76" t="s">
        <v>397</v>
      </c>
      <c r="C90" s="76">
        <v>1182</v>
      </c>
      <c r="D90" s="76">
        <v>83</v>
      </c>
      <c r="E90" s="76">
        <f t="shared" si="2"/>
        <v>1099</v>
      </c>
      <c r="F90" s="77">
        <f t="shared" si="3"/>
        <v>92.978003384094748</v>
      </c>
    </row>
    <row r="91" spans="1:6">
      <c r="A91" s="75">
        <v>45649</v>
      </c>
      <c r="B91" s="76" t="s">
        <v>14</v>
      </c>
      <c r="C91" s="76">
        <v>661</v>
      </c>
      <c r="D91" s="76">
        <v>94</v>
      </c>
      <c r="E91" s="76">
        <f t="shared" si="2"/>
        <v>567</v>
      </c>
      <c r="F91" s="77">
        <f t="shared" si="3"/>
        <v>85.779122541603641</v>
      </c>
    </row>
    <row r="92" spans="1:6">
      <c r="A92" s="75">
        <v>45649</v>
      </c>
      <c r="B92" s="76" t="s">
        <v>24</v>
      </c>
      <c r="C92" s="76">
        <v>1360</v>
      </c>
      <c r="D92" s="76">
        <v>227</v>
      </c>
      <c r="E92" s="76">
        <f t="shared" si="2"/>
        <v>1133</v>
      </c>
      <c r="F92" s="77">
        <f t="shared" si="3"/>
        <v>83.308823529411768</v>
      </c>
    </row>
    <row r="93" spans="1:6">
      <c r="A93" s="75">
        <v>45649</v>
      </c>
      <c r="B93" s="76" t="s">
        <v>397</v>
      </c>
      <c r="C93" s="76">
        <v>935</v>
      </c>
      <c r="D93" s="76">
        <v>85</v>
      </c>
      <c r="E93" s="76">
        <f t="shared" si="2"/>
        <v>850</v>
      </c>
      <c r="F93" s="77">
        <f t="shared" si="3"/>
        <v>90.909090909090907</v>
      </c>
    </row>
    <row r="94" spans="1:6">
      <c r="A94" s="75">
        <v>45656</v>
      </c>
      <c r="B94" s="76" t="s">
        <v>14</v>
      </c>
      <c r="C94" s="76">
        <v>664</v>
      </c>
      <c r="D94" s="76">
        <v>251</v>
      </c>
      <c r="E94" s="76">
        <f t="shared" si="2"/>
        <v>413</v>
      </c>
      <c r="F94" s="77">
        <f t="shared" si="3"/>
        <v>62.19879518072289</v>
      </c>
    </row>
    <row r="95" spans="1:6">
      <c r="A95" s="75">
        <v>45656</v>
      </c>
      <c r="B95" s="76" t="s">
        <v>24</v>
      </c>
      <c r="C95" s="76">
        <v>1490</v>
      </c>
      <c r="D95" s="76">
        <v>103</v>
      </c>
      <c r="E95" s="76">
        <f t="shared" si="2"/>
        <v>1387</v>
      </c>
      <c r="F95" s="77">
        <f t="shared" si="3"/>
        <v>93.087248322147659</v>
      </c>
    </row>
    <row r="96" spans="1:6">
      <c r="A96" s="75">
        <v>45656</v>
      </c>
      <c r="B96" s="76" t="s">
        <v>397</v>
      </c>
      <c r="C96" s="76">
        <v>601</v>
      </c>
      <c r="D96" s="76">
        <v>64</v>
      </c>
      <c r="E96" s="76">
        <f t="shared" si="2"/>
        <v>537</v>
      </c>
      <c r="F96" s="77">
        <f t="shared" si="3"/>
        <v>89.351081530782025</v>
      </c>
    </row>
    <row r="97" spans="1:6">
      <c r="A97" s="75">
        <v>45663</v>
      </c>
      <c r="B97" s="76" t="s">
        <v>14</v>
      </c>
      <c r="C97" s="76">
        <v>613</v>
      </c>
      <c r="D97" s="76">
        <v>170</v>
      </c>
      <c r="E97" s="76">
        <f t="shared" si="2"/>
        <v>443</v>
      </c>
      <c r="F97" s="77">
        <f t="shared" si="3"/>
        <v>72.26753670473083</v>
      </c>
    </row>
    <row r="98" spans="1:6">
      <c r="A98" s="75">
        <v>45663</v>
      </c>
      <c r="B98" s="76" t="s">
        <v>24</v>
      </c>
      <c r="C98" s="76">
        <v>1340</v>
      </c>
      <c r="D98" s="76">
        <v>57</v>
      </c>
      <c r="E98" s="76">
        <f t="shared" si="2"/>
        <v>1283</v>
      </c>
      <c r="F98" s="77">
        <f t="shared" si="3"/>
        <v>95.74626865671641</v>
      </c>
    </row>
    <row r="99" spans="1:6">
      <c r="A99" s="75">
        <v>45663</v>
      </c>
      <c r="B99" s="76" t="s">
        <v>397</v>
      </c>
      <c r="C99" s="76">
        <v>953</v>
      </c>
      <c r="D99" s="76">
        <v>228</v>
      </c>
      <c r="E99" s="76">
        <f t="shared" si="2"/>
        <v>725</v>
      </c>
      <c r="F99" s="77">
        <f t="shared" si="3"/>
        <v>76.075550891920258</v>
      </c>
    </row>
    <row r="100" spans="1:6">
      <c r="A100" s="75">
        <v>45670</v>
      </c>
      <c r="B100" s="76" t="s">
        <v>14</v>
      </c>
      <c r="C100" s="76">
        <v>532</v>
      </c>
      <c r="D100" s="76">
        <v>65</v>
      </c>
      <c r="E100" s="76">
        <f t="shared" si="2"/>
        <v>467</v>
      </c>
      <c r="F100" s="77">
        <f t="shared" si="3"/>
        <v>87.781954887218049</v>
      </c>
    </row>
    <row r="101" spans="1:6">
      <c r="A101" s="75">
        <v>45670</v>
      </c>
      <c r="B101" s="76" t="s">
        <v>24</v>
      </c>
      <c r="C101" s="76">
        <v>1414</v>
      </c>
      <c r="D101" s="76">
        <v>60</v>
      </c>
      <c r="E101" s="76">
        <f t="shared" si="2"/>
        <v>1354</v>
      </c>
      <c r="F101" s="77">
        <f t="shared" si="3"/>
        <v>95.756718528995748</v>
      </c>
    </row>
    <row r="102" spans="1:6">
      <c r="A102" s="75">
        <v>45670</v>
      </c>
      <c r="B102" s="76" t="s">
        <v>397</v>
      </c>
      <c r="C102" s="76">
        <v>685</v>
      </c>
      <c r="D102" s="76">
        <v>165</v>
      </c>
      <c r="E102" s="76">
        <f t="shared" si="2"/>
        <v>520</v>
      </c>
      <c r="F102" s="77">
        <f t="shared" si="3"/>
        <v>75.912408759124077</v>
      </c>
    </row>
    <row r="103" spans="1:6">
      <c r="A103" s="75">
        <v>45677</v>
      </c>
      <c r="B103" s="76" t="s">
        <v>14</v>
      </c>
      <c r="C103" s="76">
        <v>601</v>
      </c>
      <c r="D103" s="76">
        <v>159</v>
      </c>
      <c r="E103" s="76">
        <f t="shared" si="2"/>
        <v>442</v>
      </c>
      <c r="F103" s="77">
        <f t="shared" si="3"/>
        <v>73.544093178036604</v>
      </c>
    </row>
    <row r="104" spans="1:6">
      <c r="A104" s="75">
        <v>45677</v>
      </c>
      <c r="B104" s="76" t="s">
        <v>24</v>
      </c>
      <c r="C104" s="76">
        <v>841</v>
      </c>
      <c r="D104" s="76">
        <v>295</v>
      </c>
      <c r="E104" s="76">
        <f t="shared" si="2"/>
        <v>546</v>
      </c>
      <c r="F104" s="77">
        <f t="shared" si="3"/>
        <v>64.922711058263971</v>
      </c>
    </row>
    <row r="105" spans="1:6">
      <c r="A105" s="75">
        <v>45677</v>
      </c>
      <c r="B105" s="76" t="s">
        <v>397</v>
      </c>
      <c r="C105" s="76">
        <v>1105</v>
      </c>
      <c r="D105" s="76">
        <v>261</v>
      </c>
      <c r="E105" s="76">
        <f t="shared" si="2"/>
        <v>844</v>
      </c>
      <c r="F105" s="77">
        <f t="shared" si="3"/>
        <v>76.380090497737555</v>
      </c>
    </row>
    <row r="106" spans="1:6">
      <c r="A106" s="75">
        <v>45684</v>
      </c>
      <c r="B106" s="76" t="s">
        <v>14</v>
      </c>
      <c r="C106" s="76">
        <v>566</v>
      </c>
      <c r="D106" s="76">
        <v>225</v>
      </c>
      <c r="E106" s="76">
        <f t="shared" si="2"/>
        <v>341</v>
      </c>
      <c r="F106" s="77">
        <f t="shared" si="3"/>
        <v>60.247349823321549</v>
      </c>
    </row>
    <row r="107" spans="1:6">
      <c r="A107" s="75">
        <v>45684</v>
      </c>
      <c r="B107" s="76" t="s">
        <v>24</v>
      </c>
      <c r="C107" s="76">
        <v>1149</v>
      </c>
      <c r="D107" s="76">
        <v>280</v>
      </c>
      <c r="E107" s="76">
        <f t="shared" si="2"/>
        <v>869</v>
      </c>
      <c r="F107" s="77">
        <f t="shared" si="3"/>
        <v>75.630983463881634</v>
      </c>
    </row>
    <row r="108" spans="1:6">
      <c r="A108" s="75">
        <v>45684</v>
      </c>
      <c r="B108" s="76" t="s">
        <v>397</v>
      </c>
      <c r="C108" s="76">
        <v>819</v>
      </c>
      <c r="D108" s="76">
        <v>101</v>
      </c>
      <c r="E108" s="76">
        <f t="shared" si="2"/>
        <v>718</v>
      </c>
      <c r="F108" s="77">
        <f t="shared" si="3"/>
        <v>87.667887667887669</v>
      </c>
    </row>
    <row r="109" spans="1:6">
      <c r="A109" s="75">
        <v>45691</v>
      </c>
      <c r="B109" s="76" t="s">
        <v>14</v>
      </c>
      <c r="C109" s="76">
        <v>795</v>
      </c>
      <c r="D109" s="76">
        <v>60</v>
      </c>
      <c r="E109" s="76">
        <f t="shared" si="2"/>
        <v>735</v>
      </c>
      <c r="F109" s="77">
        <f t="shared" si="3"/>
        <v>92.452830188679243</v>
      </c>
    </row>
    <row r="110" spans="1:6">
      <c r="A110" s="75">
        <v>45691</v>
      </c>
      <c r="B110" s="76" t="s">
        <v>24</v>
      </c>
      <c r="C110" s="76">
        <v>681</v>
      </c>
      <c r="D110" s="76">
        <v>158</v>
      </c>
      <c r="E110" s="76">
        <f t="shared" si="2"/>
        <v>523</v>
      </c>
      <c r="F110" s="77">
        <f t="shared" si="3"/>
        <v>76.798825256975036</v>
      </c>
    </row>
    <row r="111" spans="1:6">
      <c r="A111" s="75">
        <v>45691</v>
      </c>
      <c r="B111" s="76" t="s">
        <v>397</v>
      </c>
      <c r="C111" s="76">
        <v>534</v>
      </c>
      <c r="D111" s="76">
        <v>112</v>
      </c>
      <c r="E111" s="76">
        <f t="shared" si="2"/>
        <v>422</v>
      </c>
      <c r="F111" s="77">
        <f t="shared" si="3"/>
        <v>79.026217228464418</v>
      </c>
    </row>
    <row r="112" spans="1:6">
      <c r="A112" s="75">
        <v>45698</v>
      </c>
      <c r="B112" s="76" t="s">
        <v>14</v>
      </c>
      <c r="C112" s="76">
        <v>1066</v>
      </c>
      <c r="D112" s="76">
        <v>151</v>
      </c>
      <c r="E112" s="76">
        <f t="shared" si="2"/>
        <v>915</v>
      </c>
      <c r="F112" s="77">
        <f t="shared" si="3"/>
        <v>85.834896810506564</v>
      </c>
    </row>
    <row r="113" spans="1:6">
      <c r="A113" s="75">
        <v>45698</v>
      </c>
      <c r="B113" s="76" t="s">
        <v>24</v>
      </c>
      <c r="C113" s="76">
        <v>1270</v>
      </c>
      <c r="D113" s="76">
        <v>162</v>
      </c>
      <c r="E113" s="76">
        <f t="shared" si="2"/>
        <v>1108</v>
      </c>
      <c r="F113" s="77">
        <f t="shared" si="3"/>
        <v>87.244094488188978</v>
      </c>
    </row>
    <row r="114" spans="1:6">
      <c r="A114" s="75">
        <v>45698</v>
      </c>
      <c r="B114" s="76" t="s">
        <v>397</v>
      </c>
      <c r="C114" s="76">
        <v>536</v>
      </c>
      <c r="D114" s="76">
        <v>198</v>
      </c>
      <c r="E114" s="76">
        <f t="shared" si="2"/>
        <v>338</v>
      </c>
      <c r="F114" s="77">
        <f t="shared" si="3"/>
        <v>63.059701492537314</v>
      </c>
    </row>
    <row r="115" spans="1:6">
      <c r="A115" s="75">
        <v>45705</v>
      </c>
      <c r="B115" s="76" t="s">
        <v>14</v>
      </c>
      <c r="C115" s="76">
        <v>819</v>
      </c>
      <c r="D115" s="76">
        <v>95</v>
      </c>
      <c r="E115" s="76">
        <f t="shared" si="2"/>
        <v>724</v>
      </c>
      <c r="F115" s="77">
        <f t="shared" si="3"/>
        <v>88.400488400488399</v>
      </c>
    </row>
    <row r="116" spans="1:6">
      <c r="A116" s="75">
        <v>45705</v>
      </c>
      <c r="B116" s="76" t="s">
        <v>24</v>
      </c>
      <c r="C116" s="76">
        <v>681</v>
      </c>
      <c r="D116" s="76">
        <v>218</v>
      </c>
      <c r="E116" s="76">
        <f t="shared" si="2"/>
        <v>463</v>
      </c>
      <c r="F116" s="77">
        <f t="shared" si="3"/>
        <v>67.988252569750358</v>
      </c>
    </row>
    <row r="117" spans="1:6">
      <c r="A117" s="75">
        <v>45705</v>
      </c>
      <c r="B117" s="76" t="s">
        <v>397</v>
      </c>
      <c r="C117" s="76">
        <v>646</v>
      </c>
      <c r="D117" s="76">
        <v>290</v>
      </c>
      <c r="E117" s="76">
        <f t="shared" si="2"/>
        <v>356</v>
      </c>
      <c r="F117" s="77">
        <f t="shared" si="3"/>
        <v>55.108359133126939</v>
      </c>
    </row>
    <row r="118" spans="1:6">
      <c r="A118" s="75">
        <v>45712</v>
      </c>
      <c r="B118" s="76" t="s">
        <v>14</v>
      </c>
      <c r="C118" s="76">
        <v>645</v>
      </c>
      <c r="D118" s="76">
        <v>267</v>
      </c>
      <c r="E118" s="76">
        <f t="shared" si="2"/>
        <v>378</v>
      </c>
      <c r="F118" s="77">
        <f t="shared" si="3"/>
        <v>58.604651162790702</v>
      </c>
    </row>
    <row r="119" spans="1:6">
      <c r="A119" s="75">
        <v>45712</v>
      </c>
      <c r="B119" s="76" t="s">
        <v>24</v>
      </c>
      <c r="C119" s="76">
        <v>886</v>
      </c>
      <c r="D119" s="76">
        <v>250</v>
      </c>
      <c r="E119" s="76">
        <f t="shared" si="2"/>
        <v>636</v>
      </c>
      <c r="F119" s="77">
        <f t="shared" si="3"/>
        <v>71.783295711060944</v>
      </c>
    </row>
    <row r="120" spans="1:6">
      <c r="A120" s="75">
        <v>45712</v>
      </c>
      <c r="B120" s="76" t="s">
        <v>397</v>
      </c>
      <c r="C120" s="76">
        <v>978</v>
      </c>
      <c r="D120" s="76">
        <v>279</v>
      </c>
      <c r="E120" s="76">
        <f t="shared" si="2"/>
        <v>699</v>
      </c>
      <c r="F120" s="77">
        <f t="shared" si="3"/>
        <v>71.472392638036808</v>
      </c>
    </row>
    <row r="121" spans="1:6">
      <c r="A121" s="75">
        <v>45719</v>
      </c>
      <c r="B121" s="76" t="s">
        <v>14</v>
      </c>
      <c r="C121" s="76">
        <v>1444</v>
      </c>
      <c r="D121" s="76">
        <v>165</v>
      </c>
      <c r="E121" s="76">
        <f t="shared" si="2"/>
        <v>1279</v>
      </c>
      <c r="F121" s="77">
        <f t="shared" si="3"/>
        <v>88.573407202216075</v>
      </c>
    </row>
    <row r="122" spans="1:6">
      <c r="A122" s="75">
        <v>45719</v>
      </c>
      <c r="B122" s="76" t="s">
        <v>24</v>
      </c>
      <c r="C122" s="76">
        <v>1234</v>
      </c>
      <c r="D122" s="76">
        <v>228</v>
      </c>
      <c r="E122" s="76">
        <f t="shared" si="2"/>
        <v>1006</v>
      </c>
      <c r="F122" s="77">
        <f t="shared" si="3"/>
        <v>81.523500810372767</v>
      </c>
    </row>
    <row r="123" spans="1:6">
      <c r="A123" s="75">
        <v>45719</v>
      </c>
      <c r="B123" s="76" t="s">
        <v>397</v>
      </c>
      <c r="C123" s="76">
        <v>665</v>
      </c>
      <c r="D123" s="76">
        <v>187</v>
      </c>
      <c r="E123" s="76">
        <f t="shared" si="2"/>
        <v>478</v>
      </c>
      <c r="F123" s="77">
        <f t="shared" si="3"/>
        <v>71.879699248120303</v>
      </c>
    </row>
    <row r="124" spans="1:6">
      <c r="A124" s="75">
        <v>45726</v>
      </c>
      <c r="B124" s="76" t="s">
        <v>14</v>
      </c>
      <c r="C124" s="76">
        <v>631</v>
      </c>
      <c r="D124" s="76">
        <v>86</v>
      </c>
      <c r="E124" s="76">
        <f t="shared" si="2"/>
        <v>545</v>
      </c>
      <c r="F124" s="77">
        <f t="shared" si="3"/>
        <v>86.370839936608562</v>
      </c>
    </row>
    <row r="125" spans="1:6">
      <c r="A125" s="75">
        <v>45726</v>
      </c>
      <c r="B125" s="76" t="s">
        <v>24</v>
      </c>
      <c r="C125" s="76">
        <v>1159</v>
      </c>
      <c r="D125" s="76">
        <v>154</v>
      </c>
      <c r="E125" s="76">
        <f t="shared" si="2"/>
        <v>1005</v>
      </c>
      <c r="F125" s="77">
        <f t="shared" si="3"/>
        <v>86.712683347713551</v>
      </c>
    </row>
    <row r="126" spans="1:6">
      <c r="A126" s="75">
        <v>45726</v>
      </c>
      <c r="B126" s="76" t="s">
        <v>397</v>
      </c>
      <c r="C126" s="76">
        <v>950</v>
      </c>
      <c r="D126" s="76">
        <v>185</v>
      </c>
      <c r="E126" s="76">
        <f t="shared" si="2"/>
        <v>765</v>
      </c>
      <c r="F126" s="77">
        <f t="shared" si="3"/>
        <v>80.526315789473685</v>
      </c>
    </row>
    <row r="127" spans="1:6">
      <c r="A127" s="75">
        <v>45733</v>
      </c>
      <c r="B127" s="76" t="s">
        <v>14</v>
      </c>
      <c r="C127" s="76">
        <v>693</v>
      </c>
      <c r="D127" s="76">
        <v>129</v>
      </c>
      <c r="E127" s="76">
        <f t="shared" si="2"/>
        <v>564</v>
      </c>
      <c r="F127" s="77">
        <f t="shared" si="3"/>
        <v>81.385281385281388</v>
      </c>
    </row>
    <row r="128" spans="1:6">
      <c r="A128" s="75">
        <v>45733</v>
      </c>
      <c r="B128" s="76" t="s">
        <v>24</v>
      </c>
      <c r="C128" s="76">
        <v>576</v>
      </c>
      <c r="D128" s="76">
        <v>80</v>
      </c>
      <c r="E128" s="76">
        <f t="shared" si="2"/>
        <v>496</v>
      </c>
      <c r="F128" s="77">
        <f t="shared" si="3"/>
        <v>86.111111111111114</v>
      </c>
    </row>
    <row r="129" spans="1:6">
      <c r="A129" s="75">
        <v>45733</v>
      </c>
      <c r="B129" s="76" t="s">
        <v>397</v>
      </c>
      <c r="C129" s="76">
        <v>1274</v>
      </c>
      <c r="D129" s="76">
        <v>146</v>
      </c>
      <c r="E129" s="76">
        <f t="shared" si="2"/>
        <v>1128</v>
      </c>
      <c r="F129" s="77">
        <f t="shared" si="3"/>
        <v>88.540031397174261</v>
      </c>
    </row>
    <row r="130" spans="1:6">
      <c r="A130" s="75">
        <v>45740</v>
      </c>
      <c r="B130" s="76" t="s">
        <v>14</v>
      </c>
      <c r="C130" s="76">
        <v>818</v>
      </c>
      <c r="D130" s="76">
        <v>253</v>
      </c>
      <c r="E130" s="76">
        <f t="shared" si="2"/>
        <v>565</v>
      </c>
      <c r="F130" s="77">
        <f t="shared" si="3"/>
        <v>69.070904645476773</v>
      </c>
    </row>
    <row r="131" spans="1:6">
      <c r="A131" s="75">
        <v>45740</v>
      </c>
      <c r="B131" s="76" t="s">
        <v>24</v>
      </c>
      <c r="C131" s="76">
        <v>975</v>
      </c>
      <c r="D131" s="76">
        <v>162</v>
      </c>
      <c r="E131" s="76">
        <f t="shared" si="2"/>
        <v>813</v>
      </c>
      <c r="F131" s="77">
        <f t="shared" si="3"/>
        <v>83.384615384615373</v>
      </c>
    </row>
    <row r="132" spans="1:6">
      <c r="A132" s="75">
        <v>45740</v>
      </c>
      <c r="B132" s="76" t="s">
        <v>397</v>
      </c>
      <c r="C132" s="76">
        <v>1398</v>
      </c>
      <c r="D132" s="76">
        <v>97</v>
      </c>
      <c r="E132" s="76">
        <f t="shared" ref="E132:E195" si="4">C132-D132</f>
        <v>1301</v>
      </c>
      <c r="F132" s="77">
        <f t="shared" ref="F132:F195" si="5">E132/C132*100</f>
        <v>93.061516452074386</v>
      </c>
    </row>
    <row r="133" spans="1:6">
      <c r="A133" s="75">
        <v>45747</v>
      </c>
      <c r="B133" s="76" t="s">
        <v>14</v>
      </c>
      <c r="C133" s="76">
        <v>591</v>
      </c>
      <c r="D133" s="76">
        <v>155</v>
      </c>
      <c r="E133" s="76">
        <f t="shared" si="4"/>
        <v>436</v>
      </c>
      <c r="F133" s="77">
        <f t="shared" si="5"/>
        <v>73.773265651438237</v>
      </c>
    </row>
    <row r="134" spans="1:6">
      <c r="A134" s="75">
        <v>45747</v>
      </c>
      <c r="B134" s="76" t="s">
        <v>24</v>
      </c>
      <c r="C134" s="76">
        <v>1232</v>
      </c>
      <c r="D134" s="76">
        <v>254</v>
      </c>
      <c r="E134" s="76">
        <f t="shared" si="4"/>
        <v>978</v>
      </c>
      <c r="F134" s="77">
        <f t="shared" si="5"/>
        <v>79.383116883116884</v>
      </c>
    </row>
    <row r="135" spans="1:6">
      <c r="A135" s="75">
        <v>45747</v>
      </c>
      <c r="B135" s="76" t="s">
        <v>397</v>
      </c>
      <c r="C135" s="76">
        <v>1425</v>
      </c>
      <c r="D135" s="76">
        <v>58</v>
      </c>
      <c r="E135" s="76">
        <f t="shared" si="4"/>
        <v>1367</v>
      </c>
      <c r="F135" s="77">
        <f t="shared" si="5"/>
        <v>95.929824561403507</v>
      </c>
    </row>
    <row r="136" spans="1:6">
      <c r="A136" s="75">
        <v>45754</v>
      </c>
      <c r="B136" s="76" t="s">
        <v>14</v>
      </c>
      <c r="C136" s="76">
        <v>1417</v>
      </c>
      <c r="D136" s="76">
        <v>80</v>
      </c>
      <c r="E136" s="76">
        <f t="shared" si="4"/>
        <v>1337</v>
      </c>
      <c r="F136" s="77">
        <f t="shared" si="5"/>
        <v>94.354269583627385</v>
      </c>
    </row>
    <row r="137" spans="1:6">
      <c r="A137" s="75">
        <v>45754</v>
      </c>
      <c r="B137" s="76" t="s">
        <v>24</v>
      </c>
      <c r="C137" s="76">
        <v>1222</v>
      </c>
      <c r="D137" s="76">
        <v>208</v>
      </c>
      <c r="E137" s="76">
        <f t="shared" si="4"/>
        <v>1014</v>
      </c>
      <c r="F137" s="77">
        <f t="shared" si="5"/>
        <v>82.978723404255319</v>
      </c>
    </row>
    <row r="138" spans="1:6">
      <c r="A138" s="75">
        <v>45754</v>
      </c>
      <c r="B138" s="76" t="s">
        <v>397</v>
      </c>
      <c r="C138" s="76">
        <v>1071</v>
      </c>
      <c r="D138" s="76">
        <v>131</v>
      </c>
      <c r="E138" s="76">
        <f t="shared" si="4"/>
        <v>940</v>
      </c>
      <c r="F138" s="77">
        <f t="shared" si="5"/>
        <v>87.768440709617181</v>
      </c>
    </row>
    <row r="139" spans="1:6">
      <c r="A139" s="75">
        <v>45761</v>
      </c>
      <c r="B139" s="76" t="s">
        <v>14</v>
      </c>
      <c r="C139" s="76">
        <v>772</v>
      </c>
      <c r="D139" s="76">
        <v>82</v>
      </c>
      <c r="E139" s="76">
        <f t="shared" si="4"/>
        <v>690</v>
      </c>
      <c r="F139" s="77">
        <f t="shared" si="5"/>
        <v>89.37823834196891</v>
      </c>
    </row>
    <row r="140" spans="1:6">
      <c r="A140" s="75">
        <v>45761</v>
      </c>
      <c r="B140" s="76" t="s">
        <v>24</v>
      </c>
      <c r="C140" s="76">
        <v>1472</v>
      </c>
      <c r="D140" s="76">
        <v>137</v>
      </c>
      <c r="E140" s="76">
        <f t="shared" si="4"/>
        <v>1335</v>
      </c>
      <c r="F140" s="77">
        <f t="shared" si="5"/>
        <v>90.692934782608688</v>
      </c>
    </row>
    <row r="141" spans="1:6">
      <c r="A141" s="75">
        <v>45761</v>
      </c>
      <c r="B141" s="76" t="s">
        <v>397</v>
      </c>
      <c r="C141" s="76">
        <v>1472</v>
      </c>
      <c r="D141" s="76">
        <v>281</v>
      </c>
      <c r="E141" s="76">
        <f t="shared" si="4"/>
        <v>1191</v>
      </c>
      <c r="F141" s="77">
        <f t="shared" si="5"/>
        <v>80.910326086956516</v>
      </c>
    </row>
    <row r="142" spans="1:6">
      <c r="A142" s="75">
        <v>45768</v>
      </c>
      <c r="B142" s="76" t="s">
        <v>14</v>
      </c>
      <c r="C142" s="76">
        <v>585</v>
      </c>
      <c r="D142" s="76">
        <v>232</v>
      </c>
      <c r="E142" s="76">
        <f t="shared" si="4"/>
        <v>353</v>
      </c>
      <c r="F142" s="77">
        <f t="shared" si="5"/>
        <v>60.341880341880341</v>
      </c>
    </row>
    <row r="143" spans="1:6">
      <c r="A143" s="75">
        <v>45768</v>
      </c>
      <c r="B143" s="76" t="s">
        <v>24</v>
      </c>
      <c r="C143" s="76">
        <v>747</v>
      </c>
      <c r="D143" s="76">
        <v>261</v>
      </c>
      <c r="E143" s="76">
        <f t="shared" si="4"/>
        <v>486</v>
      </c>
      <c r="F143" s="77">
        <f t="shared" si="5"/>
        <v>65.060240963855421</v>
      </c>
    </row>
    <row r="144" spans="1:6">
      <c r="A144" s="75">
        <v>45768</v>
      </c>
      <c r="B144" s="76" t="s">
        <v>397</v>
      </c>
      <c r="C144" s="76">
        <v>1113</v>
      </c>
      <c r="D144" s="76">
        <v>224</v>
      </c>
      <c r="E144" s="76">
        <f t="shared" si="4"/>
        <v>889</v>
      </c>
      <c r="F144" s="77">
        <f t="shared" si="5"/>
        <v>79.874213836477992</v>
      </c>
    </row>
    <row r="145" spans="1:6">
      <c r="A145" s="75">
        <v>45775</v>
      </c>
      <c r="B145" s="76" t="s">
        <v>14</v>
      </c>
      <c r="C145" s="76">
        <v>1100</v>
      </c>
      <c r="D145" s="76">
        <v>117</v>
      </c>
      <c r="E145" s="76">
        <f t="shared" si="4"/>
        <v>983</v>
      </c>
      <c r="F145" s="77">
        <f t="shared" si="5"/>
        <v>89.363636363636374</v>
      </c>
    </row>
    <row r="146" spans="1:6">
      <c r="A146" s="75">
        <v>45775</v>
      </c>
      <c r="B146" s="76" t="s">
        <v>24</v>
      </c>
      <c r="C146" s="76">
        <v>751</v>
      </c>
      <c r="D146" s="76">
        <v>170</v>
      </c>
      <c r="E146" s="76">
        <f t="shared" si="4"/>
        <v>581</v>
      </c>
      <c r="F146" s="77">
        <f t="shared" si="5"/>
        <v>77.363515312916107</v>
      </c>
    </row>
    <row r="147" spans="1:6">
      <c r="A147" s="75">
        <v>45775</v>
      </c>
      <c r="B147" s="76" t="s">
        <v>397</v>
      </c>
      <c r="C147" s="76">
        <v>864</v>
      </c>
      <c r="D147" s="76">
        <v>50</v>
      </c>
      <c r="E147" s="76">
        <f t="shared" si="4"/>
        <v>814</v>
      </c>
      <c r="F147" s="77">
        <f t="shared" si="5"/>
        <v>94.212962962962962</v>
      </c>
    </row>
    <row r="148" spans="1:6">
      <c r="A148" s="75">
        <v>45782</v>
      </c>
      <c r="B148" s="76" t="s">
        <v>14</v>
      </c>
      <c r="C148" s="76">
        <v>1146</v>
      </c>
      <c r="D148" s="76">
        <v>227</v>
      </c>
      <c r="E148" s="76">
        <f t="shared" si="4"/>
        <v>919</v>
      </c>
      <c r="F148" s="77">
        <f t="shared" si="5"/>
        <v>80.191972076788829</v>
      </c>
    </row>
    <row r="149" spans="1:6">
      <c r="A149" s="75">
        <v>45782</v>
      </c>
      <c r="B149" s="76" t="s">
        <v>24</v>
      </c>
      <c r="C149" s="76">
        <v>883</v>
      </c>
      <c r="D149" s="76">
        <v>207</v>
      </c>
      <c r="E149" s="76">
        <f t="shared" si="4"/>
        <v>676</v>
      </c>
      <c r="F149" s="77">
        <f t="shared" si="5"/>
        <v>76.557191392978481</v>
      </c>
    </row>
    <row r="150" spans="1:6">
      <c r="A150" s="75">
        <v>45782</v>
      </c>
      <c r="B150" s="76" t="s">
        <v>397</v>
      </c>
      <c r="C150" s="76">
        <v>622</v>
      </c>
      <c r="D150" s="76">
        <v>163</v>
      </c>
      <c r="E150" s="76">
        <f t="shared" si="4"/>
        <v>459</v>
      </c>
      <c r="F150" s="77">
        <f t="shared" si="5"/>
        <v>73.79421221864952</v>
      </c>
    </row>
    <row r="151" spans="1:6">
      <c r="A151" s="75">
        <v>45789</v>
      </c>
      <c r="B151" s="76" t="s">
        <v>14</v>
      </c>
      <c r="C151" s="76">
        <v>837</v>
      </c>
      <c r="D151" s="76">
        <v>261</v>
      </c>
      <c r="E151" s="76">
        <f t="shared" si="4"/>
        <v>576</v>
      </c>
      <c r="F151" s="77">
        <f t="shared" si="5"/>
        <v>68.817204301075279</v>
      </c>
    </row>
    <row r="152" spans="1:6">
      <c r="A152" s="75">
        <v>45789</v>
      </c>
      <c r="B152" s="76" t="s">
        <v>24</v>
      </c>
      <c r="C152" s="76">
        <v>544</v>
      </c>
      <c r="D152" s="76">
        <v>97</v>
      </c>
      <c r="E152" s="76">
        <f t="shared" si="4"/>
        <v>447</v>
      </c>
      <c r="F152" s="77">
        <f t="shared" si="5"/>
        <v>82.169117647058826</v>
      </c>
    </row>
    <row r="153" spans="1:6">
      <c r="A153" s="75">
        <v>45789</v>
      </c>
      <c r="B153" s="76" t="s">
        <v>397</v>
      </c>
      <c r="C153" s="76">
        <v>624</v>
      </c>
      <c r="D153" s="76">
        <v>247</v>
      </c>
      <c r="E153" s="76">
        <f t="shared" si="4"/>
        <v>377</v>
      </c>
      <c r="F153" s="77">
        <f t="shared" si="5"/>
        <v>60.416666666666664</v>
      </c>
    </row>
    <row r="154" spans="1:6">
      <c r="A154" s="75">
        <v>45796</v>
      </c>
      <c r="B154" s="76" t="s">
        <v>14</v>
      </c>
      <c r="C154" s="76">
        <v>1073</v>
      </c>
      <c r="D154" s="76">
        <v>141</v>
      </c>
      <c r="E154" s="76">
        <f t="shared" si="4"/>
        <v>932</v>
      </c>
      <c r="F154" s="77">
        <f t="shared" si="5"/>
        <v>86.859273066169621</v>
      </c>
    </row>
    <row r="155" spans="1:6">
      <c r="A155" s="75">
        <v>45796</v>
      </c>
      <c r="B155" s="76" t="s">
        <v>24</v>
      </c>
      <c r="C155" s="76">
        <v>1430</v>
      </c>
      <c r="D155" s="76">
        <v>74</v>
      </c>
      <c r="E155" s="76">
        <f t="shared" si="4"/>
        <v>1356</v>
      </c>
      <c r="F155" s="77">
        <f t="shared" si="5"/>
        <v>94.825174825174827</v>
      </c>
    </row>
    <row r="156" spans="1:6">
      <c r="A156" s="75">
        <v>45796</v>
      </c>
      <c r="B156" s="76" t="s">
        <v>397</v>
      </c>
      <c r="C156" s="76">
        <v>1358</v>
      </c>
      <c r="D156" s="76">
        <v>77</v>
      </c>
      <c r="E156" s="76">
        <f t="shared" si="4"/>
        <v>1281</v>
      </c>
      <c r="F156" s="77">
        <f t="shared" si="5"/>
        <v>94.329896907216494</v>
      </c>
    </row>
    <row r="157" spans="1:6">
      <c r="A157" s="75">
        <v>45803</v>
      </c>
      <c r="B157" s="76" t="s">
        <v>14</v>
      </c>
      <c r="C157" s="76">
        <v>1242</v>
      </c>
      <c r="D157" s="76">
        <v>201</v>
      </c>
      <c r="E157" s="76">
        <f t="shared" si="4"/>
        <v>1041</v>
      </c>
      <c r="F157" s="77">
        <f t="shared" si="5"/>
        <v>83.816425120772948</v>
      </c>
    </row>
    <row r="158" spans="1:6">
      <c r="A158" s="75">
        <v>45803</v>
      </c>
      <c r="B158" s="76" t="s">
        <v>24</v>
      </c>
      <c r="C158" s="76">
        <v>1389</v>
      </c>
      <c r="D158" s="76">
        <v>205</v>
      </c>
      <c r="E158" s="76">
        <f t="shared" si="4"/>
        <v>1184</v>
      </c>
      <c r="F158" s="77">
        <f t="shared" si="5"/>
        <v>85.241180705543556</v>
      </c>
    </row>
    <row r="159" spans="1:6">
      <c r="A159" s="75">
        <v>45803</v>
      </c>
      <c r="B159" s="76" t="s">
        <v>397</v>
      </c>
      <c r="C159" s="76">
        <v>826</v>
      </c>
      <c r="D159" s="76">
        <v>142</v>
      </c>
      <c r="E159" s="76">
        <f t="shared" si="4"/>
        <v>684</v>
      </c>
      <c r="F159" s="77">
        <f t="shared" si="5"/>
        <v>82.808716707021787</v>
      </c>
    </row>
    <row r="160" spans="1:6">
      <c r="A160" s="75">
        <v>45810</v>
      </c>
      <c r="B160" s="76" t="s">
        <v>14</v>
      </c>
      <c r="C160" s="76">
        <v>618</v>
      </c>
      <c r="D160" s="76">
        <v>264</v>
      </c>
      <c r="E160" s="76">
        <f t="shared" si="4"/>
        <v>354</v>
      </c>
      <c r="F160" s="77">
        <f t="shared" si="5"/>
        <v>57.28155339805825</v>
      </c>
    </row>
    <row r="161" spans="1:6">
      <c r="A161" s="75">
        <v>45810</v>
      </c>
      <c r="B161" s="76" t="s">
        <v>24</v>
      </c>
      <c r="C161" s="76">
        <v>1419</v>
      </c>
      <c r="D161" s="76">
        <v>293</v>
      </c>
      <c r="E161" s="76">
        <f t="shared" si="4"/>
        <v>1126</v>
      </c>
      <c r="F161" s="77">
        <f t="shared" si="5"/>
        <v>79.351656095842145</v>
      </c>
    </row>
    <row r="162" spans="1:6">
      <c r="A162" s="75">
        <v>45810</v>
      </c>
      <c r="B162" s="76" t="s">
        <v>397</v>
      </c>
      <c r="C162" s="76">
        <v>637</v>
      </c>
      <c r="D162" s="76">
        <v>68</v>
      </c>
      <c r="E162" s="76">
        <f t="shared" si="4"/>
        <v>569</v>
      </c>
      <c r="F162" s="77">
        <f t="shared" si="5"/>
        <v>89.324960753532181</v>
      </c>
    </row>
    <row r="163" spans="1:6">
      <c r="A163" s="75">
        <v>45817</v>
      </c>
      <c r="B163" s="76" t="s">
        <v>14</v>
      </c>
      <c r="C163" s="76">
        <v>917</v>
      </c>
      <c r="D163" s="76">
        <v>187</v>
      </c>
      <c r="E163" s="76">
        <f t="shared" si="4"/>
        <v>730</v>
      </c>
      <c r="F163" s="77">
        <f t="shared" si="5"/>
        <v>79.607415485278082</v>
      </c>
    </row>
    <row r="164" spans="1:6">
      <c r="A164" s="75">
        <v>45817</v>
      </c>
      <c r="B164" s="76" t="s">
        <v>24</v>
      </c>
      <c r="C164" s="76">
        <v>810</v>
      </c>
      <c r="D164" s="76">
        <v>232</v>
      </c>
      <c r="E164" s="76">
        <f t="shared" si="4"/>
        <v>578</v>
      </c>
      <c r="F164" s="77">
        <f t="shared" si="5"/>
        <v>71.358024691358025</v>
      </c>
    </row>
    <row r="165" spans="1:6">
      <c r="A165" s="75">
        <v>45817</v>
      </c>
      <c r="B165" s="76" t="s">
        <v>397</v>
      </c>
      <c r="C165" s="76">
        <v>1183</v>
      </c>
      <c r="D165" s="76">
        <v>248</v>
      </c>
      <c r="E165" s="76">
        <f t="shared" si="4"/>
        <v>935</v>
      </c>
      <c r="F165" s="77">
        <f t="shared" si="5"/>
        <v>79.036348267117489</v>
      </c>
    </row>
    <row r="166" spans="1:6">
      <c r="A166" s="75">
        <v>45824</v>
      </c>
      <c r="B166" s="76" t="s">
        <v>14</v>
      </c>
      <c r="C166" s="76">
        <v>765</v>
      </c>
      <c r="D166" s="76">
        <v>67</v>
      </c>
      <c r="E166" s="76">
        <f t="shared" si="4"/>
        <v>698</v>
      </c>
      <c r="F166" s="77">
        <f t="shared" si="5"/>
        <v>91.24183006535948</v>
      </c>
    </row>
    <row r="167" spans="1:6">
      <c r="A167" s="75">
        <v>45824</v>
      </c>
      <c r="B167" s="76" t="s">
        <v>24</v>
      </c>
      <c r="C167" s="76">
        <v>540</v>
      </c>
      <c r="D167" s="76">
        <v>215</v>
      </c>
      <c r="E167" s="76">
        <f t="shared" si="4"/>
        <v>325</v>
      </c>
      <c r="F167" s="77">
        <f t="shared" si="5"/>
        <v>60.185185185185183</v>
      </c>
    </row>
    <row r="168" spans="1:6">
      <c r="A168" s="75">
        <v>45824</v>
      </c>
      <c r="B168" s="76" t="s">
        <v>397</v>
      </c>
      <c r="C168" s="76">
        <v>1145</v>
      </c>
      <c r="D168" s="76">
        <v>151</v>
      </c>
      <c r="E168" s="76">
        <f t="shared" si="4"/>
        <v>994</v>
      </c>
      <c r="F168" s="77">
        <f t="shared" si="5"/>
        <v>86.812227074235807</v>
      </c>
    </row>
    <row r="169" spans="1:6">
      <c r="A169" s="75">
        <v>45831</v>
      </c>
      <c r="B169" s="76" t="s">
        <v>14</v>
      </c>
      <c r="C169" s="76">
        <v>564</v>
      </c>
      <c r="D169" s="76">
        <v>244</v>
      </c>
      <c r="E169" s="76">
        <f t="shared" si="4"/>
        <v>320</v>
      </c>
      <c r="F169" s="77">
        <f t="shared" si="5"/>
        <v>56.737588652482273</v>
      </c>
    </row>
    <row r="170" spans="1:6">
      <c r="A170" s="75">
        <v>45831</v>
      </c>
      <c r="B170" s="76" t="s">
        <v>24</v>
      </c>
      <c r="C170" s="76">
        <v>668</v>
      </c>
      <c r="D170" s="76">
        <v>124</v>
      </c>
      <c r="E170" s="76">
        <f t="shared" si="4"/>
        <v>544</v>
      </c>
      <c r="F170" s="77">
        <f t="shared" si="5"/>
        <v>81.437125748502993</v>
      </c>
    </row>
    <row r="171" spans="1:6">
      <c r="A171" s="75">
        <v>45831</v>
      </c>
      <c r="B171" s="76" t="s">
        <v>397</v>
      </c>
      <c r="C171" s="76">
        <v>761</v>
      </c>
      <c r="D171" s="76">
        <v>241</v>
      </c>
      <c r="E171" s="76">
        <f t="shared" si="4"/>
        <v>520</v>
      </c>
      <c r="F171" s="77">
        <f t="shared" si="5"/>
        <v>68.331143232588701</v>
      </c>
    </row>
    <row r="172" spans="1:6">
      <c r="A172" s="75">
        <v>45838</v>
      </c>
      <c r="B172" s="76" t="s">
        <v>14</v>
      </c>
      <c r="C172" s="76">
        <v>593</v>
      </c>
      <c r="D172" s="76">
        <v>108</v>
      </c>
      <c r="E172" s="76">
        <f t="shared" si="4"/>
        <v>485</v>
      </c>
      <c r="F172" s="77">
        <f t="shared" si="5"/>
        <v>81.787521079258013</v>
      </c>
    </row>
    <row r="173" spans="1:6">
      <c r="A173" s="75">
        <v>45838</v>
      </c>
      <c r="B173" s="76" t="s">
        <v>24</v>
      </c>
      <c r="C173" s="76">
        <v>1349</v>
      </c>
      <c r="D173" s="76">
        <v>115</v>
      </c>
      <c r="E173" s="76">
        <f t="shared" si="4"/>
        <v>1234</v>
      </c>
      <c r="F173" s="77">
        <f t="shared" si="5"/>
        <v>91.475166790214985</v>
      </c>
    </row>
    <row r="174" spans="1:6">
      <c r="A174" s="75">
        <v>45838</v>
      </c>
      <c r="B174" s="76" t="s">
        <v>397</v>
      </c>
      <c r="C174" s="76">
        <v>693</v>
      </c>
      <c r="D174" s="76">
        <v>97</v>
      </c>
      <c r="E174" s="76">
        <f t="shared" si="4"/>
        <v>596</v>
      </c>
      <c r="F174" s="77">
        <f t="shared" si="5"/>
        <v>86.002886002886001</v>
      </c>
    </row>
    <row r="175" spans="1:6">
      <c r="A175" s="75">
        <v>45845</v>
      </c>
      <c r="B175" s="76" t="s">
        <v>14</v>
      </c>
      <c r="C175" s="76">
        <v>974</v>
      </c>
      <c r="D175" s="76">
        <v>143</v>
      </c>
      <c r="E175" s="76">
        <f t="shared" si="4"/>
        <v>831</v>
      </c>
      <c r="F175" s="77">
        <f t="shared" si="5"/>
        <v>85.318275154004112</v>
      </c>
    </row>
    <row r="176" spans="1:6">
      <c r="A176" s="75">
        <v>45845</v>
      </c>
      <c r="B176" s="76" t="s">
        <v>24</v>
      </c>
      <c r="C176" s="76">
        <v>1155</v>
      </c>
      <c r="D176" s="76">
        <v>122</v>
      </c>
      <c r="E176" s="76">
        <f t="shared" si="4"/>
        <v>1033</v>
      </c>
      <c r="F176" s="77">
        <f t="shared" si="5"/>
        <v>89.437229437229433</v>
      </c>
    </row>
    <row r="177" spans="1:6">
      <c r="A177" s="75">
        <v>45845</v>
      </c>
      <c r="B177" s="76" t="s">
        <v>397</v>
      </c>
      <c r="C177" s="76">
        <v>1051</v>
      </c>
      <c r="D177" s="76">
        <v>246</v>
      </c>
      <c r="E177" s="76">
        <f t="shared" si="4"/>
        <v>805</v>
      </c>
      <c r="F177" s="77">
        <f t="shared" si="5"/>
        <v>76.59372026641293</v>
      </c>
    </row>
    <row r="178" spans="1:6">
      <c r="A178" s="75">
        <v>45852</v>
      </c>
      <c r="B178" s="76" t="s">
        <v>14</v>
      </c>
      <c r="C178" s="76">
        <v>1457</v>
      </c>
      <c r="D178" s="76">
        <v>183</v>
      </c>
      <c r="E178" s="76">
        <f t="shared" si="4"/>
        <v>1274</v>
      </c>
      <c r="F178" s="77">
        <f t="shared" si="5"/>
        <v>87.439945092656146</v>
      </c>
    </row>
    <row r="179" spans="1:6">
      <c r="A179" s="75">
        <v>45852</v>
      </c>
      <c r="B179" s="76" t="s">
        <v>24</v>
      </c>
      <c r="C179" s="76">
        <v>670</v>
      </c>
      <c r="D179" s="76">
        <v>242</v>
      </c>
      <c r="E179" s="76">
        <f t="shared" si="4"/>
        <v>428</v>
      </c>
      <c r="F179" s="77">
        <f t="shared" si="5"/>
        <v>63.880597014925378</v>
      </c>
    </row>
    <row r="180" spans="1:6">
      <c r="A180" s="75">
        <v>45852</v>
      </c>
      <c r="B180" s="76" t="s">
        <v>397</v>
      </c>
      <c r="C180" s="76">
        <v>1111</v>
      </c>
      <c r="D180" s="76">
        <v>159</v>
      </c>
      <c r="E180" s="76">
        <f t="shared" si="4"/>
        <v>952</v>
      </c>
      <c r="F180" s="77">
        <f t="shared" si="5"/>
        <v>85.688568856885695</v>
      </c>
    </row>
    <row r="181" spans="1:6">
      <c r="A181" s="75">
        <v>45859</v>
      </c>
      <c r="B181" s="76" t="s">
        <v>14</v>
      </c>
      <c r="C181" s="76">
        <v>1197</v>
      </c>
      <c r="D181" s="76">
        <v>246</v>
      </c>
      <c r="E181" s="76">
        <f t="shared" si="4"/>
        <v>951</v>
      </c>
      <c r="F181" s="77">
        <f t="shared" si="5"/>
        <v>79.448621553884706</v>
      </c>
    </row>
    <row r="182" spans="1:6">
      <c r="A182" s="75">
        <v>45859</v>
      </c>
      <c r="B182" s="76" t="s">
        <v>24</v>
      </c>
      <c r="C182" s="76">
        <v>754</v>
      </c>
      <c r="D182" s="76">
        <v>150</v>
      </c>
      <c r="E182" s="76">
        <f t="shared" si="4"/>
        <v>604</v>
      </c>
      <c r="F182" s="77">
        <f t="shared" si="5"/>
        <v>80.106100795755964</v>
      </c>
    </row>
    <row r="183" spans="1:6">
      <c r="A183" s="75">
        <v>45859</v>
      </c>
      <c r="B183" s="76" t="s">
        <v>397</v>
      </c>
      <c r="C183" s="76">
        <v>1246</v>
      </c>
      <c r="D183" s="76">
        <v>107</v>
      </c>
      <c r="E183" s="76">
        <f t="shared" si="4"/>
        <v>1139</v>
      </c>
      <c r="F183" s="77">
        <f t="shared" si="5"/>
        <v>91.412520064205466</v>
      </c>
    </row>
    <row r="184" spans="1:6">
      <c r="A184" s="75">
        <v>45866</v>
      </c>
      <c r="B184" s="76" t="s">
        <v>14</v>
      </c>
      <c r="C184" s="76">
        <v>780</v>
      </c>
      <c r="D184" s="76">
        <v>213</v>
      </c>
      <c r="E184" s="76">
        <f t="shared" si="4"/>
        <v>567</v>
      </c>
      <c r="F184" s="77">
        <f t="shared" si="5"/>
        <v>72.692307692307693</v>
      </c>
    </row>
    <row r="185" spans="1:6">
      <c r="A185" s="75">
        <v>45866</v>
      </c>
      <c r="B185" s="76" t="s">
        <v>24</v>
      </c>
      <c r="C185" s="76">
        <v>1425</v>
      </c>
      <c r="D185" s="76">
        <v>143</v>
      </c>
      <c r="E185" s="76">
        <f t="shared" si="4"/>
        <v>1282</v>
      </c>
      <c r="F185" s="77">
        <f t="shared" si="5"/>
        <v>89.964912280701753</v>
      </c>
    </row>
    <row r="186" spans="1:6">
      <c r="A186" s="75">
        <v>45866</v>
      </c>
      <c r="B186" s="76" t="s">
        <v>397</v>
      </c>
      <c r="C186" s="76">
        <v>1490</v>
      </c>
      <c r="D186" s="76">
        <v>103</v>
      </c>
      <c r="E186" s="76">
        <f t="shared" si="4"/>
        <v>1387</v>
      </c>
      <c r="F186" s="77">
        <f t="shared" si="5"/>
        <v>93.087248322147659</v>
      </c>
    </row>
    <row r="187" spans="1:6">
      <c r="A187" s="75">
        <v>45873</v>
      </c>
      <c r="B187" s="76" t="s">
        <v>14</v>
      </c>
      <c r="C187" s="76">
        <v>949</v>
      </c>
      <c r="D187" s="76">
        <v>282</v>
      </c>
      <c r="E187" s="76">
        <f t="shared" si="4"/>
        <v>667</v>
      </c>
      <c r="F187" s="77">
        <f t="shared" si="5"/>
        <v>70.284510010537403</v>
      </c>
    </row>
    <row r="188" spans="1:6">
      <c r="A188" s="75">
        <v>45873</v>
      </c>
      <c r="B188" s="76" t="s">
        <v>24</v>
      </c>
      <c r="C188" s="76">
        <v>640</v>
      </c>
      <c r="D188" s="76">
        <v>141</v>
      </c>
      <c r="E188" s="76">
        <f t="shared" si="4"/>
        <v>499</v>
      </c>
      <c r="F188" s="77">
        <f t="shared" si="5"/>
        <v>77.96875</v>
      </c>
    </row>
    <row r="189" spans="1:6">
      <c r="A189" s="75">
        <v>45873</v>
      </c>
      <c r="B189" s="76" t="s">
        <v>397</v>
      </c>
      <c r="C189" s="76">
        <v>616</v>
      </c>
      <c r="D189" s="76">
        <v>93</v>
      </c>
      <c r="E189" s="76">
        <f t="shared" si="4"/>
        <v>523</v>
      </c>
      <c r="F189" s="77">
        <f t="shared" si="5"/>
        <v>84.902597402597408</v>
      </c>
    </row>
    <row r="190" spans="1:6">
      <c r="A190" s="75">
        <v>45880</v>
      </c>
      <c r="B190" s="76" t="s">
        <v>14</v>
      </c>
      <c r="C190" s="76">
        <v>1080</v>
      </c>
      <c r="D190" s="76">
        <v>184</v>
      </c>
      <c r="E190" s="76">
        <f t="shared" si="4"/>
        <v>896</v>
      </c>
      <c r="F190" s="77">
        <f t="shared" si="5"/>
        <v>82.962962962962962</v>
      </c>
    </row>
    <row r="191" spans="1:6">
      <c r="A191" s="75">
        <v>45880</v>
      </c>
      <c r="B191" s="76" t="s">
        <v>24</v>
      </c>
      <c r="C191" s="76">
        <v>938</v>
      </c>
      <c r="D191" s="76">
        <v>236</v>
      </c>
      <c r="E191" s="76">
        <f t="shared" si="4"/>
        <v>702</v>
      </c>
      <c r="F191" s="77">
        <f t="shared" si="5"/>
        <v>74.840085287846478</v>
      </c>
    </row>
    <row r="192" spans="1:6">
      <c r="A192" s="75">
        <v>45880</v>
      </c>
      <c r="B192" s="76" t="s">
        <v>397</v>
      </c>
      <c r="C192" s="76">
        <v>1007</v>
      </c>
      <c r="D192" s="76">
        <v>258</v>
      </c>
      <c r="E192" s="76">
        <f t="shared" si="4"/>
        <v>749</v>
      </c>
      <c r="F192" s="77">
        <f t="shared" si="5"/>
        <v>74.379344587884816</v>
      </c>
    </row>
    <row r="193" spans="1:6">
      <c r="A193" s="75">
        <v>45887</v>
      </c>
      <c r="B193" s="76" t="s">
        <v>14</v>
      </c>
      <c r="C193" s="76">
        <v>541</v>
      </c>
      <c r="D193" s="76">
        <v>208</v>
      </c>
      <c r="E193" s="76">
        <f t="shared" si="4"/>
        <v>333</v>
      </c>
      <c r="F193" s="77">
        <f t="shared" si="5"/>
        <v>61.552680221811464</v>
      </c>
    </row>
    <row r="194" spans="1:6">
      <c r="A194" s="75">
        <v>45887</v>
      </c>
      <c r="B194" s="76" t="s">
        <v>24</v>
      </c>
      <c r="C194" s="76">
        <v>745</v>
      </c>
      <c r="D194" s="76">
        <v>98</v>
      </c>
      <c r="E194" s="76">
        <f t="shared" si="4"/>
        <v>647</v>
      </c>
      <c r="F194" s="77">
        <f t="shared" si="5"/>
        <v>86.845637583892625</v>
      </c>
    </row>
    <row r="195" spans="1:6">
      <c r="A195" s="75">
        <v>45887</v>
      </c>
      <c r="B195" s="76" t="s">
        <v>397</v>
      </c>
      <c r="C195" s="76">
        <v>936</v>
      </c>
      <c r="D195" s="76">
        <v>97</v>
      </c>
      <c r="E195" s="76">
        <f t="shared" si="4"/>
        <v>839</v>
      </c>
      <c r="F195" s="77">
        <f t="shared" si="5"/>
        <v>89.636752136752136</v>
      </c>
    </row>
    <row r="196" spans="1:6">
      <c r="A196" s="75">
        <v>45894</v>
      </c>
      <c r="B196" s="76" t="s">
        <v>14</v>
      </c>
      <c r="C196" s="76">
        <v>1183</v>
      </c>
      <c r="D196" s="76">
        <v>223</v>
      </c>
      <c r="E196" s="76">
        <f t="shared" ref="E196:E203" si="6">C196-D196</f>
        <v>960</v>
      </c>
      <c r="F196" s="77">
        <f t="shared" ref="F196:F203" si="7">E196/C196*100</f>
        <v>81.149619611158073</v>
      </c>
    </row>
    <row r="197" spans="1:6">
      <c r="A197" s="75">
        <v>45894</v>
      </c>
      <c r="B197" s="76" t="s">
        <v>24</v>
      </c>
      <c r="C197" s="76">
        <v>1413</v>
      </c>
      <c r="D197" s="76">
        <v>245</v>
      </c>
      <c r="E197" s="76">
        <f t="shared" si="6"/>
        <v>1168</v>
      </c>
      <c r="F197" s="77">
        <f t="shared" si="7"/>
        <v>82.661004953998585</v>
      </c>
    </row>
    <row r="198" spans="1:6">
      <c r="A198" s="75">
        <v>45894</v>
      </c>
      <c r="B198" s="76" t="s">
        <v>397</v>
      </c>
      <c r="C198" s="76">
        <v>791</v>
      </c>
      <c r="D198" s="76">
        <v>273</v>
      </c>
      <c r="E198" s="76">
        <f t="shared" si="6"/>
        <v>518</v>
      </c>
      <c r="F198" s="77">
        <f t="shared" si="7"/>
        <v>65.486725663716811</v>
      </c>
    </row>
    <row r="199" spans="1:6">
      <c r="A199" s="75">
        <v>45901</v>
      </c>
      <c r="B199" s="76" t="s">
        <v>14</v>
      </c>
      <c r="C199" s="76">
        <v>1052</v>
      </c>
      <c r="D199" s="76">
        <v>180</v>
      </c>
      <c r="E199" s="76">
        <f t="shared" si="6"/>
        <v>872</v>
      </c>
      <c r="F199" s="77">
        <f t="shared" si="7"/>
        <v>82.889733840304174</v>
      </c>
    </row>
    <row r="200" spans="1:6">
      <c r="A200" s="75">
        <v>45901</v>
      </c>
      <c r="B200" s="76" t="s">
        <v>24</v>
      </c>
      <c r="C200" s="76">
        <v>572</v>
      </c>
      <c r="D200" s="76">
        <v>270</v>
      </c>
      <c r="E200" s="76">
        <f t="shared" si="6"/>
        <v>302</v>
      </c>
      <c r="F200" s="77">
        <f t="shared" si="7"/>
        <v>52.7972027972028</v>
      </c>
    </row>
    <row r="201" spans="1:6">
      <c r="A201" s="75">
        <v>45901</v>
      </c>
      <c r="B201" s="76" t="s">
        <v>397</v>
      </c>
      <c r="C201" s="76">
        <v>503</v>
      </c>
      <c r="D201" s="76">
        <v>253</v>
      </c>
      <c r="E201" s="76">
        <f t="shared" si="6"/>
        <v>250</v>
      </c>
      <c r="F201" s="77">
        <f t="shared" si="7"/>
        <v>49.70178926441352</v>
      </c>
    </row>
    <row r="202" spans="1:6">
      <c r="A202" s="75">
        <v>45908</v>
      </c>
      <c r="B202" s="76" t="s">
        <v>14</v>
      </c>
      <c r="C202" s="76">
        <v>1017</v>
      </c>
      <c r="D202" s="76">
        <v>197</v>
      </c>
      <c r="E202" s="76">
        <f t="shared" si="6"/>
        <v>820</v>
      </c>
      <c r="F202" s="77">
        <f t="shared" si="7"/>
        <v>80.629301868239921</v>
      </c>
    </row>
    <row r="203" spans="1:6">
      <c r="A203" s="75">
        <v>45908</v>
      </c>
      <c r="B203" s="76" t="s">
        <v>24</v>
      </c>
      <c r="C203" s="76">
        <v>860</v>
      </c>
      <c r="D203" s="76">
        <v>244</v>
      </c>
      <c r="E203" s="76">
        <f t="shared" si="6"/>
        <v>616</v>
      </c>
      <c r="F203" s="77">
        <f t="shared" si="7"/>
        <v>71.627906976744185</v>
      </c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58E72-648D-4226-B6E5-62DABABBE7A1}">
  <dimension ref="A1:N16"/>
  <sheetViews>
    <sheetView workbookViewId="0">
      <selection activeCell="D24" sqref="D24"/>
    </sheetView>
  </sheetViews>
  <sheetFormatPr defaultRowHeight="14.4"/>
  <cols>
    <col min="1" max="1" width="17.21875" bestFit="1" customWidth="1"/>
    <col min="2" max="2" width="10.88671875" bestFit="1" customWidth="1"/>
    <col min="3" max="3" width="17.6640625" bestFit="1" customWidth="1"/>
    <col min="4" max="4" width="27.21875" bestFit="1" customWidth="1"/>
    <col min="5" max="5" width="17.6640625" bestFit="1" customWidth="1"/>
  </cols>
  <sheetData>
    <row r="1" spans="1:14">
      <c r="A1" s="199" t="s">
        <v>452</v>
      </c>
      <c r="B1" s="199"/>
      <c r="C1" s="199"/>
      <c r="D1" s="199"/>
      <c r="E1" s="199"/>
      <c r="I1" s="200"/>
      <c r="J1" s="200"/>
      <c r="K1" s="200"/>
      <c r="L1" s="200"/>
      <c r="M1" s="200"/>
      <c r="N1" s="200"/>
    </row>
    <row r="2" spans="1:14">
      <c r="A2" s="98"/>
      <c r="B2" s="98"/>
      <c r="C2" s="98"/>
      <c r="D2" s="98"/>
      <c r="E2" s="98"/>
      <c r="I2" s="200"/>
      <c r="J2" s="200"/>
      <c r="K2" s="200"/>
      <c r="L2" s="200"/>
      <c r="M2" s="200"/>
      <c r="N2" s="200"/>
    </row>
    <row r="3" spans="1:14">
      <c r="A3" s="94" t="s">
        <v>406</v>
      </c>
      <c r="B3" s="94" t="s">
        <v>451</v>
      </c>
      <c r="C3" s="180" t="s">
        <v>450</v>
      </c>
      <c r="D3" s="180" t="s">
        <v>448</v>
      </c>
      <c r="L3" s="40"/>
      <c r="M3" s="40"/>
      <c r="N3" s="40"/>
    </row>
    <row r="4" spans="1:14">
      <c r="A4" s="93" t="s">
        <v>42</v>
      </c>
      <c r="B4" s="99">
        <v>143</v>
      </c>
      <c r="C4" s="181">
        <v>5640803</v>
      </c>
      <c r="D4" s="181">
        <v>3536.0629370629372</v>
      </c>
    </row>
    <row r="5" spans="1:14">
      <c r="A5" s="93" t="s">
        <v>21</v>
      </c>
      <c r="B5" s="99">
        <v>130</v>
      </c>
      <c r="C5" s="181">
        <v>5692683</v>
      </c>
      <c r="D5" s="181">
        <v>3580.1846153846154</v>
      </c>
    </row>
    <row r="6" spans="1:14">
      <c r="A6" s="93" t="s">
        <v>45</v>
      </c>
      <c r="B6" s="99">
        <v>109</v>
      </c>
      <c r="C6" s="181">
        <v>4396669</v>
      </c>
      <c r="D6" s="181">
        <v>3457.6422018348626</v>
      </c>
    </row>
    <row r="7" spans="1:14">
      <c r="A7" s="95" t="s">
        <v>398</v>
      </c>
      <c r="B7" s="96">
        <v>67</v>
      </c>
      <c r="C7" s="181">
        <v>2976765</v>
      </c>
      <c r="D7" s="181">
        <v>3637.0149253731342</v>
      </c>
    </row>
    <row r="8" spans="1:14">
      <c r="A8" s="95" t="s">
        <v>399</v>
      </c>
      <c r="B8" s="96">
        <v>34</v>
      </c>
      <c r="C8" s="181">
        <v>1544141</v>
      </c>
      <c r="D8" s="181">
        <v>3615.0882352941176</v>
      </c>
    </row>
    <row r="12" spans="1:14" ht="15.6" customHeight="1">
      <c r="A12" s="201" t="s">
        <v>458</v>
      </c>
      <c r="B12" s="202"/>
      <c r="C12" s="202"/>
      <c r="D12" s="202"/>
    </row>
    <row r="13" spans="1:14" ht="14.4" customHeight="1">
      <c r="A13" s="202"/>
      <c r="B13" s="202"/>
      <c r="C13" s="202"/>
      <c r="D13" s="202"/>
    </row>
    <row r="14" spans="1:14">
      <c r="A14" s="106" t="s">
        <v>456</v>
      </c>
      <c r="B14" s="105"/>
      <c r="C14" s="104"/>
    </row>
    <row r="15" spans="1:14">
      <c r="A15" s="106" t="s">
        <v>455</v>
      </c>
      <c r="B15" s="105"/>
      <c r="C15" s="104"/>
    </row>
    <row r="16" spans="1:14">
      <c r="A16" s="106" t="s">
        <v>457</v>
      </c>
      <c r="B16" s="105"/>
      <c r="C16" s="104"/>
    </row>
  </sheetData>
  <mergeCells count="3">
    <mergeCell ref="A1:E1"/>
    <mergeCell ref="I1:N2"/>
    <mergeCell ref="A12:D13"/>
  </mergeCell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5D2A1-1E2A-47E7-86F3-DD18EBD2AA2F}">
  <dimension ref="A1:D15"/>
  <sheetViews>
    <sheetView workbookViewId="0">
      <selection activeCell="D17" sqref="D17"/>
    </sheetView>
  </sheetViews>
  <sheetFormatPr defaultRowHeight="14.4"/>
  <cols>
    <col min="1" max="1" width="17.21875" bestFit="1" customWidth="1"/>
    <col min="2" max="2" width="27.21875" bestFit="1" customWidth="1"/>
    <col min="3" max="3" width="15.33203125" bestFit="1" customWidth="1"/>
    <col min="4" max="4" width="9.77734375" bestFit="1" customWidth="1"/>
  </cols>
  <sheetData>
    <row r="1" spans="1:4">
      <c r="A1" s="203" t="s">
        <v>454</v>
      </c>
      <c r="B1" s="203"/>
      <c r="C1" s="203"/>
      <c r="D1" s="203"/>
    </row>
    <row r="2" spans="1:4">
      <c r="A2" s="203"/>
      <c r="B2" s="203"/>
      <c r="C2" s="203"/>
      <c r="D2" s="203"/>
    </row>
    <row r="3" spans="1:4">
      <c r="A3" s="40" t="s">
        <v>406</v>
      </c>
      <c r="B3" t="s">
        <v>448</v>
      </c>
      <c r="C3" t="s">
        <v>449</v>
      </c>
      <c r="D3" t="s">
        <v>453</v>
      </c>
    </row>
    <row r="4" spans="1:4">
      <c r="A4" s="100" t="s">
        <v>398</v>
      </c>
      <c r="B4" s="99">
        <v>3637.0149253731342</v>
      </c>
      <c r="C4" s="102">
        <v>183.47761194029852</v>
      </c>
      <c r="D4" s="102">
        <v>67</v>
      </c>
    </row>
    <row r="5" spans="1:4">
      <c r="A5" s="100" t="s">
        <v>399</v>
      </c>
      <c r="B5" s="99">
        <v>3615.0882352941176</v>
      </c>
      <c r="C5" s="102">
        <v>208.47058823529412</v>
      </c>
      <c r="D5" s="102">
        <v>34</v>
      </c>
    </row>
    <row r="6" spans="1:4">
      <c r="A6" s="100" t="s">
        <v>21</v>
      </c>
      <c r="B6" s="99">
        <v>3580.1846153846154</v>
      </c>
      <c r="C6" s="102">
        <v>197.16923076923078</v>
      </c>
      <c r="D6" s="102">
        <v>130</v>
      </c>
    </row>
    <row r="7" spans="1:4">
      <c r="A7" s="101" t="s">
        <v>42</v>
      </c>
      <c r="B7" s="102">
        <v>3536.0629370629372</v>
      </c>
      <c r="C7" s="102">
        <v>186.72027972027973</v>
      </c>
      <c r="D7" s="102">
        <v>143</v>
      </c>
    </row>
    <row r="8" spans="1:4">
      <c r="A8" s="101" t="s">
        <v>45</v>
      </c>
      <c r="B8" s="102">
        <v>3457.6422018348626</v>
      </c>
      <c r="C8" s="102">
        <v>192.45871559633028</v>
      </c>
      <c r="D8" s="102">
        <v>109</v>
      </c>
    </row>
    <row r="12" spans="1:4">
      <c r="A12" s="204" t="s">
        <v>459</v>
      </c>
      <c r="B12" s="204"/>
    </row>
    <row r="13" spans="1:4">
      <c r="A13" s="107" t="s">
        <v>460</v>
      </c>
      <c r="B13" s="107"/>
    </row>
    <row r="14" spans="1:4">
      <c r="A14" s="107" t="s">
        <v>461</v>
      </c>
      <c r="B14" s="107"/>
    </row>
    <row r="15" spans="1:4">
      <c r="A15" s="107" t="s">
        <v>462</v>
      </c>
      <c r="B15" s="107"/>
    </row>
  </sheetData>
  <mergeCells count="2">
    <mergeCell ref="A1:D2"/>
    <mergeCell ref="A12:B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2141-D4F0-46A0-984E-0EBCF9690E1E}">
  <dimension ref="A1:C18"/>
  <sheetViews>
    <sheetView workbookViewId="0">
      <selection activeCell="B10" sqref="B10"/>
    </sheetView>
  </sheetViews>
  <sheetFormatPr defaultRowHeight="14.4"/>
  <cols>
    <col min="1" max="1" width="13.109375" bestFit="1" customWidth="1"/>
    <col min="2" max="2" width="24" bestFit="1" customWidth="1"/>
    <col min="3" max="3" width="5.44140625" bestFit="1" customWidth="1"/>
  </cols>
  <sheetData>
    <row r="1" spans="1:3">
      <c r="A1" s="205" t="s">
        <v>466</v>
      </c>
      <c r="B1" s="205"/>
      <c r="C1" s="205"/>
    </row>
    <row r="3" spans="1:3">
      <c r="A3" s="40" t="s">
        <v>406</v>
      </c>
      <c r="B3" t="s">
        <v>464</v>
      </c>
      <c r="C3" t="s">
        <v>465</v>
      </c>
    </row>
    <row r="4" spans="1:3">
      <c r="A4" s="41" t="s">
        <v>57</v>
      </c>
      <c r="B4" s="183">
        <v>105783</v>
      </c>
      <c r="C4" s="92">
        <v>29</v>
      </c>
    </row>
    <row r="5" spans="1:3">
      <c r="A5" s="103" t="s">
        <v>397</v>
      </c>
      <c r="B5" s="183">
        <v>105783</v>
      </c>
      <c r="C5" s="92">
        <v>29</v>
      </c>
    </row>
    <row r="6" spans="1:3">
      <c r="A6" s="41" t="s">
        <v>25</v>
      </c>
      <c r="B6" s="183">
        <v>392503</v>
      </c>
      <c r="C6" s="92">
        <v>110</v>
      </c>
    </row>
    <row r="7" spans="1:3">
      <c r="A7" s="103" t="s">
        <v>14</v>
      </c>
      <c r="B7" s="183">
        <v>75464</v>
      </c>
      <c r="C7" s="92">
        <v>23</v>
      </c>
    </row>
    <row r="8" spans="1:3">
      <c r="A8" s="103" t="s">
        <v>24</v>
      </c>
      <c r="B8" s="183">
        <v>317039</v>
      </c>
      <c r="C8" s="92">
        <v>87</v>
      </c>
    </row>
    <row r="9" spans="1:3">
      <c r="A9" s="41" t="s">
        <v>15</v>
      </c>
      <c r="B9" s="183">
        <v>559356</v>
      </c>
      <c r="C9" s="92">
        <v>161</v>
      </c>
    </row>
    <row r="10" spans="1:3">
      <c r="A10" s="103" t="s">
        <v>14</v>
      </c>
      <c r="B10" s="183">
        <v>226112</v>
      </c>
      <c r="C10" s="92">
        <v>66</v>
      </c>
    </row>
    <row r="11" spans="1:3">
      <c r="A11" s="103" t="s">
        <v>24</v>
      </c>
      <c r="B11" s="183">
        <v>210331</v>
      </c>
      <c r="C11" s="92">
        <v>61</v>
      </c>
    </row>
    <row r="12" spans="1:3">
      <c r="A12" s="103" t="s">
        <v>397</v>
      </c>
      <c r="B12" s="183">
        <v>122913</v>
      </c>
      <c r="C12" s="92">
        <v>34</v>
      </c>
    </row>
    <row r="15" spans="1:3">
      <c r="A15" s="206" t="s">
        <v>467</v>
      </c>
      <c r="B15" s="206"/>
    </row>
    <row r="16" spans="1:3">
      <c r="A16" s="109" t="s">
        <v>468</v>
      </c>
      <c r="B16" s="110"/>
    </row>
    <row r="17" spans="1:2">
      <c r="A17" s="109" t="s">
        <v>469</v>
      </c>
      <c r="B17" s="110"/>
    </row>
    <row r="18" spans="1:2">
      <c r="A18" s="109" t="s">
        <v>470</v>
      </c>
      <c r="B18" s="110"/>
    </row>
  </sheetData>
  <mergeCells count="2">
    <mergeCell ref="A1:C1"/>
    <mergeCell ref="A15:B15"/>
  </mergeCell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AAA7C-40EB-45D2-A9FF-62EE75F1C196}">
  <dimension ref="A1:K7"/>
  <sheetViews>
    <sheetView workbookViewId="0">
      <selection activeCell="K4" sqref="K4"/>
    </sheetView>
  </sheetViews>
  <sheetFormatPr defaultRowHeight="14.4"/>
  <cols>
    <col min="1" max="1" width="12.44140625" bestFit="1" customWidth="1"/>
    <col min="2" max="2" width="6.44140625" bestFit="1" customWidth="1"/>
    <col min="3" max="3" width="18.88671875" style="139" bestFit="1" customWidth="1"/>
    <col min="4" max="4" width="17" bestFit="1" customWidth="1"/>
    <col min="5" max="5" width="12" style="139" bestFit="1" customWidth="1"/>
    <col min="6" max="6" width="14.5546875" bestFit="1" customWidth="1"/>
    <col min="7" max="7" width="12.6640625" bestFit="1" customWidth="1"/>
    <col min="8" max="8" width="14.5546875" bestFit="1" customWidth="1"/>
    <col min="9" max="9" width="19.21875" bestFit="1" customWidth="1"/>
    <col min="10" max="10" width="11.88671875" bestFit="1" customWidth="1"/>
    <col min="11" max="11" width="4.5546875" bestFit="1" customWidth="1"/>
  </cols>
  <sheetData>
    <row r="1" spans="1:11">
      <c r="A1" s="204" t="s">
        <v>489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</row>
    <row r="3" spans="1:11">
      <c r="A3" s="123" t="s">
        <v>471</v>
      </c>
      <c r="B3" s="123" t="s">
        <v>472</v>
      </c>
      <c r="C3" s="140" t="s">
        <v>483</v>
      </c>
      <c r="D3" s="123" t="s">
        <v>484</v>
      </c>
      <c r="E3" s="140" t="s">
        <v>485</v>
      </c>
      <c r="F3" s="123" t="s">
        <v>486</v>
      </c>
      <c r="G3" s="123" t="s">
        <v>487</v>
      </c>
      <c r="H3" s="123" t="s">
        <v>488</v>
      </c>
      <c r="I3" s="123" t="s">
        <v>473</v>
      </c>
      <c r="J3" s="123" t="s">
        <v>474</v>
      </c>
      <c r="K3" s="123" t="s">
        <v>420</v>
      </c>
    </row>
    <row r="4" spans="1:11">
      <c r="A4" s="141" t="s">
        <v>18</v>
      </c>
      <c r="B4" s="142">
        <f>COUNTIF('Raw Posts Data'!$M:$M,A4)</f>
        <v>154</v>
      </c>
      <c r="C4" s="143">
        <f>SUMIF('Raw Posts Data'!$M:$M,A4,'Raw Posts Data'!$I:$I)</f>
        <v>6331868</v>
      </c>
      <c r="D4" s="144">
        <f>C4/B4</f>
        <v>41116.025974025972</v>
      </c>
      <c r="E4" s="145">
        <f>SUMIF('Raw Posts Data'!$M:$M,A4,'Raw Posts Data'!$F:$F)</f>
        <v>471034</v>
      </c>
      <c r="F4" s="146">
        <f>E4/B4</f>
        <v>3058.6623376623374</v>
      </c>
      <c r="G4" s="146">
        <f>SUMIF('Raw Posts Data'!$M:$M,A4,'Raw Posts Data'!$K:$K)</f>
        <v>28708</v>
      </c>
      <c r="H4" s="146">
        <f>G4/B4</f>
        <v>186.41558441558442</v>
      </c>
      <c r="I4" s="147">
        <f>SUMIF('Raw Posts Data'!$M:$M,A4,'Raw Posts Data'!$N:$N)</f>
        <v>551989</v>
      </c>
      <c r="J4" s="148">
        <f>VLOOKUP(A4,'Raw Campaign Data'!$A:$E,5,FALSE)</f>
        <v>200000</v>
      </c>
      <c r="K4" s="144">
        <f>I4/J4</f>
        <v>2.7599450000000001</v>
      </c>
    </row>
    <row r="5" spans="1:11">
      <c r="A5" s="141" t="s">
        <v>22</v>
      </c>
      <c r="B5" s="142">
        <f>COUNTIF('Raw Posts Data'!$M:$M,A5)</f>
        <v>94</v>
      </c>
      <c r="C5" s="143">
        <f>SUMIF('Raw Posts Data'!$M:$M,A5,'Raw Posts Data'!$I:$I)</f>
        <v>4039305</v>
      </c>
      <c r="D5" s="144">
        <f t="shared" ref="D5:D7" si="0">C5/B5</f>
        <v>42971.329787234041</v>
      </c>
      <c r="E5" s="145">
        <f>SUMIF('Raw Posts Data'!$M:$M,A5,'Raw Posts Data'!$F:$F)</f>
        <v>274455</v>
      </c>
      <c r="F5" s="146">
        <f t="shared" ref="F5:F7" si="1">E5/B5</f>
        <v>2919.7340425531916</v>
      </c>
      <c r="G5" s="146">
        <f>SUMIF('Raw Posts Data'!$M:$M,A5,'Raw Posts Data'!$K:$K)</f>
        <v>18717</v>
      </c>
      <c r="H5" s="146">
        <f t="shared" ref="H5:H7" si="2">G5/B5</f>
        <v>199.11702127659575</v>
      </c>
      <c r="I5" s="147">
        <f>SUMIF('Raw Posts Data'!$M:$M,A5,'Raw Posts Data'!$N:$N)</f>
        <v>324406</v>
      </c>
      <c r="J5" s="148">
        <f>VLOOKUP(A5,'Raw Campaign Data'!$A:$E,5,FALSE)</f>
        <v>160000</v>
      </c>
      <c r="K5" s="144">
        <f>I5/J5</f>
        <v>2.0275375000000002</v>
      </c>
    </row>
    <row r="6" spans="1:11">
      <c r="A6" s="141" t="s">
        <v>59</v>
      </c>
      <c r="B6" s="142">
        <f>COUNTIF('Raw Posts Data'!$M:$M,A6)</f>
        <v>29</v>
      </c>
      <c r="C6" s="143">
        <f>SUMIF('Raw Posts Data'!$M:$M,A6,'Raw Posts Data'!$I:$I)</f>
        <v>1233853</v>
      </c>
      <c r="D6" s="144">
        <f t="shared" si="0"/>
        <v>42546.65517241379</v>
      </c>
      <c r="E6" s="145">
        <f>SUMIF('Raw Posts Data'!$M:$M,A6,'Raw Posts Data'!$F:$F)</f>
        <v>89871</v>
      </c>
      <c r="F6" s="146">
        <f t="shared" si="1"/>
        <v>3099</v>
      </c>
      <c r="G6" s="146">
        <f>SUMIF('Raw Posts Data'!$M:$M,A6,'Raw Posts Data'!$K:$K)</f>
        <v>5557</v>
      </c>
      <c r="H6" s="146">
        <f t="shared" si="2"/>
        <v>191.62068965517241</v>
      </c>
      <c r="I6" s="147">
        <f>SUMIF('Raw Posts Data'!$M:$M,A6,'Raw Posts Data'!$N:$N)</f>
        <v>105783</v>
      </c>
      <c r="J6" s="148">
        <f>VLOOKUP(A6,'Raw Campaign Data'!$A:$E,5,FALSE)</f>
        <v>175000</v>
      </c>
      <c r="K6" s="144">
        <f>I6/J6</f>
        <v>0.60447428571428574</v>
      </c>
    </row>
    <row r="7" spans="1:11">
      <c r="A7" s="141" t="s">
        <v>55</v>
      </c>
      <c r="B7" s="142">
        <f>COUNTIF('Raw Posts Data'!$M:$M,A7)</f>
        <v>23</v>
      </c>
      <c r="C7" s="143">
        <f>SUMIF('Raw Posts Data'!$M:$M,A7,'Raw Posts Data'!$I:$I)</f>
        <v>865406</v>
      </c>
      <c r="D7" s="144">
        <f t="shared" si="0"/>
        <v>37626.34782608696</v>
      </c>
      <c r="E7" s="145">
        <f>SUMIF('Raw Posts Data'!$M:$M,A7,'Raw Posts Data'!$F:$F)</f>
        <v>61815</v>
      </c>
      <c r="F7" s="146">
        <f t="shared" si="1"/>
        <v>2687.608695652174</v>
      </c>
      <c r="G7" s="146">
        <f>SUMIF('Raw Posts Data'!$M:$M,A7,'Raw Posts Data'!$K:$K)</f>
        <v>4614</v>
      </c>
      <c r="H7" s="146">
        <f t="shared" si="2"/>
        <v>200.60869565217391</v>
      </c>
      <c r="I7" s="147">
        <f>SUMIF('Raw Posts Data'!$M:$M,A7,'Raw Posts Data'!$N:$N)</f>
        <v>75464</v>
      </c>
      <c r="J7" s="148">
        <f>VLOOKUP(A7,'Raw Campaign Data'!$A:$E,5,FALSE)</f>
        <v>225000</v>
      </c>
      <c r="K7" s="144">
        <f>I7/J7</f>
        <v>0.33539555555555556</v>
      </c>
    </row>
  </sheetData>
  <mergeCells count="1">
    <mergeCell ref="A1:K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A54B-3764-45E2-B56D-72CEEF5CE4FE}">
  <dimension ref="A1:H14"/>
  <sheetViews>
    <sheetView topLeftCell="A2" workbookViewId="0">
      <selection activeCell="C4" sqref="C4"/>
    </sheetView>
  </sheetViews>
  <sheetFormatPr defaultRowHeight="14.4"/>
  <cols>
    <col min="1" max="1" width="62.109375" bestFit="1" customWidth="1"/>
    <col min="2" max="2" width="64.21875" bestFit="1" customWidth="1"/>
    <col min="3" max="3" width="18.44140625" bestFit="1" customWidth="1"/>
    <col min="4" max="4" width="7.109375" bestFit="1" customWidth="1"/>
    <col min="5" max="5" width="7" bestFit="1" customWidth="1"/>
  </cols>
  <sheetData>
    <row r="1" spans="1:8">
      <c r="A1" s="136" t="s">
        <v>476</v>
      </c>
      <c r="B1" s="137"/>
      <c r="C1" s="137"/>
      <c r="D1" s="137"/>
      <c r="E1" s="137"/>
      <c r="F1" s="137"/>
      <c r="G1" s="137"/>
      <c r="H1" s="135"/>
    </row>
    <row r="3" spans="1:8">
      <c r="A3" s="159" t="s">
        <v>481</v>
      </c>
      <c r="B3" s="159" t="s">
        <v>477</v>
      </c>
      <c r="C3" s="159" t="s">
        <v>478</v>
      </c>
      <c r="D3" s="159" t="s">
        <v>479</v>
      </c>
      <c r="E3" s="159" t="s">
        <v>480</v>
      </c>
      <c r="F3" s="160"/>
      <c r="G3" s="160"/>
    </row>
    <row r="4" spans="1:8">
      <c r="A4" s="138" t="s">
        <v>59</v>
      </c>
      <c r="B4" s="59">
        <f>AVERAGEIFS('Raw Engagement Summary'!$F:$F,
 'Raw Engagement Summary'!$A:$A,"&gt;=2024-05-15",
 'Raw Engagement Summary'!$A:$A,"&lt;=2024-06-14")</f>
        <v>9.0116666666666667</v>
      </c>
      <c r="C4" s="59">
        <f>AVERAGEIFS('Raw Engagement Summary'!$F:$F,'Raw Engagement Summary'!$A:$A,"&gt;=2024-06-15",'Raw Engagement Summary'!$A:$A,"&lt;=2024-07-15")</f>
        <v>7.1393333333333322</v>
      </c>
      <c r="D4" s="59">
        <f>(C4-B4)/B4*100</f>
        <v>-20.776770852598496</v>
      </c>
      <c r="E4" t="str">
        <f>IF(D4&gt;0,"📈 Positive","📉 Negative")</f>
        <v>📉 Negative</v>
      </c>
    </row>
    <row r="5" spans="1:8">
      <c r="A5" s="138" t="s">
        <v>55</v>
      </c>
      <c r="B5" s="59">
        <f>AVERAGEIFS('Raw Engagement Summary'!$F:$F,'Raw Engagement Summary'!$A:$A,"&gt;=2024-10-31",'Raw Engagement Summary'!$A:$A,"&lt;=2024-11-30")</f>
        <v>7.5766666666666653</v>
      </c>
      <c r="C5" s="59">
        <f>AVERAGEIFS('Raw Engagement Summary'!$F:$F,'Raw Engagement Summary'!$A:$A,"&gt;=2024-12-01",'Raw Engagement Summary'!$A:$A,"&lt;=2024-12-31")</f>
        <v>6.110666666666666</v>
      </c>
      <c r="D5" s="59">
        <f t="shared" ref="D5:D7" si="0">(C5-B5)/B5*100</f>
        <v>-19.348878134623838</v>
      </c>
      <c r="E5" t="str">
        <f t="shared" ref="E5:E7" si="1">IF(D5&gt;0,"📈 Positive","📉 Negative")</f>
        <v>📉 Negative</v>
      </c>
    </row>
    <row r="6" spans="1:8">
      <c r="A6" s="138" t="s">
        <v>18</v>
      </c>
      <c r="B6" s="59">
        <f>AVERAGEIFS('Raw Engagement Summary'!$F:$F,'Raw Engagement Summary'!$A:$A,"&gt;=2024-12-09",'Raw Engagement Summary'!$A:$A,"&lt;=2025-01-09")</f>
        <v>6.2933333333333339</v>
      </c>
      <c r="C6" s="59">
        <f>AVERAGEIFS('Raw Engagement Summary'!$F:$F,'Raw Engagement Summary'!$A:$A,"&gt;=2025-01-10",'Raw Engagement Summary'!$A:$A,"&lt;=2025-02-10")</f>
        <v>6.2493333333333334</v>
      </c>
      <c r="D6" s="59">
        <f t="shared" si="0"/>
        <v>-0.69915254237288893</v>
      </c>
      <c r="E6" t="str">
        <f t="shared" si="1"/>
        <v>📉 Negative</v>
      </c>
    </row>
    <row r="7" spans="1:8">
      <c r="A7" s="184" t="s">
        <v>22</v>
      </c>
      <c r="B7" s="59">
        <f>AVERAGEIFS('Raw Engagement Summary'!$F:$F,'Raw Engagement Summary'!$A:$A,"&gt;=2025-01-29",'Raw Engagement Summary'!$A:$A,"&lt;=2025-02-28")</f>
        <v>6.2341666666666669</v>
      </c>
      <c r="C7" s="59">
        <f>AVERAGEIFS('Raw Engagement Summary'!$F:$F,'Raw Engagement Summary'!$A:$A,"&gt;=2025-03-01",'Raw Engagement Summary'!$A:$A,"&lt;=2025-03-31")</f>
        <v>6.9173333333333336</v>
      </c>
      <c r="D7" s="99">
        <f t="shared" si="0"/>
        <v>10.9584280176447</v>
      </c>
      <c r="E7" t="str">
        <f t="shared" si="1"/>
        <v>📈 Positive</v>
      </c>
    </row>
    <row r="10" spans="1:8">
      <c r="A10" s="161" t="s">
        <v>495</v>
      </c>
    </row>
    <row r="11" spans="1:8">
      <c r="A11" s="162" t="s">
        <v>496</v>
      </c>
      <c r="B11" s="162" t="s">
        <v>497</v>
      </c>
      <c r="C11" s="138"/>
      <c r="D11" s="138"/>
      <c r="E11" s="138"/>
      <c r="F11" s="138"/>
    </row>
    <row r="12" spans="1:8">
      <c r="A12" s="162" t="s">
        <v>498</v>
      </c>
      <c r="B12" s="162" t="s">
        <v>499</v>
      </c>
      <c r="C12" s="138"/>
      <c r="D12" s="138"/>
      <c r="E12" s="138"/>
      <c r="F12" s="138"/>
    </row>
    <row r="13" spans="1:8">
      <c r="A13" s="162" t="s">
        <v>500</v>
      </c>
      <c r="B13" s="162" t="s">
        <v>501</v>
      </c>
      <c r="C13" s="138"/>
      <c r="D13" s="138"/>
      <c r="E13" s="138"/>
      <c r="F13" s="138"/>
    </row>
    <row r="14" spans="1:8">
      <c r="A14" s="162" t="s">
        <v>502</v>
      </c>
      <c r="B14" s="162" t="s">
        <v>503</v>
      </c>
      <c r="C14" s="138"/>
      <c r="D14" s="138"/>
      <c r="E14" s="138"/>
      <c r="F14" s="138"/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AA41-0F2E-4DBE-A7FC-B603C9FD1D6D}">
  <dimension ref="A1:G7"/>
  <sheetViews>
    <sheetView workbookViewId="0">
      <selection activeCell="G4" sqref="G4"/>
    </sheetView>
  </sheetViews>
  <sheetFormatPr defaultRowHeight="14.4"/>
  <cols>
    <col min="1" max="1" width="5.5546875" bestFit="1" customWidth="1"/>
    <col min="2" max="2" width="12.6640625" bestFit="1" customWidth="1"/>
    <col min="3" max="3" width="6.109375" bestFit="1" customWidth="1"/>
    <col min="4" max="4" width="19" bestFit="1" customWidth="1"/>
    <col min="5" max="5" width="11.88671875" bestFit="1" customWidth="1"/>
    <col min="6" max="6" width="4.5546875" bestFit="1" customWidth="1"/>
    <col min="7" max="7" width="17.77734375" bestFit="1" customWidth="1"/>
  </cols>
  <sheetData>
    <row r="1" spans="1:7">
      <c r="A1" s="207" t="s">
        <v>482</v>
      </c>
      <c r="B1" s="207"/>
      <c r="C1" s="207"/>
      <c r="D1" s="207"/>
      <c r="E1" s="207"/>
      <c r="F1" s="207"/>
    </row>
    <row r="3" spans="1:7">
      <c r="A3" s="123" t="s">
        <v>412</v>
      </c>
      <c r="B3" s="123" t="s">
        <v>471</v>
      </c>
      <c r="C3" s="123" t="s">
        <v>472</v>
      </c>
      <c r="D3" s="123" t="s">
        <v>473</v>
      </c>
      <c r="E3" s="123" t="s">
        <v>474</v>
      </c>
      <c r="F3" s="123" t="s">
        <v>420</v>
      </c>
      <c r="G3" s="123" t="s">
        <v>475</v>
      </c>
    </row>
    <row r="4" spans="1:7">
      <c r="A4" s="64">
        <f>RANK(C4,$C$4:$C$7,0)</f>
        <v>1</v>
      </c>
      <c r="B4" s="130" t="s">
        <v>18</v>
      </c>
      <c r="C4" s="64">
        <f>COUNTIF('Raw Posts Data'!$M:$M,B4)</f>
        <v>154</v>
      </c>
      <c r="D4" s="131">
        <f>SUMIF('Raw Posts Data'!$M:$M,B4,'Raw Posts Data'!$N:$N)</f>
        <v>551989</v>
      </c>
      <c r="E4" s="133">
        <f>VLOOKUP(B4,'Raw Campaign Data'!$A:$E,5,FALSE)</f>
        <v>200000</v>
      </c>
      <c r="F4" s="99">
        <f>D4/E4</f>
        <v>2.7599450000000001</v>
      </c>
      <c r="G4" s="64" t="str">
        <f>IF(F4&gt;=2,"Excellent",IF(F4&gt;=1,"Good","Needs Improvement"))</f>
        <v>Excellent</v>
      </c>
    </row>
    <row r="5" spans="1:7">
      <c r="A5">
        <f>RANK(C5,$C$4:$C$7,0)</f>
        <v>2</v>
      </c>
      <c r="B5" s="97" t="s">
        <v>22</v>
      </c>
      <c r="C5">
        <f>COUNTIF('Raw Posts Data'!$M:$M,B5)</f>
        <v>94</v>
      </c>
      <c r="D5" s="132">
        <f>SUMIF('Raw Posts Data'!$M:$M,B5,'Raw Posts Data'!$N:$N)</f>
        <v>324406</v>
      </c>
      <c r="E5" s="134">
        <f>VLOOKUP(B5,'Raw Campaign Data'!$A:$E,5,FALSE)</f>
        <v>160000</v>
      </c>
      <c r="F5" s="59">
        <f>D5/E5</f>
        <v>2.0275375000000002</v>
      </c>
      <c r="G5" t="str">
        <f>IF(F5&gt;=2,"Excellent",IF(F5&gt;=1,"Good","Needs Improvement"))</f>
        <v>Excellent</v>
      </c>
    </row>
    <row r="6" spans="1:7">
      <c r="A6">
        <f>RANK(C6,$C$4:$C$7,0)</f>
        <v>3</v>
      </c>
      <c r="B6" s="97" t="s">
        <v>59</v>
      </c>
      <c r="C6">
        <f>COUNTIF('Raw Posts Data'!$M:$M,B6)</f>
        <v>29</v>
      </c>
      <c r="D6" s="132">
        <f>SUMIF('Raw Posts Data'!$M:$M,B6,'Raw Posts Data'!$N:$N)</f>
        <v>105783</v>
      </c>
      <c r="E6" s="134">
        <f>VLOOKUP(B6,'Raw Campaign Data'!$A:$E,5,FALSE)</f>
        <v>175000</v>
      </c>
      <c r="F6" s="59">
        <f>D6/E6</f>
        <v>0.60447428571428574</v>
      </c>
      <c r="G6" t="str">
        <f>IF(F6&gt;=2,"Excellent",IF(F6&gt;=1,"Good","Needs Improvement"))</f>
        <v>Needs Improvement</v>
      </c>
    </row>
    <row r="7" spans="1:7">
      <c r="A7">
        <f>RANK(C7,$C$4:$C$7,0)</f>
        <v>4</v>
      </c>
      <c r="B7" s="97" t="s">
        <v>55</v>
      </c>
      <c r="C7">
        <f>COUNTIF('Raw Posts Data'!$M:$M,B7)</f>
        <v>23</v>
      </c>
      <c r="D7" s="132">
        <f>SUMIF('Raw Posts Data'!$M:$M,B7,'Raw Posts Data'!$N:$N)</f>
        <v>75464</v>
      </c>
      <c r="E7" s="134">
        <f>VLOOKUP(B7,'Raw Campaign Data'!$A:$E,5,FALSE)</f>
        <v>225000</v>
      </c>
      <c r="F7" s="59">
        <f>D7/E7</f>
        <v>0.33539555555555556</v>
      </c>
      <c r="G7" t="str">
        <f>IF(F7&gt;=2,"Excellent",IF(F7&gt;=1,"Good","Needs Improvement"))</f>
        <v>Needs Improvement</v>
      </c>
    </row>
  </sheetData>
  <sortState ref="A4:G7">
    <sortCondition descending="1" ref="F4"/>
  </sortState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FEEA-0DAC-466B-A3C6-9A862C51796E}">
  <dimension ref="A1:E7"/>
  <sheetViews>
    <sheetView workbookViewId="0">
      <selection activeCell="E4" sqref="E4"/>
    </sheetView>
  </sheetViews>
  <sheetFormatPr defaultRowHeight="14.4"/>
  <cols>
    <col min="1" max="1" width="37.109375" bestFit="1" customWidth="1"/>
    <col min="2" max="2" width="12.44140625" bestFit="1" customWidth="1"/>
    <col min="3" max="3" width="15.77734375" bestFit="1" customWidth="1"/>
    <col min="4" max="4" width="9.44140625" bestFit="1" customWidth="1"/>
    <col min="5" max="5" width="9" bestFit="1" customWidth="1"/>
  </cols>
  <sheetData>
    <row r="1" spans="1:5">
      <c r="A1" s="204" t="s">
        <v>490</v>
      </c>
      <c r="B1" s="204"/>
      <c r="C1" s="204"/>
      <c r="D1" s="204"/>
      <c r="E1" s="204"/>
    </row>
    <row r="3" spans="1:5">
      <c r="A3" s="149" t="s">
        <v>491</v>
      </c>
      <c r="B3" s="149" t="s">
        <v>471</v>
      </c>
      <c r="C3" s="149" t="s">
        <v>492</v>
      </c>
      <c r="D3" s="149" t="s">
        <v>493</v>
      </c>
      <c r="E3" s="149" t="s">
        <v>494</v>
      </c>
    </row>
    <row r="4" spans="1:5">
      <c r="A4" s="151">
        <f>RANK(E4,$E$4:$E$7,0)</f>
        <v>1</v>
      </c>
      <c r="B4" s="151" t="s">
        <v>18</v>
      </c>
      <c r="C4" s="152">
        <f>SUMIFS('Raw Engagement Summary'!$C:$C,'Raw Engagement Summary'!$A:$A,"&gt;=2024-06-15",'Raw Engagement Summary'!$A:$A,"&lt;=2024-07-15")</f>
        <v>16066</v>
      </c>
      <c r="D4" s="151">
        <f>SUMIFS('Raw Engagement Summary'!$D:$D,'Raw Engagement Summary'!$A:$A,"&gt;=2024-06-15",'Raw Engagement Summary'!$A:$A,"&lt;=2024-07-15")</f>
        <v>2508</v>
      </c>
      <c r="E4" s="152">
        <f>C4-D4</f>
        <v>13558</v>
      </c>
    </row>
    <row r="5" spans="1:5">
      <c r="A5">
        <f>RANK(E5,$E$4:$E$7,0)</f>
        <v>2</v>
      </c>
      <c r="B5" t="s">
        <v>59</v>
      </c>
      <c r="C5" s="139">
        <f>SUMIFS('Raw Engagement Summary'!$C:$C,'Raw Engagement Summary'!$A:$A,"&gt;=2025-03-01",'Raw Engagement Summary'!$A:$A,"&lt;=2025-03-31")</f>
        <v>15065</v>
      </c>
      <c r="D5">
        <f>SUMIFS('Raw Engagement Summary'!$D:$D,'Raw Engagement Summary'!$A:$A,"&gt;=2025-03-01",'Raw Engagement Summary'!$A:$A,"&lt;=2025-03-31")</f>
        <v>2339</v>
      </c>
      <c r="E5" s="139">
        <f>C5-D5</f>
        <v>12726</v>
      </c>
    </row>
    <row r="6" spans="1:5">
      <c r="A6">
        <f>RANK(E6,$E$4:$E$7,0)</f>
        <v>3</v>
      </c>
      <c r="B6" t="s">
        <v>22</v>
      </c>
      <c r="C6" s="139">
        <f>SUMIFS('Raw Engagement Summary'!$C:$C,'Raw Engagement Summary'!$A:$A,"&gt;=2024-12-01",'Raw Engagement Summary'!$A:$A,"&lt;=2024-12-31")</f>
        <v>13891</v>
      </c>
      <c r="D6">
        <f>SUMIFS('Raw Engagement Summary'!$D:$D,'Raw Engagement Summary'!$A:$A,"&gt;=2024-12-01",'Raw Engagement Summary'!$A:$A,"&lt;=2024-12-31")</f>
        <v>2530</v>
      </c>
      <c r="E6" s="139">
        <f>C6-D6</f>
        <v>11361</v>
      </c>
    </row>
    <row r="7" spans="1:5">
      <c r="A7">
        <f>RANK(E7,$E$4:$E$7,0)</f>
        <v>4</v>
      </c>
      <c r="B7" t="s">
        <v>55</v>
      </c>
      <c r="C7" s="150">
        <f>SUMIFS('Raw Engagement Summary'!$C:$C,'Raw Engagement Summary'!$A:$A,"&gt;=2025-01-10",'Raw Engagement Summary'!$A:$A,"&lt;=2025-02-10")</f>
        <v>12594</v>
      </c>
      <c r="D7">
        <f>SUMIFS('Raw Engagement Summary'!$D:$D,'Raw Engagement Summary'!$A:$A,"&gt;=2025-01-10",'Raw Engagement Summary'!$A:$A,"&lt;=2025-02-10")</f>
        <v>2452</v>
      </c>
      <c r="E7" s="139">
        <f>C7-D7</f>
        <v>10142</v>
      </c>
    </row>
  </sheetData>
  <sortState ref="A4:E7">
    <sortCondition ref="A4"/>
  </sortState>
  <mergeCells count="1">
    <mergeCell ref="A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BBAF-3576-4693-91AC-681F697ED345}">
  <dimension ref="A1:F70"/>
  <sheetViews>
    <sheetView workbookViewId="0">
      <selection activeCell="F4" sqref="F4"/>
    </sheetView>
  </sheetViews>
  <sheetFormatPr defaultRowHeight="14.4"/>
  <cols>
    <col min="1" max="1" width="12.5546875" bestFit="1" customWidth="1"/>
    <col min="2" max="2" width="20.33203125" bestFit="1" customWidth="1"/>
    <col min="3" max="3" width="16" bestFit="1" customWidth="1"/>
    <col min="4" max="4" width="22.5546875" bestFit="1" customWidth="1"/>
    <col min="5" max="5" width="16.21875" bestFit="1" customWidth="1"/>
    <col min="6" max="6" width="17.21875" style="59" bestFit="1" customWidth="1"/>
  </cols>
  <sheetData>
    <row r="1" spans="1:6">
      <c r="A1" s="208" t="s">
        <v>504</v>
      </c>
      <c r="B1" s="208"/>
      <c r="C1" s="208"/>
      <c r="D1" s="208"/>
      <c r="E1" s="208"/>
      <c r="F1" s="208"/>
    </row>
    <row r="3" spans="1:6">
      <c r="A3" s="40" t="s">
        <v>505</v>
      </c>
      <c r="B3" t="s">
        <v>506</v>
      </c>
      <c r="C3" t="s">
        <v>507</v>
      </c>
      <c r="D3" t="s">
        <v>509</v>
      </c>
      <c r="E3" t="s">
        <v>508</v>
      </c>
      <c r="F3" s="165" t="s">
        <v>510</v>
      </c>
    </row>
    <row r="4" spans="1:6">
      <c r="A4" s="164">
        <v>45446</v>
      </c>
      <c r="B4" s="92">
        <v>3869</v>
      </c>
      <c r="C4" s="92">
        <v>450</v>
      </c>
      <c r="D4" s="8">
        <v>3419</v>
      </c>
      <c r="E4" s="92">
        <v>53723</v>
      </c>
      <c r="F4" s="166">
        <f>D4</f>
        <v>3419</v>
      </c>
    </row>
    <row r="5" spans="1:6">
      <c r="A5" s="164">
        <v>45453</v>
      </c>
      <c r="B5" s="92">
        <v>3024</v>
      </c>
      <c r="C5" s="92">
        <v>247</v>
      </c>
      <c r="D5" s="8">
        <v>2777</v>
      </c>
      <c r="E5" s="92">
        <v>60293</v>
      </c>
      <c r="F5" s="166">
        <f>AVERAGE(D4:D5)</f>
        <v>3098</v>
      </c>
    </row>
    <row r="6" spans="1:6">
      <c r="A6" s="164">
        <v>45460</v>
      </c>
      <c r="B6" s="92">
        <v>3767</v>
      </c>
      <c r="C6" s="92">
        <v>592</v>
      </c>
      <c r="D6" s="8">
        <v>3175</v>
      </c>
      <c r="E6" s="92">
        <v>51908</v>
      </c>
      <c r="F6" s="166">
        <f>AVERAGE(D4:D6)</f>
        <v>3123.6666666666665</v>
      </c>
    </row>
    <row r="7" spans="1:6">
      <c r="A7" s="164">
        <v>45467</v>
      </c>
      <c r="B7" s="92">
        <v>3024</v>
      </c>
      <c r="C7" s="92">
        <v>591</v>
      </c>
      <c r="D7" s="8">
        <v>2433</v>
      </c>
      <c r="E7" s="92">
        <v>57474</v>
      </c>
      <c r="F7" s="166">
        <f>AVERAGE(D5:D7)</f>
        <v>2795</v>
      </c>
    </row>
    <row r="8" spans="1:6">
      <c r="A8" s="164">
        <v>45474</v>
      </c>
      <c r="B8" s="92">
        <v>2849</v>
      </c>
      <c r="C8" s="92">
        <v>423</v>
      </c>
      <c r="D8" s="8">
        <v>2426</v>
      </c>
      <c r="E8" s="92">
        <v>52712</v>
      </c>
      <c r="F8" s="166">
        <f t="shared" ref="F8:F70" si="0">AVERAGE(D6:D8)</f>
        <v>2678</v>
      </c>
    </row>
    <row r="9" spans="1:6">
      <c r="A9" s="164">
        <v>45481</v>
      </c>
      <c r="B9" s="92">
        <v>3521</v>
      </c>
      <c r="C9" s="92">
        <v>366</v>
      </c>
      <c r="D9" s="8">
        <v>3155</v>
      </c>
      <c r="E9" s="92">
        <v>42020</v>
      </c>
      <c r="F9" s="166">
        <f t="shared" si="0"/>
        <v>2671.3333333333335</v>
      </c>
    </row>
    <row r="10" spans="1:6">
      <c r="A10" s="164">
        <v>45488</v>
      </c>
      <c r="B10" s="92">
        <v>2905</v>
      </c>
      <c r="C10" s="92">
        <v>536</v>
      </c>
      <c r="D10" s="8">
        <v>2369</v>
      </c>
      <c r="E10" s="92">
        <v>48627</v>
      </c>
      <c r="F10" s="166">
        <f t="shared" si="0"/>
        <v>2650</v>
      </c>
    </row>
    <row r="11" spans="1:6">
      <c r="A11" s="164">
        <v>45495</v>
      </c>
      <c r="B11" s="92">
        <v>2654</v>
      </c>
      <c r="C11" s="92">
        <v>373</v>
      </c>
      <c r="D11" s="8">
        <v>2281</v>
      </c>
      <c r="E11" s="92">
        <v>48009</v>
      </c>
      <c r="F11" s="166">
        <f t="shared" si="0"/>
        <v>2601.6666666666665</v>
      </c>
    </row>
    <row r="12" spans="1:6">
      <c r="A12" s="164">
        <v>45502</v>
      </c>
      <c r="B12" s="92">
        <v>2567</v>
      </c>
      <c r="C12" s="92">
        <v>435</v>
      </c>
      <c r="D12" s="8">
        <v>2132</v>
      </c>
      <c r="E12" s="92">
        <v>34912</v>
      </c>
      <c r="F12" s="166">
        <f t="shared" si="0"/>
        <v>2260.6666666666665</v>
      </c>
    </row>
    <row r="13" spans="1:6">
      <c r="A13" s="164">
        <v>45509</v>
      </c>
      <c r="B13" s="92">
        <v>3138</v>
      </c>
      <c r="C13" s="92">
        <v>445</v>
      </c>
      <c r="D13" s="8">
        <v>2693</v>
      </c>
      <c r="E13" s="92">
        <v>45349</v>
      </c>
      <c r="F13" s="166">
        <f t="shared" si="0"/>
        <v>2368.6666666666665</v>
      </c>
    </row>
    <row r="14" spans="1:6">
      <c r="A14" s="164">
        <v>45516</v>
      </c>
      <c r="B14" s="92">
        <v>3625</v>
      </c>
      <c r="C14" s="92">
        <v>553</v>
      </c>
      <c r="D14" s="8">
        <v>3072</v>
      </c>
      <c r="E14" s="92">
        <v>24209</v>
      </c>
      <c r="F14" s="166">
        <f t="shared" si="0"/>
        <v>2632.3333333333335</v>
      </c>
    </row>
    <row r="15" spans="1:6">
      <c r="A15" s="164">
        <v>45523</v>
      </c>
      <c r="B15" s="92">
        <v>2813</v>
      </c>
      <c r="C15" s="92">
        <v>513</v>
      </c>
      <c r="D15" s="8">
        <v>2300</v>
      </c>
      <c r="E15" s="92">
        <v>52127</v>
      </c>
      <c r="F15" s="166">
        <f t="shared" si="0"/>
        <v>2688.3333333333335</v>
      </c>
    </row>
    <row r="16" spans="1:6">
      <c r="A16" s="164">
        <v>45530</v>
      </c>
      <c r="B16" s="92">
        <v>3147</v>
      </c>
      <c r="C16" s="92">
        <v>697</v>
      </c>
      <c r="D16" s="8">
        <v>2450</v>
      </c>
      <c r="E16" s="92">
        <v>66319</v>
      </c>
      <c r="F16" s="166">
        <f t="shared" si="0"/>
        <v>2607.3333333333335</v>
      </c>
    </row>
    <row r="17" spans="1:6">
      <c r="A17" s="164">
        <v>45537</v>
      </c>
      <c r="B17" s="92">
        <v>2915</v>
      </c>
      <c r="C17" s="92">
        <v>413</v>
      </c>
      <c r="D17" s="8">
        <v>2502</v>
      </c>
      <c r="E17" s="92">
        <v>55150</v>
      </c>
      <c r="F17" s="166">
        <f t="shared" si="0"/>
        <v>2417.3333333333335</v>
      </c>
    </row>
    <row r="18" spans="1:6">
      <c r="A18" s="164">
        <v>45544</v>
      </c>
      <c r="B18" s="92">
        <v>3196</v>
      </c>
      <c r="C18" s="92">
        <v>566</v>
      </c>
      <c r="D18" s="8">
        <v>2630</v>
      </c>
      <c r="E18" s="92">
        <v>44141</v>
      </c>
      <c r="F18" s="166">
        <f t="shared" si="0"/>
        <v>2527.3333333333335</v>
      </c>
    </row>
    <row r="19" spans="1:6">
      <c r="A19" s="164">
        <v>45551</v>
      </c>
      <c r="B19" s="92">
        <v>2739</v>
      </c>
      <c r="C19" s="92">
        <v>577</v>
      </c>
      <c r="D19" s="8">
        <v>2162</v>
      </c>
      <c r="E19" s="92">
        <v>51007</v>
      </c>
      <c r="F19" s="166">
        <f t="shared" si="0"/>
        <v>2431.3333333333335</v>
      </c>
    </row>
    <row r="20" spans="1:6">
      <c r="A20" s="164">
        <v>45558</v>
      </c>
      <c r="B20" s="92">
        <v>3496</v>
      </c>
      <c r="C20" s="92">
        <v>711</v>
      </c>
      <c r="D20" s="8">
        <v>2785</v>
      </c>
      <c r="E20" s="92">
        <v>61088</v>
      </c>
      <c r="F20" s="166">
        <f t="shared" si="0"/>
        <v>2525.6666666666665</v>
      </c>
    </row>
    <row r="21" spans="1:6">
      <c r="A21" s="164">
        <v>45565</v>
      </c>
      <c r="B21" s="92">
        <v>3835</v>
      </c>
      <c r="C21" s="92">
        <v>684</v>
      </c>
      <c r="D21" s="8">
        <v>3151</v>
      </c>
      <c r="E21" s="92">
        <v>47808</v>
      </c>
      <c r="F21" s="166">
        <f t="shared" si="0"/>
        <v>2699.3333333333335</v>
      </c>
    </row>
    <row r="22" spans="1:6">
      <c r="A22" s="164">
        <v>45572</v>
      </c>
      <c r="B22" s="92">
        <v>2770</v>
      </c>
      <c r="C22" s="92">
        <v>432</v>
      </c>
      <c r="D22" s="8">
        <v>2338</v>
      </c>
      <c r="E22" s="92">
        <v>40791</v>
      </c>
      <c r="F22" s="166">
        <f t="shared" si="0"/>
        <v>2758</v>
      </c>
    </row>
    <row r="23" spans="1:6">
      <c r="A23" s="164">
        <v>45579</v>
      </c>
      <c r="B23" s="92">
        <v>3206</v>
      </c>
      <c r="C23" s="92">
        <v>536</v>
      </c>
      <c r="D23" s="8">
        <v>2670</v>
      </c>
      <c r="E23" s="92">
        <v>42137</v>
      </c>
      <c r="F23" s="166">
        <f t="shared" si="0"/>
        <v>2719.6666666666665</v>
      </c>
    </row>
    <row r="24" spans="1:6">
      <c r="A24" s="164">
        <v>45586</v>
      </c>
      <c r="B24" s="92">
        <v>3313</v>
      </c>
      <c r="C24" s="92">
        <v>521</v>
      </c>
      <c r="D24" s="8">
        <v>2792</v>
      </c>
      <c r="E24" s="92">
        <v>52390</v>
      </c>
      <c r="F24" s="166">
        <f t="shared" si="0"/>
        <v>2600</v>
      </c>
    </row>
    <row r="25" spans="1:6">
      <c r="A25" s="164">
        <v>45593</v>
      </c>
      <c r="B25" s="92">
        <v>2940</v>
      </c>
      <c r="C25" s="92">
        <v>759</v>
      </c>
      <c r="D25" s="8">
        <v>2181</v>
      </c>
      <c r="E25" s="92">
        <v>75610</v>
      </c>
      <c r="F25" s="166">
        <f t="shared" si="0"/>
        <v>2547.6666666666665</v>
      </c>
    </row>
    <row r="26" spans="1:6">
      <c r="A26" s="168">
        <v>45600</v>
      </c>
      <c r="B26" s="169">
        <v>4108</v>
      </c>
      <c r="C26" s="169">
        <v>532</v>
      </c>
      <c r="D26" s="170">
        <v>3576</v>
      </c>
      <c r="E26" s="169">
        <v>51694</v>
      </c>
      <c r="F26" s="171">
        <f t="shared" si="0"/>
        <v>2849.6666666666665</v>
      </c>
    </row>
    <row r="27" spans="1:6">
      <c r="A27" s="164">
        <v>45607</v>
      </c>
      <c r="B27" s="92">
        <v>3194</v>
      </c>
      <c r="C27" s="92">
        <v>400</v>
      </c>
      <c r="D27" s="8">
        <v>2794</v>
      </c>
      <c r="E27" s="92">
        <v>51792</v>
      </c>
      <c r="F27" s="166">
        <f t="shared" si="0"/>
        <v>2850.3333333333335</v>
      </c>
    </row>
    <row r="28" spans="1:6">
      <c r="A28" s="164">
        <v>45614</v>
      </c>
      <c r="B28" s="92">
        <v>2530</v>
      </c>
      <c r="C28" s="92">
        <v>595</v>
      </c>
      <c r="D28" s="8">
        <v>1935</v>
      </c>
      <c r="E28" s="92">
        <v>40181</v>
      </c>
      <c r="F28" s="166">
        <f t="shared" si="0"/>
        <v>2768.3333333333335</v>
      </c>
    </row>
    <row r="29" spans="1:6">
      <c r="A29" s="164">
        <v>45621</v>
      </c>
      <c r="B29" s="92">
        <v>2930</v>
      </c>
      <c r="C29" s="92">
        <v>643</v>
      </c>
      <c r="D29" s="8">
        <v>2287</v>
      </c>
      <c r="E29" s="92">
        <v>35823</v>
      </c>
      <c r="F29" s="166">
        <f t="shared" si="0"/>
        <v>2338.6666666666665</v>
      </c>
    </row>
    <row r="30" spans="1:6">
      <c r="A30" s="164">
        <v>45628</v>
      </c>
      <c r="B30" s="92">
        <v>2912</v>
      </c>
      <c r="C30" s="92">
        <v>529</v>
      </c>
      <c r="D30" s="8">
        <v>2383</v>
      </c>
      <c r="E30" s="92">
        <v>45124</v>
      </c>
      <c r="F30" s="166">
        <f t="shared" si="0"/>
        <v>2201.6666666666665</v>
      </c>
    </row>
    <row r="31" spans="1:6">
      <c r="A31" s="164">
        <v>45635</v>
      </c>
      <c r="B31" s="92">
        <v>2104</v>
      </c>
      <c r="C31" s="92">
        <v>706</v>
      </c>
      <c r="D31" s="8">
        <v>1398</v>
      </c>
      <c r="E31" s="92">
        <v>59678</v>
      </c>
      <c r="F31" s="166">
        <f t="shared" si="0"/>
        <v>2022.6666666666667</v>
      </c>
    </row>
    <row r="32" spans="1:6">
      <c r="A32" s="164">
        <v>45642</v>
      </c>
      <c r="B32" s="92">
        <v>3164</v>
      </c>
      <c r="C32" s="92">
        <v>471</v>
      </c>
      <c r="D32" s="8">
        <v>2693</v>
      </c>
      <c r="E32" s="92">
        <v>51493</v>
      </c>
      <c r="F32" s="166">
        <f t="shared" si="0"/>
        <v>2158</v>
      </c>
    </row>
    <row r="33" spans="1:6">
      <c r="A33" s="164">
        <v>45649</v>
      </c>
      <c r="B33" s="92">
        <v>2956</v>
      </c>
      <c r="C33" s="92">
        <v>406</v>
      </c>
      <c r="D33" s="8">
        <v>2550</v>
      </c>
      <c r="E33" s="92">
        <v>42747</v>
      </c>
      <c r="F33" s="166">
        <f t="shared" si="0"/>
        <v>2213.6666666666665</v>
      </c>
    </row>
    <row r="34" spans="1:6">
      <c r="A34" s="164">
        <v>45656</v>
      </c>
      <c r="B34" s="92">
        <v>2755</v>
      </c>
      <c r="C34" s="92">
        <v>418</v>
      </c>
      <c r="D34" s="8">
        <v>2337</v>
      </c>
      <c r="E34" s="92">
        <v>44785</v>
      </c>
      <c r="F34" s="166">
        <f t="shared" si="0"/>
        <v>2526.6666666666665</v>
      </c>
    </row>
    <row r="35" spans="1:6">
      <c r="A35" s="164">
        <v>45663</v>
      </c>
      <c r="B35" s="92">
        <v>2906</v>
      </c>
      <c r="C35" s="92">
        <v>455</v>
      </c>
      <c r="D35" s="8">
        <v>2451</v>
      </c>
      <c r="E35" s="92">
        <v>34533</v>
      </c>
      <c r="F35" s="166">
        <f t="shared" si="0"/>
        <v>2446</v>
      </c>
    </row>
    <row r="36" spans="1:6">
      <c r="A36" s="164">
        <v>45670</v>
      </c>
      <c r="B36" s="92">
        <v>2631</v>
      </c>
      <c r="C36" s="92">
        <v>290</v>
      </c>
      <c r="D36" s="8">
        <v>2341</v>
      </c>
      <c r="E36" s="92">
        <v>27644</v>
      </c>
      <c r="F36" s="166">
        <f t="shared" si="0"/>
        <v>2376.3333333333335</v>
      </c>
    </row>
    <row r="37" spans="1:6">
      <c r="A37" s="164">
        <v>45677</v>
      </c>
      <c r="B37" s="92">
        <v>2547</v>
      </c>
      <c r="C37" s="92">
        <v>715</v>
      </c>
      <c r="D37" s="8">
        <v>1832</v>
      </c>
      <c r="E37" s="92">
        <v>42348</v>
      </c>
      <c r="F37" s="166">
        <f t="shared" si="0"/>
        <v>2208</v>
      </c>
    </row>
    <row r="38" spans="1:6">
      <c r="A38" s="164">
        <v>45684</v>
      </c>
      <c r="B38" s="92">
        <v>2534</v>
      </c>
      <c r="C38" s="92">
        <v>606</v>
      </c>
      <c r="D38" s="8">
        <v>1928</v>
      </c>
      <c r="E38" s="92">
        <v>37127</v>
      </c>
      <c r="F38" s="166">
        <f t="shared" si="0"/>
        <v>2033.6666666666667</v>
      </c>
    </row>
    <row r="39" spans="1:6">
      <c r="A39" s="164">
        <v>45691</v>
      </c>
      <c r="B39" s="92">
        <v>2010</v>
      </c>
      <c r="C39" s="92">
        <v>330</v>
      </c>
      <c r="D39" s="8">
        <v>1680</v>
      </c>
      <c r="E39" s="92">
        <v>56414</v>
      </c>
      <c r="F39" s="166">
        <f t="shared" si="0"/>
        <v>1813.3333333333333</v>
      </c>
    </row>
    <row r="40" spans="1:6">
      <c r="A40" s="164">
        <v>45698</v>
      </c>
      <c r="B40" s="92">
        <v>2872</v>
      </c>
      <c r="C40" s="92">
        <v>511</v>
      </c>
      <c r="D40" s="8">
        <v>2361</v>
      </c>
      <c r="E40" s="92">
        <v>37927</v>
      </c>
      <c r="F40" s="166">
        <f t="shared" si="0"/>
        <v>1989.6666666666667</v>
      </c>
    </row>
    <row r="41" spans="1:6">
      <c r="A41" s="164">
        <v>45705</v>
      </c>
      <c r="B41" s="92">
        <v>2146</v>
      </c>
      <c r="C41" s="92">
        <v>603</v>
      </c>
      <c r="D41" s="8">
        <v>1543</v>
      </c>
      <c r="E41" s="92">
        <v>43741</v>
      </c>
      <c r="F41" s="166">
        <f t="shared" si="0"/>
        <v>1861.3333333333333</v>
      </c>
    </row>
    <row r="42" spans="1:6">
      <c r="A42" s="164">
        <v>45712</v>
      </c>
      <c r="B42" s="92">
        <v>2509</v>
      </c>
      <c r="C42" s="92">
        <v>796</v>
      </c>
      <c r="D42" s="8">
        <v>1713</v>
      </c>
      <c r="E42" s="92">
        <v>57395</v>
      </c>
      <c r="F42" s="166">
        <f t="shared" si="0"/>
        <v>1872.3333333333333</v>
      </c>
    </row>
    <row r="43" spans="1:6">
      <c r="A43" s="164">
        <v>45719</v>
      </c>
      <c r="B43" s="92">
        <v>3343</v>
      </c>
      <c r="C43" s="92">
        <v>580</v>
      </c>
      <c r="D43" s="8">
        <v>2763</v>
      </c>
      <c r="E43" s="92">
        <v>54434</v>
      </c>
      <c r="F43" s="166">
        <f t="shared" si="0"/>
        <v>2006.3333333333333</v>
      </c>
    </row>
    <row r="44" spans="1:6">
      <c r="A44" s="164">
        <v>45726</v>
      </c>
      <c r="B44" s="92">
        <v>2740</v>
      </c>
      <c r="C44" s="92">
        <v>425</v>
      </c>
      <c r="D44" s="8">
        <v>2315</v>
      </c>
      <c r="E44" s="92">
        <v>59353</v>
      </c>
      <c r="F44" s="166">
        <f t="shared" si="0"/>
        <v>2263.6666666666665</v>
      </c>
    </row>
    <row r="45" spans="1:6">
      <c r="A45" s="164">
        <v>45733</v>
      </c>
      <c r="B45" s="92">
        <v>2543</v>
      </c>
      <c r="C45" s="92">
        <v>355</v>
      </c>
      <c r="D45" s="8">
        <v>2188</v>
      </c>
      <c r="E45" s="92">
        <v>36312</v>
      </c>
      <c r="F45" s="166">
        <f t="shared" si="0"/>
        <v>2422</v>
      </c>
    </row>
    <row r="46" spans="1:6">
      <c r="A46" s="164">
        <v>45740</v>
      </c>
      <c r="B46" s="92">
        <v>3191</v>
      </c>
      <c r="C46" s="92">
        <v>512</v>
      </c>
      <c r="D46" s="8">
        <v>2679</v>
      </c>
      <c r="E46" s="92">
        <v>44995</v>
      </c>
      <c r="F46" s="166">
        <f t="shared" si="0"/>
        <v>2394</v>
      </c>
    </row>
    <row r="47" spans="1:6">
      <c r="A47" s="164">
        <v>45747</v>
      </c>
      <c r="B47" s="92">
        <v>3248</v>
      </c>
      <c r="C47" s="92">
        <v>467</v>
      </c>
      <c r="D47" s="8">
        <v>2781</v>
      </c>
      <c r="E47" s="92">
        <v>51236</v>
      </c>
      <c r="F47" s="166">
        <f t="shared" si="0"/>
        <v>2549.3333333333335</v>
      </c>
    </row>
    <row r="48" spans="1:6">
      <c r="A48" s="164">
        <v>45754</v>
      </c>
      <c r="B48" s="92">
        <v>3710</v>
      </c>
      <c r="C48" s="92">
        <v>419</v>
      </c>
      <c r="D48" s="8">
        <v>3291</v>
      </c>
      <c r="E48" s="92">
        <v>54066</v>
      </c>
      <c r="F48" s="166">
        <f t="shared" si="0"/>
        <v>2917</v>
      </c>
    </row>
    <row r="49" spans="1:6">
      <c r="A49" s="164">
        <v>45761</v>
      </c>
      <c r="B49" s="92">
        <v>3716</v>
      </c>
      <c r="C49" s="92">
        <v>500</v>
      </c>
      <c r="D49" s="8">
        <v>3216</v>
      </c>
      <c r="E49" s="92">
        <v>78882</v>
      </c>
      <c r="F49" s="166">
        <f t="shared" si="0"/>
        <v>3096</v>
      </c>
    </row>
    <row r="50" spans="1:6">
      <c r="A50" s="164">
        <v>45768</v>
      </c>
      <c r="B50" s="92">
        <v>2445</v>
      </c>
      <c r="C50" s="92">
        <v>717</v>
      </c>
      <c r="D50" s="8">
        <v>1728</v>
      </c>
      <c r="E50" s="92">
        <v>60429</v>
      </c>
      <c r="F50" s="166">
        <f t="shared" si="0"/>
        <v>2745</v>
      </c>
    </row>
    <row r="51" spans="1:6">
      <c r="A51" s="164">
        <v>45775</v>
      </c>
      <c r="B51" s="92">
        <v>2715</v>
      </c>
      <c r="C51" s="92">
        <v>337</v>
      </c>
      <c r="D51" s="8">
        <v>2378</v>
      </c>
      <c r="E51" s="92">
        <v>49246</v>
      </c>
      <c r="F51" s="166">
        <f t="shared" si="0"/>
        <v>2440.6666666666665</v>
      </c>
    </row>
    <row r="52" spans="1:6">
      <c r="A52" s="164">
        <v>45782</v>
      </c>
      <c r="B52" s="92">
        <v>2651</v>
      </c>
      <c r="C52" s="92">
        <v>597</v>
      </c>
      <c r="D52" s="8">
        <v>2054</v>
      </c>
      <c r="E52" s="92">
        <v>34913</v>
      </c>
      <c r="F52" s="166">
        <f t="shared" si="0"/>
        <v>2053.3333333333335</v>
      </c>
    </row>
    <row r="53" spans="1:6">
      <c r="A53" s="164">
        <v>45789</v>
      </c>
      <c r="B53" s="92">
        <v>2005</v>
      </c>
      <c r="C53" s="92">
        <v>605</v>
      </c>
      <c r="D53" s="8">
        <v>1400</v>
      </c>
      <c r="E53" s="92">
        <v>57847</v>
      </c>
      <c r="F53" s="166">
        <f t="shared" si="0"/>
        <v>1944</v>
      </c>
    </row>
    <row r="54" spans="1:6">
      <c r="A54" s="164">
        <v>45796</v>
      </c>
      <c r="B54" s="92">
        <v>3861</v>
      </c>
      <c r="C54" s="92">
        <v>292</v>
      </c>
      <c r="D54" s="8">
        <v>3569</v>
      </c>
      <c r="E54" s="92">
        <v>49692</v>
      </c>
      <c r="F54" s="166">
        <f t="shared" si="0"/>
        <v>2341</v>
      </c>
    </row>
    <row r="55" spans="1:6">
      <c r="A55" s="164">
        <v>45803</v>
      </c>
      <c r="B55" s="92">
        <v>3457</v>
      </c>
      <c r="C55" s="92">
        <v>548</v>
      </c>
      <c r="D55" s="8">
        <v>2909</v>
      </c>
      <c r="E55" s="92">
        <v>48399</v>
      </c>
      <c r="F55" s="166">
        <f t="shared" si="0"/>
        <v>2626</v>
      </c>
    </row>
    <row r="56" spans="1:6">
      <c r="A56" s="164">
        <v>45810</v>
      </c>
      <c r="B56" s="92">
        <v>2674</v>
      </c>
      <c r="C56" s="92">
        <v>625</v>
      </c>
      <c r="D56" s="8">
        <v>2049</v>
      </c>
      <c r="E56" s="92">
        <v>39516</v>
      </c>
      <c r="F56" s="166">
        <f t="shared" si="0"/>
        <v>2842.3333333333335</v>
      </c>
    </row>
    <row r="57" spans="1:6">
      <c r="A57" s="164">
        <v>45817</v>
      </c>
      <c r="B57" s="92">
        <v>2910</v>
      </c>
      <c r="C57" s="92">
        <v>667</v>
      </c>
      <c r="D57" s="8">
        <v>2243</v>
      </c>
      <c r="E57" s="92">
        <v>40484</v>
      </c>
      <c r="F57" s="166">
        <f t="shared" si="0"/>
        <v>2400.3333333333335</v>
      </c>
    </row>
    <row r="58" spans="1:6">
      <c r="A58" s="164">
        <v>45824</v>
      </c>
      <c r="B58" s="92">
        <v>2450</v>
      </c>
      <c r="C58" s="92">
        <v>433</v>
      </c>
      <c r="D58" s="8">
        <v>2017</v>
      </c>
      <c r="E58" s="92">
        <v>38906</v>
      </c>
      <c r="F58" s="166">
        <f t="shared" si="0"/>
        <v>2103</v>
      </c>
    </row>
    <row r="59" spans="1:6">
      <c r="A59" s="164">
        <v>45831</v>
      </c>
      <c r="B59" s="92">
        <v>1993</v>
      </c>
      <c r="C59" s="92">
        <v>609</v>
      </c>
      <c r="D59" s="8">
        <v>1384</v>
      </c>
      <c r="E59" s="92">
        <v>63317</v>
      </c>
      <c r="F59" s="166">
        <f t="shared" si="0"/>
        <v>1881.3333333333333</v>
      </c>
    </row>
    <row r="60" spans="1:6">
      <c r="A60" s="164">
        <v>45838</v>
      </c>
      <c r="B60" s="92">
        <v>2635</v>
      </c>
      <c r="C60" s="92">
        <v>320</v>
      </c>
      <c r="D60" s="8">
        <v>2315</v>
      </c>
      <c r="E60" s="92">
        <v>57969</v>
      </c>
      <c r="F60" s="166">
        <f t="shared" si="0"/>
        <v>1905.3333333333333</v>
      </c>
    </row>
    <row r="61" spans="1:6">
      <c r="A61" s="164">
        <v>45845</v>
      </c>
      <c r="B61" s="92">
        <v>3180</v>
      </c>
      <c r="C61" s="92">
        <v>511</v>
      </c>
      <c r="D61" s="8">
        <v>2669</v>
      </c>
      <c r="E61" s="92">
        <v>32182</v>
      </c>
      <c r="F61" s="166">
        <f t="shared" si="0"/>
        <v>2122.6666666666665</v>
      </c>
    </row>
    <row r="62" spans="1:6">
      <c r="A62" s="164">
        <v>45852</v>
      </c>
      <c r="B62" s="92">
        <v>3238</v>
      </c>
      <c r="C62" s="92">
        <v>584</v>
      </c>
      <c r="D62" s="8">
        <v>2654</v>
      </c>
      <c r="E62" s="92">
        <v>40815</v>
      </c>
      <c r="F62" s="166">
        <f t="shared" si="0"/>
        <v>2546</v>
      </c>
    </row>
    <row r="63" spans="1:6">
      <c r="A63" s="164">
        <v>45859</v>
      </c>
      <c r="B63" s="92">
        <v>3197</v>
      </c>
      <c r="C63" s="92">
        <v>503</v>
      </c>
      <c r="D63" s="8">
        <v>2694</v>
      </c>
      <c r="E63" s="92">
        <v>52043</v>
      </c>
      <c r="F63" s="166">
        <f t="shared" si="0"/>
        <v>2672.3333333333335</v>
      </c>
    </row>
    <row r="64" spans="1:6">
      <c r="A64" s="164">
        <v>45866</v>
      </c>
      <c r="B64" s="92">
        <v>3695</v>
      </c>
      <c r="C64" s="92">
        <v>459</v>
      </c>
      <c r="D64" s="8">
        <v>3236</v>
      </c>
      <c r="E64" s="92">
        <v>59271</v>
      </c>
      <c r="F64" s="166">
        <f t="shared" si="0"/>
        <v>2861.3333333333335</v>
      </c>
    </row>
    <row r="65" spans="1:6">
      <c r="A65" s="164">
        <v>45873</v>
      </c>
      <c r="B65" s="92">
        <v>2205</v>
      </c>
      <c r="C65" s="92">
        <v>516</v>
      </c>
      <c r="D65" s="8">
        <v>1689</v>
      </c>
      <c r="E65" s="92">
        <v>48774</v>
      </c>
      <c r="F65" s="166">
        <f t="shared" si="0"/>
        <v>2539.6666666666665</v>
      </c>
    </row>
    <row r="66" spans="1:6">
      <c r="A66" s="164">
        <v>45880</v>
      </c>
      <c r="B66" s="92">
        <v>3025</v>
      </c>
      <c r="C66" s="92">
        <v>678</v>
      </c>
      <c r="D66" s="8">
        <v>2347</v>
      </c>
      <c r="E66" s="92">
        <v>37461</v>
      </c>
      <c r="F66" s="166">
        <f t="shared" si="0"/>
        <v>2424</v>
      </c>
    </row>
    <row r="67" spans="1:6">
      <c r="A67" s="164">
        <v>45887</v>
      </c>
      <c r="B67" s="92">
        <v>2222</v>
      </c>
      <c r="C67" s="92">
        <v>403</v>
      </c>
      <c r="D67" s="8">
        <v>1819</v>
      </c>
      <c r="E67" s="92">
        <v>52726</v>
      </c>
      <c r="F67" s="166">
        <f t="shared" si="0"/>
        <v>1951.6666666666667</v>
      </c>
    </row>
    <row r="68" spans="1:6">
      <c r="A68" s="164">
        <v>45894</v>
      </c>
      <c r="B68" s="92">
        <v>3387</v>
      </c>
      <c r="C68" s="92">
        <v>741</v>
      </c>
      <c r="D68" s="8">
        <v>2646</v>
      </c>
      <c r="E68" s="92">
        <v>39009</v>
      </c>
      <c r="F68" s="166">
        <f t="shared" si="0"/>
        <v>2270.6666666666665</v>
      </c>
    </row>
    <row r="69" spans="1:6">
      <c r="A69" s="164">
        <v>45901</v>
      </c>
      <c r="B69" s="92">
        <v>2127</v>
      </c>
      <c r="C69" s="92">
        <v>703</v>
      </c>
      <c r="D69" s="8">
        <v>1424</v>
      </c>
      <c r="E69" s="92">
        <v>46102</v>
      </c>
      <c r="F69" s="166">
        <f t="shared" si="0"/>
        <v>1963</v>
      </c>
    </row>
    <row r="70" spans="1:6">
      <c r="A70" s="164">
        <v>45908</v>
      </c>
      <c r="B70" s="92">
        <v>1877</v>
      </c>
      <c r="C70" s="92">
        <v>441</v>
      </c>
      <c r="D70" s="8">
        <v>1436</v>
      </c>
      <c r="E70" s="92">
        <v>19299</v>
      </c>
      <c r="F70" s="166">
        <f t="shared" si="0"/>
        <v>1835.3333333333333</v>
      </c>
    </row>
  </sheetData>
  <mergeCells count="1">
    <mergeCell ref="A1:F1"/>
  </mergeCell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3B714-4582-4BC2-95D5-5E2C0ECD8FB6}">
  <dimension ref="A1:C70"/>
  <sheetViews>
    <sheetView workbookViewId="0">
      <selection activeCell="E19" sqref="E19"/>
    </sheetView>
  </sheetViews>
  <sheetFormatPr defaultRowHeight="14.4"/>
  <cols>
    <col min="1" max="1" width="22.5546875" bestFit="1" customWidth="1"/>
    <col min="2" max="2" width="18" bestFit="1" customWidth="1"/>
    <col min="3" max="3" width="10.33203125" bestFit="1" customWidth="1"/>
  </cols>
  <sheetData>
    <row r="1" spans="1:3">
      <c r="A1" s="209" t="s">
        <v>511</v>
      </c>
      <c r="B1" s="209"/>
      <c r="C1" s="209"/>
    </row>
    <row r="3" spans="1:3">
      <c r="A3" s="167" t="s">
        <v>509</v>
      </c>
      <c r="B3" s="165" t="s">
        <v>510</v>
      </c>
      <c r="C3" s="172" t="s">
        <v>422</v>
      </c>
    </row>
    <row r="4" spans="1:3">
      <c r="A4" s="8">
        <v>3419</v>
      </c>
      <c r="B4" s="166">
        <f>A4</f>
        <v>3419</v>
      </c>
      <c r="C4" s="164">
        <v>45446</v>
      </c>
    </row>
    <row r="5" spans="1:3">
      <c r="A5" s="8">
        <v>2777</v>
      </c>
      <c r="B5" s="166">
        <f>AVERAGE(A4:A5)</f>
        <v>3098</v>
      </c>
      <c r="C5" s="164">
        <v>45453</v>
      </c>
    </row>
    <row r="6" spans="1:3">
      <c r="A6" s="8">
        <v>3175</v>
      </c>
      <c r="B6" s="166">
        <f>AVERAGE(A4:A6)</f>
        <v>3123.6666666666665</v>
      </c>
      <c r="C6" s="164">
        <v>45460</v>
      </c>
    </row>
    <row r="7" spans="1:3">
      <c r="A7" s="8">
        <v>2433</v>
      </c>
      <c r="B7" s="166">
        <f>AVERAGE(A5:A7)</f>
        <v>2795</v>
      </c>
      <c r="C7" s="164">
        <v>45467</v>
      </c>
    </row>
    <row r="8" spans="1:3">
      <c r="A8" s="8">
        <v>2426</v>
      </c>
      <c r="B8" s="166">
        <f t="shared" ref="B8:B70" si="0">AVERAGE(A6:A8)</f>
        <v>2678</v>
      </c>
      <c r="C8" s="164">
        <v>45474</v>
      </c>
    </row>
    <row r="9" spans="1:3">
      <c r="A9" s="8">
        <v>3155</v>
      </c>
      <c r="B9" s="166">
        <f t="shared" si="0"/>
        <v>2671.3333333333335</v>
      </c>
      <c r="C9" s="164">
        <v>45481</v>
      </c>
    </row>
    <row r="10" spans="1:3">
      <c r="A10" s="8">
        <v>2369</v>
      </c>
      <c r="B10" s="166">
        <f t="shared" si="0"/>
        <v>2650</v>
      </c>
      <c r="C10" s="164">
        <v>45488</v>
      </c>
    </row>
    <row r="11" spans="1:3">
      <c r="A11" s="8">
        <v>2281</v>
      </c>
      <c r="B11" s="166">
        <f t="shared" si="0"/>
        <v>2601.6666666666665</v>
      </c>
      <c r="C11" s="164">
        <v>45495</v>
      </c>
    </row>
    <row r="12" spans="1:3">
      <c r="A12" s="8">
        <v>2132</v>
      </c>
      <c r="B12" s="166">
        <f t="shared" si="0"/>
        <v>2260.6666666666665</v>
      </c>
      <c r="C12" s="164">
        <v>45502</v>
      </c>
    </row>
    <row r="13" spans="1:3">
      <c r="A13" s="8">
        <v>2693</v>
      </c>
      <c r="B13" s="166">
        <f t="shared" si="0"/>
        <v>2368.6666666666665</v>
      </c>
      <c r="C13" s="164">
        <v>45509</v>
      </c>
    </row>
    <row r="14" spans="1:3">
      <c r="A14" s="8">
        <v>3072</v>
      </c>
      <c r="B14" s="166">
        <f t="shared" si="0"/>
        <v>2632.3333333333335</v>
      </c>
      <c r="C14" s="164">
        <v>45516</v>
      </c>
    </row>
    <row r="15" spans="1:3">
      <c r="A15" s="8">
        <v>2300</v>
      </c>
      <c r="B15" s="166">
        <f t="shared" si="0"/>
        <v>2688.3333333333335</v>
      </c>
      <c r="C15" s="164">
        <v>45523</v>
      </c>
    </row>
    <row r="16" spans="1:3">
      <c r="A16" s="8">
        <v>2450</v>
      </c>
      <c r="B16" s="166">
        <f t="shared" si="0"/>
        <v>2607.3333333333335</v>
      </c>
      <c r="C16" s="164">
        <v>45530</v>
      </c>
    </row>
    <row r="17" spans="1:3">
      <c r="A17" s="8">
        <v>2502</v>
      </c>
      <c r="B17" s="166">
        <f t="shared" si="0"/>
        <v>2417.3333333333335</v>
      </c>
      <c r="C17" s="164">
        <v>45537</v>
      </c>
    </row>
    <row r="18" spans="1:3">
      <c r="A18" s="8">
        <v>2630</v>
      </c>
      <c r="B18" s="166">
        <f t="shared" si="0"/>
        <v>2527.3333333333335</v>
      </c>
      <c r="C18" s="164">
        <v>45544</v>
      </c>
    </row>
    <row r="19" spans="1:3">
      <c r="A19" s="8">
        <v>2162</v>
      </c>
      <c r="B19" s="166">
        <f t="shared" si="0"/>
        <v>2431.3333333333335</v>
      </c>
      <c r="C19" s="164">
        <v>45551</v>
      </c>
    </row>
    <row r="20" spans="1:3">
      <c r="A20" s="8">
        <v>2785</v>
      </c>
      <c r="B20" s="166">
        <f t="shared" si="0"/>
        <v>2525.6666666666665</v>
      </c>
      <c r="C20" s="164">
        <v>45558</v>
      </c>
    </row>
    <row r="21" spans="1:3">
      <c r="A21" s="8">
        <v>3151</v>
      </c>
      <c r="B21" s="166">
        <f t="shared" si="0"/>
        <v>2699.3333333333335</v>
      </c>
      <c r="C21" s="164">
        <v>45565</v>
      </c>
    </row>
    <row r="22" spans="1:3">
      <c r="A22" s="8">
        <v>2338</v>
      </c>
      <c r="B22" s="166">
        <f t="shared" si="0"/>
        <v>2758</v>
      </c>
      <c r="C22" s="164">
        <v>45572</v>
      </c>
    </row>
    <row r="23" spans="1:3">
      <c r="A23" s="8">
        <v>2670</v>
      </c>
      <c r="B23" s="166">
        <f t="shared" si="0"/>
        <v>2719.6666666666665</v>
      </c>
      <c r="C23" s="164">
        <v>45579</v>
      </c>
    </row>
    <row r="24" spans="1:3">
      <c r="A24" s="8">
        <v>2792</v>
      </c>
      <c r="B24" s="166">
        <f t="shared" si="0"/>
        <v>2600</v>
      </c>
      <c r="C24" s="164">
        <v>45586</v>
      </c>
    </row>
    <row r="25" spans="1:3">
      <c r="A25" s="8">
        <v>2181</v>
      </c>
      <c r="B25" s="166">
        <f t="shared" si="0"/>
        <v>2547.6666666666665</v>
      </c>
      <c r="C25" s="164">
        <v>45593</v>
      </c>
    </row>
    <row r="26" spans="1:3">
      <c r="A26" s="170">
        <v>3576</v>
      </c>
      <c r="B26" s="171">
        <f t="shared" si="0"/>
        <v>2849.6666666666665</v>
      </c>
      <c r="C26" s="168">
        <v>45600</v>
      </c>
    </row>
    <row r="27" spans="1:3">
      <c r="A27" s="8">
        <v>2794</v>
      </c>
      <c r="B27" s="166">
        <f t="shared" si="0"/>
        <v>2850.3333333333335</v>
      </c>
      <c r="C27" s="164">
        <v>45607</v>
      </c>
    </row>
    <row r="28" spans="1:3">
      <c r="A28" s="8">
        <v>1935</v>
      </c>
      <c r="B28" s="166">
        <f t="shared" si="0"/>
        <v>2768.3333333333335</v>
      </c>
      <c r="C28" s="164">
        <v>45614</v>
      </c>
    </row>
    <row r="29" spans="1:3">
      <c r="A29" s="8">
        <v>2287</v>
      </c>
      <c r="B29" s="166">
        <f t="shared" si="0"/>
        <v>2338.6666666666665</v>
      </c>
      <c r="C29" s="164">
        <v>45621</v>
      </c>
    </row>
    <row r="30" spans="1:3">
      <c r="A30" s="8">
        <v>2383</v>
      </c>
      <c r="B30" s="166">
        <f t="shared" si="0"/>
        <v>2201.6666666666665</v>
      </c>
      <c r="C30" s="164">
        <v>45628</v>
      </c>
    </row>
    <row r="31" spans="1:3">
      <c r="A31" s="8">
        <v>1398</v>
      </c>
      <c r="B31" s="166">
        <f t="shared" si="0"/>
        <v>2022.6666666666667</v>
      </c>
      <c r="C31" s="164">
        <v>45635</v>
      </c>
    </row>
    <row r="32" spans="1:3">
      <c r="A32" s="8">
        <v>2693</v>
      </c>
      <c r="B32" s="166">
        <f t="shared" si="0"/>
        <v>2158</v>
      </c>
      <c r="C32" s="164">
        <v>45642</v>
      </c>
    </row>
    <row r="33" spans="1:3">
      <c r="A33" s="8">
        <v>2550</v>
      </c>
      <c r="B33" s="166">
        <f t="shared" si="0"/>
        <v>2213.6666666666665</v>
      </c>
      <c r="C33" s="164">
        <v>45649</v>
      </c>
    </row>
    <row r="34" spans="1:3">
      <c r="A34" s="8">
        <v>2337</v>
      </c>
      <c r="B34" s="166">
        <f t="shared" si="0"/>
        <v>2526.6666666666665</v>
      </c>
      <c r="C34" s="164">
        <v>45656</v>
      </c>
    </row>
    <row r="35" spans="1:3">
      <c r="A35" s="8">
        <v>2451</v>
      </c>
      <c r="B35" s="166">
        <f t="shared" si="0"/>
        <v>2446</v>
      </c>
      <c r="C35" s="164">
        <v>45663</v>
      </c>
    </row>
    <row r="36" spans="1:3">
      <c r="A36" s="8">
        <v>2341</v>
      </c>
      <c r="B36" s="166">
        <f t="shared" si="0"/>
        <v>2376.3333333333335</v>
      </c>
      <c r="C36" s="164">
        <v>45670</v>
      </c>
    </row>
    <row r="37" spans="1:3">
      <c r="A37" s="8">
        <v>1832</v>
      </c>
      <c r="B37" s="166">
        <f t="shared" si="0"/>
        <v>2208</v>
      </c>
      <c r="C37" s="164">
        <v>45677</v>
      </c>
    </row>
    <row r="38" spans="1:3">
      <c r="A38" s="8">
        <v>1928</v>
      </c>
      <c r="B38" s="166">
        <f t="shared" si="0"/>
        <v>2033.6666666666667</v>
      </c>
      <c r="C38" s="164">
        <v>45684</v>
      </c>
    </row>
    <row r="39" spans="1:3">
      <c r="A39" s="8">
        <v>1680</v>
      </c>
      <c r="B39" s="166">
        <f t="shared" si="0"/>
        <v>1813.3333333333333</v>
      </c>
      <c r="C39" s="164">
        <v>45691</v>
      </c>
    </row>
    <row r="40" spans="1:3">
      <c r="A40" s="8">
        <v>2361</v>
      </c>
      <c r="B40" s="166">
        <f t="shared" si="0"/>
        <v>1989.6666666666667</v>
      </c>
      <c r="C40" s="164">
        <v>45698</v>
      </c>
    </row>
    <row r="41" spans="1:3">
      <c r="A41" s="8">
        <v>1543</v>
      </c>
      <c r="B41" s="166">
        <f t="shared" si="0"/>
        <v>1861.3333333333333</v>
      </c>
      <c r="C41" s="164">
        <v>45705</v>
      </c>
    </row>
    <row r="42" spans="1:3">
      <c r="A42" s="8">
        <v>1713</v>
      </c>
      <c r="B42" s="166">
        <f t="shared" si="0"/>
        <v>1872.3333333333333</v>
      </c>
      <c r="C42" s="164">
        <v>45712</v>
      </c>
    </row>
    <row r="43" spans="1:3">
      <c r="A43" s="8">
        <v>2763</v>
      </c>
      <c r="B43" s="166">
        <f t="shared" si="0"/>
        <v>2006.3333333333333</v>
      </c>
      <c r="C43" s="164">
        <v>45719</v>
      </c>
    </row>
    <row r="44" spans="1:3">
      <c r="A44" s="8">
        <v>2315</v>
      </c>
      <c r="B44" s="166">
        <f t="shared" si="0"/>
        <v>2263.6666666666665</v>
      </c>
      <c r="C44" s="164">
        <v>45726</v>
      </c>
    </row>
    <row r="45" spans="1:3">
      <c r="A45" s="8">
        <v>2188</v>
      </c>
      <c r="B45" s="166">
        <f t="shared" si="0"/>
        <v>2422</v>
      </c>
      <c r="C45" s="164">
        <v>45733</v>
      </c>
    </row>
    <row r="46" spans="1:3">
      <c r="A46" s="8">
        <v>2679</v>
      </c>
      <c r="B46" s="166">
        <f t="shared" si="0"/>
        <v>2394</v>
      </c>
      <c r="C46" s="164">
        <v>45740</v>
      </c>
    </row>
    <row r="47" spans="1:3">
      <c r="A47" s="8">
        <v>2781</v>
      </c>
      <c r="B47" s="166">
        <f t="shared" si="0"/>
        <v>2549.3333333333335</v>
      </c>
      <c r="C47" s="164">
        <v>45747</v>
      </c>
    </row>
    <row r="48" spans="1:3">
      <c r="A48" s="8">
        <v>3291</v>
      </c>
      <c r="B48" s="166">
        <f t="shared" si="0"/>
        <v>2917</v>
      </c>
      <c r="C48" s="164">
        <v>45754</v>
      </c>
    </row>
    <row r="49" spans="1:3">
      <c r="A49" s="8">
        <v>3216</v>
      </c>
      <c r="B49" s="166">
        <f t="shared" si="0"/>
        <v>3096</v>
      </c>
      <c r="C49" s="164">
        <v>45761</v>
      </c>
    </row>
    <row r="50" spans="1:3">
      <c r="A50" s="8">
        <v>1728</v>
      </c>
      <c r="B50" s="166">
        <f t="shared" si="0"/>
        <v>2745</v>
      </c>
      <c r="C50" s="164">
        <v>45768</v>
      </c>
    </row>
    <row r="51" spans="1:3">
      <c r="A51" s="8">
        <v>2378</v>
      </c>
      <c r="B51" s="166">
        <f t="shared" si="0"/>
        <v>2440.6666666666665</v>
      </c>
      <c r="C51" s="164">
        <v>45775</v>
      </c>
    </row>
    <row r="52" spans="1:3">
      <c r="A52" s="8">
        <v>2054</v>
      </c>
      <c r="B52" s="166">
        <f t="shared" si="0"/>
        <v>2053.3333333333335</v>
      </c>
      <c r="C52" s="164">
        <v>45782</v>
      </c>
    </row>
    <row r="53" spans="1:3">
      <c r="A53" s="8">
        <v>1400</v>
      </c>
      <c r="B53" s="166">
        <f t="shared" si="0"/>
        <v>1944</v>
      </c>
      <c r="C53" s="164">
        <v>45789</v>
      </c>
    </row>
    <row r="54" spans="1:3">
      <c r="A54" s="8">
        <v>3569</v>
      </c>
      <c r="B54" s="166">
        <f t="shared" si="0"/>
        <v>2341</v>
      </c>
      <c r="C54" s="164">
        <v>45796</v>
      </c>
    </row>
    <row r="55" spans="1:3">
      <c r="A55" s="8">
        <v>2909</v>
      </c>
      <c r="B55" s="166">
        <f t="shared" si="0"/>
        <v>2626</v>
      </c>
      <c r="C55" s="164">
        <v>45803</v>
      </c>
    </row>
    <row r="56" spans="1:3">
      <c r="A56" s="8">
        <v>2049</v>
      </c>
      <c r="B56" s="166">
        <f t="shared" si="0"/>
        <v>2842.3333333333335</v>
      </c>
      <c r="C56" s="164">
        <v>45810</v>
      </c>
    </row>
    <row r="57" spans="1:3">
      <c r="A57" s="8">
        <v>2243</v>
      </c>
      <c r="B57" s="166">
        <f t="shared" si="0"/>
        <v>2400.3333333333335</v>
      </c>
      <c r="C57" s="164">
        <v>45817</v>
      </c>
    </row>
    <row r="58" spans="1:3">
      <c r="A58" s="8">
        <v>2017</v>
      </c>
      <c r="B58" s="166">
        <f t="shared" si="0"/>
        <v>2103</v>
      </c>
      <c r="C58" s="164">
        <v>45824</v>
      </c>
    </row>
    <row r="59" spans="1:3">
      <c r="A59" s="8">
        <v>1384</v>
      </c>
      <c r="B59" s="166">
        <f t="shared" si="0"/>
        <v>1881.3333333333333</v>
      </c>
      <c r="C59" s="164">
        <v>45831</v>
      </c>
    </row>
    <row r="60" spans="1:3">
      <c r="A60" s="8">
        <v>2315</v>
      </c>
      <c r="B60" s="166">
        <f t="shared" si="0"/>
        <v>1905.3333333333333</v>
      </c>
      <c r="C60" s="164">
        <v>45838</v>
      </c>
    </row>
    <row r="61" spans="1:3">
      <c r="A61" s="8">
        <v>2669</v>
      </c>
      <c r="B61" s="166">
        <f t="shared" si="0"/>
        <v>2122.6666666666665</v>
      </c>
      <c r="C61" s="164">
        <v>45845</v>
      </c>
    </row>
    <row r="62" spans="1:3">
      <c r="A62" s="8">
        <v>2654</v>
      </c>
      <c r="B62" s="166">
        <f t="shared" si="0"/>
        <v>2546</v>
      </c>
      <c r="C62" s="164">
        <v>45852</v>
      </c>
    </row>
    <row r="63" spans="1:3">
      <c r="A63" s="8">
        <v>2694</v>
      </c>
      <c r="B63" s="166">
        <f t="shared" si="0"/>
        <v>2672.3333333333335</v>
      </c>
      <c r="C63" s="164">
        <v>45859</v>
      </c>
    </row>
    <row r="64" spans="1:3">
      <c r="A64" s="8">
        <v>3236</v>
      </c>
      <c r="B64" s="166">
        <f t="shared" si="0"/>
        <v>2861.3333333333335</v>
      </c>
      <c r="C64" s="164">
        <v>45866</v>
      </c>
    </row>
    <row r="65" spans="1:3">
      <c r="A65" s="8">
        <v>1689</v>
      </c>
      <c r="B65" s="166">
        <f t="shared" si="0"/>
        <v>2539.6666666666665</v>
      </c>
      <c r="C65" s="164">
        <v>45873</v>
      </c>
    </row>
    <row r="66" spans="1:3">
      <c r="A66" s="8">
        <v>2347</v>
      </c>
      <c r="B66" s="166">
        <f t="shared" si="0"/>
        <v>2424</v>
      </c>
      <c r="C66" s="164">
        <v>45880</v>
      </c>
    </row>
    <row r="67" spans="1:3">
      <c r="A67" s="8">
        <v>1819</v>
      </c>
      <c r="B67" s="166">
        <f t="shared" si="0"/>
        <v>1951.6666666666667</v>
      </c>
      <c r="C67" s="164">
        <v>45887</v>
      </c>
    </row>
    <row r="68" spans="1:3">
      <c r="A68" s="8">
        <v>2646</v>
      </c>
      <c r="B68" s="166">
        <f t="shared" si="0"/>
        <v>2270.6666666666665</v>
      </c>
      <c r="C68" s="164">
        <v>45894</v>
      </c>
    </row>
    <row r="69" spans="1:3">
      <c r="A69" s="8">
        <v>1424</v>
      </c>
      <c r="B69" s="166">
        <f t="shared" si="0"/>
        <v>1963</v>
      </c>
      <c r="C69" s="164">
        <v>45901</v>
      </c>
    </row>
    <row r="70" spans="1:3">
      <c r="A70" s="8">
        <v>1436</v>
      </c>
      <c r="B70" s="166">
        <f t="shared" si="0"/>
        <v>1835.3333333333333</v>
      </c>
      <c r="C70" s="164">
        <v>45908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8120-174D-45B9-A3BD-5CD641E813BF}">
  <dimension ref="A1:E71"/>
  <sheetViews>
    <sheetView topLeftCell="A46" workbookViewId="0">
      <selection activeCell="C26" sqref="C26"/>
    </sheetView>
  </sheetViews>
  <sheetFormatPr defaultRowHeight="14.4"/>
  <cols>
    <col min="1" max="1" width="29.33203125" bestFit="1" customWidth="1"/>
    <col min="2" max="2" width="20.33203125" bestFit="1" customWidth="1"/>
    <col min="3" max="3" width="16" bestFit="1" customWidth="1"/>
    <col min="4" max="4" width="22.5546875" bestFit="1" customWidth="1"/>
    <col min="5" max="5" width="16.21875" bestFit="1" customWidth="1"/>
  </cols>
  <sheetData>
    <row r="1" spans="1:5">
      <c r="A1" s="40" t="s">
        <v>514</v>
      </c>
      <c r="B1" s="40" t="s">
        <v>506</v>
      </c>
      <c r="C1" s="40" t="s">
        <v>507</v>
      </c>
      <c r="D1" s="40" t="s">
        <v>509</v>
      </c>
      <c r="E1" s="40" t="s">
        <v>508</v>
      </c>
    </row>
    <row r="2" spans="1:5">
      <c r="A2" s="164">
        <v>45446</v>
      </c>
      <c r="B2" s="92">
        <v>3869</v>
      </c>
      <c r="C2" s="92">
        <v>450</v>
      </c>
      <c r="D2" s="8">
        <v>3419</v>
      </c>
      <c r="E2" s="92">
        <v>53723</v>
      </c>
    </row>
    <row r="3" spans="1:5">
      <c r="A3" s="164">
        <v>45453</v>
      </c>
      <c r="B3" s="92">
        <v>3024</v>
      </c>
      <c r="C3" s="92">
        <v>247</v>
      </c>
      <c r="D3" s="8">
        <v>2777</v>
      </c>
      <c r="E3" s="92">
        <v>60293</v>
      </c>
    </row>
    <row r="4" spans="1:5">
      <c r="A4" s="164">
        <v>45460</v>
      </c>
      <c r="B4" s="92">
        <v>3767</v>
      </c>
      <c r="C4" s="92">
        <v>592</v>
      </c>
      <c r="D4" s="8">
        <v>3175</v>
      </c>
      <c r="E4" s="92">
        <v>51908</v>
      </c>
    </row>
    <row r="5" spans="1:5">
      <c r="A5" s="164">
        <v>45467</v>
      </c>
      <c r="B5" s="92">
        <v>3024</v>
      </c>
      <c r="C5" s="92">
        <v>591</v>
      </c>
      <c r="D5" s="8">
        <v>2433</v>
      </c>
      <c r="E5" s="92">
        <v>57474</v>
      </c>
    </row>
    <row r="6" spans="1:5">
      <c r="A6" s="164">
        <v>45474</v>
      </c>
      <c r="B6" s="92">
        <v>2849</v>
      </c>
      <c r="C6" s="92">
        <v>423</v>
      </c>
      <c r="D6" s="8">
        <v>2426</v>
      </c>
      <c r="E6" s="92">
        <v>52712</v>
      </c>
    </row>
    <row r="7" spans="1:5">
      <c r="A7" s="164">
        <v>45481</v>
      </c>
      <c r="B7" s="92">
        <v>3521</v>
      </c>
      <c r="C7" s="92">
        <v>366</v>
      </c>
      <c r="D7" s="8">
        <v>3155</v>
      </c>
      <c r="E7" s="92">
        <v>42020</v>
      </c>
    </row>
    <row r="8" spans="1:5">
      <c r="A8" s="164">
        <v>45488</v>
      </c>
      <c r="B8" s="92">
        <v>2905</v>
      </c>
      <c r="C8" s="92">
        <v>536</v>
      </c>
      <c r="D8" s="8">
        <v>2369</v>
      </c>
      <c r="E8" s="92">
        <v>48627</v>
      </c>
    </row>
    <row r="9" spans="1:5">
      <c r="A9" s="164">
        <v>45495</v>
      </c>
      <c r="B9" s="92">
        <v>2654</v>
      </c>
      <c r="C9" s="92">
        <v>373</v>
      </c>
      <c r="D9" s="8">
        <v>2281</v>
      </c>
      <c r="E9" s="92">
        <v>48009</v>
      </c>
    </row>
    <row r="10" spans="1:5">
      <c r="A10" s="164">
        <v>45502</v>
      </c>
      <c r="B10" s="92">
        <v>2567</v>
      </c>
      <c r="C10" s="92">
        <v>435</v>
      </c>
      <c r="D10" s="8">
        <v>2132</v>
      </c>
      <c r="E10" s="92">
        <v>34912</v>
      </c>
    </row>
    <row r="11" spans="1:5">
      <c r="A11" s="164">
        <v>45509</v>
      </c>
      <c r="B11" s="92">
        <v>3138</v>
      </c>
      <c r="C11" s="92">
        <v>445</v>
      </c>
      <c r="D11" s="8">
        <v>2693</v>
      </c>
      <c r="E11" s="92">
        <v>45349</v>
      </c>
    </row>
    <row r="12" spans="1:5">
      <c r="A12" s="164">
        <v>45516</v>
      </c>
      <c r="B12" s="92">
        <v>3625</v>
      </c>
      <c r="C12" s="92">
        <v>553</v>
      </c>
      <c r="D12" s="8">
        <v>3072</v>
      </c>
      <c r="E12" s="92">
        <v>24209</v>
      </c>
    </row>
    <row r="13" spans="1:5">
      <c r="A13" s="164">
        <v>45523</v>
      </c>
      <c r="B13" s="92">
        <v>2813</v>
      </c>
      <c r="C13" s="92">
        <v>513</v>
      </c>
      <c r="D13" s="8">
        <v>2300</v>
      </c>
      <c r="E13" s="92">
        <v>52127</v>
      </c>
    </row>
    <row r="14" spans="1:5">
      <c r="A14" s="164">
        <v>45530</v>
      </c>
      <c r="B14" s="92">
        <v>3147</v>
      </c>
      <c r="C14" s="92">
        <v>697</v>
      </c>
      <c r="D14" s="8">
        <v>2450</v>
      </c>
      <c r="E14" s="92">
        <v>66319</v>
      </c>
    </row>
    <row r="15" spans="1:5">
      <c r="A15" s="164">
        <v>45537</v>
      </c>
      <c r="B15" s="92">
        <v>2915</v>
      </c>
      <c r="C15" s="92">
        <v>413</v>
      </c>
      <c r="D15" s="8">
        <v>2502</v>
      </c>
      <c r="E15" s="92">
        <v>55150</v>
      </c>
    </row>
    <row r="16" spans="1:5">
      <c r="A16" s="164">
        <v>45544</v>
      </c>
      <c r="B16" s="92">
        <v>3196</v>
      </c>
      <c r="C16" s="92">
        <v>566</v>
      </c>
      <c r="D16" s="8">
        <v>2630</v>
      </c>
      <c r="E16" s="92">
        <v>44141</v>
      </c>
    </row>
    <row r="17" spans="1:5">
      <c r="A17" s="164">
        <v>45551</v>
      </c>
      <c r="B17" s="92">
        <v>2739</v>
      </c>
      <c r="C17" s="92">
        <v>577</v>
      </c>
      <c r="D17" s="8">
        <v>2162</v>
      </c>
      <c r="E17" s="92">
        <v>51007</v>
      </c>
    </row>
    <row r="18" spans="1:5">
      <c r="A18" s="164">
        <v>45558</v>
      </c>
      <c r="B18" s="92">
        <v>3496</v>
      </c>
      <c r="C18" s="92">
        <v>711</v>
      </c>
      <c r="D18" s="8">
        <v>2785</v>
      </c>
      <c r="E18" s="92">
        <v>61088</v>
      </c>
    </row>
    <row r="19" spans="1:5">
      <c r="A19" s="164">
        <v>45565</v>
      </c>
      <c r="B19" s="92">
        <v>3835</v>
      </c>
      <c r="C19" s="92">
        <v>684</v>
      </c>
      <c r="D19" s="8">
        <v>3151</v>
      </c>
      <c r="E19" s="92">
        <v>47808</v>
      </c>
    </row>
    <row r="20" spans="1:5">
      <c r="A20" s="164">
        <v>45572</v>
      </c>
      <c r="B20" s="92">
        <v>2770</v>
      </c>
      <c r="C20" s="92">
        <v>432</v>
      </c>
      <c r="D20" s="8">
        <v>2338</v>
      </c>
      <c r="E20" s="92">
        <v>40791</v>
      </c>
    </row>
    <row r="21" spans="1:5">
      <c r="A21" s="164">
        <v>45579</v>
      </c>
      <c r="B21" s="92">
        <v>3206</v>
      </c>
      <c r="C21" s="92">
        <v>536</v>
      </c>
      <c r="D21" s="8">
        <v>2670</v>
      </c>
      <c r="E21" s="92">
        <v>42137</v>
      </c>
    </row>
    <row r="22" spans="1:5">
      <c r="A22" s="164">
        <v>45586</v>
      </c>
      <c r="B22" s="92">
        <v>3313</v>
      </c>
      <c r="C22" s="92">
        <v>521</v>
      </c>
      <c r="D22" s="8">
        <v>2792</v>
      </c>
      <c r="E22" s="92">
        <v>52390</v>
      </c>
    </row>
    <row r="23" spans="1:5">
      <c r="A23" s="164">
        <v>45593</v>
      </c>
      <c r="B23" s="92">
        <v>2940</v>
      </c>
      <c r="C23" s="92">
        <v>759</v>
      </c>
      <c r="D23" s="8">
        <v>2181</v>
      </c>
      <c r="E23" s="92">
        <v>75610</v>
      </c>
    </row>
    <row r="24" spans="1:5">
      <c r="A24" s="176">
        <v>45600</v>
      </c>
      <c r="B24" s="177">
        <v>4108</v>
      </c>
      <c r="C24" s="177">
        <v>532</v>
      </c>
      <c r="D24" s="178">
        <v>3576</v>
      </c>
      <c r="E24" s="177">
        <v>51694</v>
      </c>
    </row>
    <row r="25" spans="1:5">
      <c r="A25" s="164">
        <v>45607</v>
      </c>
      <c r="B25" s="92">
        <v>3194</v>
      </c>
      <c r="C25" s="92">
        <v>400</v>
      </c>
      <c r="D25" s="8">
        <v>2794</v>
      </c>
      <c r="E25" s="92">
        <v>51792</v>
      </c>
    </row>
    <row r="26" spans="1:5">
      <c r="A26" s="164">
        <v>45614</v>
      </c>
      <c r="B26" s="92">
        <v>2530</v>
      </c>
      <c r="C26" s="92">
        <v>595</v>
      </c>
      <c r="D26" s="8">
        <v>1935</v>
      </c>
      <c r="E26" s="92">
        <v>40181</v>
      </c>
    </row>
    <row r="27" spans="1:5">
      <c r="A27" s="164">
        <v>45621</v>
      </c>
      <c r="B27" s="92">
        <v>2930</v>
      </c>
      <c r="C27" s="92">
        <v>643</v>
      </c>
      <c r="D27" s="8">
        <v>2287</v>
      </c>
      <c r="E27" s="92">
        <v>35823</v>
      </c>
    </row>
    <row r="28" spans="1:5">
      <c r="A28" s="164">
        <v>45628</v>
      </c>
      <c r="B28" s="92">
        <v>2912</v>
      </c>
      <c r="C28" s="92">
        <v>529</v>
      </c>
      <c r="D28" s="8">
        <v>2383</v>
      </c>
      <c r="E28" s="92">
        <v>45124</v>
      </c>
    </row>
    <row r="29" spans="1:5">
      <c r="A29" s="164">
        <v>45635</v>
      </c>
      <c r="B29" s="92">
        <v>2104</v>
      </c>
      <c r="C29" s="92">
        <v>706</v>
      </c>
      <c r="D29" s="8">
        <v>1398</v>
      </c>
      <c r="E29" s="92">
        <v>59678</v>
      </c>
    </row>
    <row r="30" spans="1:5">
      <c r="A30" s="164">
        <v>45642</v>
      </c>
      <c r="B30" s="92">
        <v>3164</v>
      </c>
      <c r="C30" s="92">
        <v>471</v>
      </c>
      <c r="D30" s="8">
        <v>2693</v>
      </c>
      <c r="E30" s="92">
        <v>51493</v>
      </c>
    </row>
    <row r="31" spans="1:5">
      <c r="A31" s="164">
        <v>45649</v>
      </c>
      <c r="B31" s="92">
        <v>2956</v>
      </c>
      <c r="C31" s="92">
        <v>406</v>
      </c>
      <c r="D31" s="8">
        <v>2550</v>
      </c>
      <c r="E31" s="92">
        <v>42747</v>
      </c>
    </row>
    <row r="32" spans="1:5">
      <c r="A32" s="164">
        <v>45656</v>
      </c>
      <c r="B32" s="92">
        <v>2755</v>
      </c>
      <c r="C32" s="92">
        <v>418</v>
      </c>
      <c r="D32" s="8">
        <v>2337</v>
      </c>
      <c r="E32" s="92">
        <v>44785</v>
      </c>
    </row>
    <row r="33" spans="1:5">
      <c r="A33" s="164">
        <v>45663</v>
      </c>
      <c r="B33" s="92">
        <v>2906</v>
      </c>
      <c r="C33" s="92">
        <v>455</v>
      </c>
      <c r="D33" s="8">
        <v>2451</v>
      </c>
      <c r="E33" s="92">
        <v>34533</v>
      </c>
    </row>
    <row r="34" spans="1:5">
      <c r="A34" s="164">
        <v>45670</v>
      </c>
      <c r="B34" s="92">
        <v>2631</v>
      </c>
      <c r="C34" s="92">
        <v>290</v>
      </c>
      <c r="D34" s="8">
        <v>2341</v>
      </c>
      <c r="E34" s="92">
        <v>27644</v>
      </c>
    </row>
    <row r="35" spans="1:5">
      <c r="A35" s="164">
        <v>45677</v>
      </c>
      <c r="B35" s="92">
        <v>2547</v>
      </c>
      <c r="C35" s="92">
        <v>715</v>
      </c>
      <c r="D35" s="8">
        <v>1832</v>
      </c>
      <c r="E35" s="92">
        <v>42348</v>
      </c>
    </row>
    <row r="36" spans="1:5">
      <c r="A36" s="164">
        <v>45684</v>
      </c>
      <c r="B36" s="92">
        <v>2534</v>
      </c>
      <c r="C36" s="92">
        <v>606</v>
      </c>
      <c r="D36" s="8">
        <v>1928</v>
      </c>
      <c r="E36" s="92">
        <v>37127</v>
      </c>
    </row>
    <row r="37" spans="1:5">
      <c r="A37" s="164">
        <v>45691</v>
      </c>
      <c r="B37" s="92">
        <v>2010</v>
      </c>
      <c r="C37" s="92">
        <v>330</v>
      </c>
      <c r="D37" s="8">
        <v>1680</v>
      </c>
      <c r="E37" s="92">
        <v>56414</v>
      </c>
    </row>
    <row r="38" spans="1:5">
      <c r="A38" s="164">
        <v>45698</v>
      </c>
      <c r="B38" s="92">
        <v>2872</v>
      </c>
      <c r="C38" s="92">
        <v>511</v>
      </c>
      <c r="D38" s="8">
        <v>2361</v>
      </c>
      <c r="E38" s="92">
        <v>37927</v>
      </c>
    </row>
    <row r="39" spans="1:5">
      <c r="A39" s="164">
        <v>45705</v>
      </c>
      <c r="B39" s="92">
        <v>2146</v>
      </c>
      <c r="C39" s="92">
        <v>603</v>
      </c>
      <c r="D39" s="8">
        <v>1543</v>
      </c>
      <c r="E39" s="92">
        <v>43741</v>
      </c>
    </row>
    <row r="40" spans="1:5">
      <c r="A40" s="164">
        <v>45712</v>
      </c>
      <c r="B40" s="92">
        <v>2509</v>
      </c>
      <c r="C40" s="92">
        <v>796</v>
      </c>
      <c r="D40" s="8">
        <v>1713</v>
      </c>
      <c r="E40" s="92">
        <v>57395</v>
      </c>
    </row>
    <row r="41" spans="1:5">
      <c r="A41" s="164">
        <v>45719</v>
      </c>
      <c r="B41" s="92">
        <v>3343</v>
      </c>
      <c r="C41" s="92">
        <v>580</v>
      </c>
      <c r="D41" s="8">
        <v>2763</v>
      </c>
      <c r="E41" s="92">
        <v>54434</v>
      </c>
    </row>
    <row r="42" spans="1:5">
      <c r="A42" s="164">
        <v>45726</v>
      </c>
      <c r="B42" s="92">
        <v>2740</v>
      </c>
      <c r="C42" s="92">
        <v>425</v>
      </c>
      <c r="D42" s="8">
        <v>2315</v>
      </c>
      <c r="E42" s="92">
        <v>59353</v>
      </c>
    </row>
    <row r="43" spans="1:5">
      <c r="A43" s="164">
        <v>45733</v>
      </c>
      <c r="B43" s="92">
        <v>2543</v>
      </c>
      <c r="C43" s="92">
        <v>355</v>
      </c>
      <c r="D43" s="8">
        <v>2188</v>
      </c>
      <c r="E43" s="92">
        <v>36312</v>
      </c>
    </row>
    <row r="44" spans="1:5">
      <c r="A44" s="164">
        <v>45740</v>
      </c>
      <c r="B44" s="92">
        <v>3191</v>
      </c>
      <c r="C44" s="92">
        <v>512</v>
      </c>
      <c r="D44" s="8">
        <v>2679</v>
      </c>
      <c r="E44" s="92">
        <v>44995</v>
      </c>
    </row>
    <row r="45" spans="1:5">
      <c r="A45" s="164">
        <v>45747</v>
      </c>
      <c r="B45" s="92">
        <v>3248</v>
      </c>
      <c r="C45" s="92">
        <v>467</v>
      </c>
      <c r="D45" s="8">
        <v>2781</v>
      </c>
      <c r="E45" s="92">
        <v>51236</v>
      </c>
    </row>
    <row r="46" spans="1:5">
      <c r="A46" s="164">
        <v>45754</v>
      </c>
      <c r="B46" s="92">
        <v>3710</v>
      </c>
      <c r="C46" s="92">
        <v>419</v>
      </c>
      <c r="D46" s="8">
        <v>3291</v>
      </c>
      <c r="E46" s="92">
        <v>54066</v>
      </c>
    </row>
    <row r="47" spans="1:5">
      <c r="A47" s="164">
        <v>45761</v>
      </c>
      <c r="B47" s="92">
        <v>3716</v>
      </c>
      <c r="C47" s="92">
        <v>500</v>
      </c>
      <c r="D47" s="8">
        <v>3216</v>
      </c>
      <c r="E47" s="92">
        <v>78882</v>
      </c>
    </row>
    <row r="48" spans="1:5">
      <c r="A48" s="164">
        <v>45768</v>
      </c>
      <c r="B48" s="92">
        <v>2445</v>
      </c>
      <c r="C48" s="92">
        <v>717</v>
      </c>
      <c r="D48" s="8">
        <v>1728</v>
      </c>
      <c r="E48" s="92">
        <v>60429</v>
      </c>
    </row>
    <row r="49" spans="1:5">
      <c r="A49" s="164">
        <v>45775</v>
      </c>
      <c r="B49" s="92">
        <v>2715</v>
      </c>
      <c r="C49" s="92">
        <v>337</v>
      </c>
      <c r="D49" s="8">
        <v>2378</v>
      </c>
      <c r="E49" s="92">
        <v>49246</v>
      </c>
    </row>
    <row r="50" spans="1:5">
      <c r="A50" s="164">
        <v>45782</v>
      </c>
      <c r="B50" s="92">
        <v>2651</v>
      </c>
      <c r="C50" s="92">
        <v>597</v>
      </c>
      <c r="D50" s="8">
        <v>2054</v>
      </c>
      <c r="E50" s="92">
        <v>34913</v>
      </c>
    </row>
    <row r="51" spans="1:5">
      <c r="A51" s="164">
        <v>45789</v>
      </c>
      <c r="B51" s="92">
        <v>2005</v>
      </c>
      <c r="C51" s="92">
        <v>605</v>
      </c>
      <c r="D51" s="8">
        <v>1400</v>
      </c>
      <c r="E51" s="92">
        <v>57847</v>
      </c>
    </row>
    <row r="52" spans="1:5">
      <c r="A52" s="164">
        <v>45796</v>
      </c>
      <c r="B52" s="92">
        <v>3861</v>
      </c>
      <c r="C52" s="92">
        <v>292</v>
      </c>
      <c r="D52" s="8">
        <v>3569</v>
      </c>
      <c r="E52" s="92">
        <v>49692</v>
      </c>
    </row>
    <row r="53" spans="1:5">
      <c r="A53" s="164">
        <v>45803</v>
      </c>
      <c r="B53" s="92">
        <v>3457</v>
      </c>
      <c r="C53" s="92">
        <v>548</v>
      </c>
      <c r="D53" s="8">
        <v>2909</v>
      </c>
      <c r="E53" s="92">
        <v>48399</v>
      </c>
    </row>
    <row r="54" spans="1:5">
      <c r="A54" s="164">
        <v>45810</v>
      </c>
      <c r="B54" s="92">
        <v>2674</v>
      </c>
      <c r="C54" s="92">
        <v>625</v>
      </c>
      <c r="D54" s="8">
        <v>2049</v>
      </c>
      <c r="E54" s="92">
        <v>39516</v>
      </c>
    </row>
    <row r="55" spans="1:5">
      <c r="A55" s="164">
        <v>45817</v>
      </c>
      <c r="B55" s="92">
        <v>2910</v>
      </c>
      <c r="C55" s="92">
        <v>667</v>
      </c>
      <c r="D55" s="8">
        <v>2243</v>
      </c>
      <c r="E55" s="92">
        <v>40484</v>
      </c>
    </row>
    <row r="56" spans="1:5">
      <c r="A56" s="164">
        <v>45824</v>
      </c>
      <c r="B56" s="92">
        <v>2450</v>
      </c>
      <c r="C56" s="92">
        <v>433</v>
      </c>
      <c r="D56" s="8">
        <v>2017</v>
      </c>
      <c r="E56" s="92">
        <v>38906</v>
      </c>
    </row>
    <row r="57" spans="1:5">
      <c r="A57" s="164">
        <v>45831</v>
      </c>
      <c r="B57" s="92">
        <v>1993</v>
      </c>
      <c r="C57" s="92">
        <v>609</v>
      </c>
      <c r="D57" s="8">
        <v>1384</v>
      </c>
      <c r="E57" s="92">
        <v>63317</v>
      </c>
    </row>
    <row r="58" spans="1:5">
      <c r="A58" s="164">
        <v>45838</v>
      </c>
      <c r="B58" s="92">
        <v>2635</v>
      </c>
      <c r="C58" s="92">
        <v>320</v>
      </c>
      <c r="D58" s="8">
        <v>2315</v>
      </c>
      <c r="E58" s="92">
        <v>57969</v>
      </c>
    </row>
    <row r="59" spans="1:5">
      <c r="A59" s="164">
        <v>45845</v>
      </c>
      <c r="B59" s="92">
        <v>3180</v>
      </c>
      <c r="C59" s="92">
        <v>511</v>
      </c>
      <c r="D59" s="8">
        <v>2669</v>
      </c>
      <c r="E59" s="92">
        <v>32182</v>
      </c>
    </row>
    <row r="60" spans="1:5">
      <c r="A60" s="164">
        <v>45852</v>
      </c>
      <c r="B60" s="92">
        <v>3238</v>
      </c>
      <c r="C60" s="92">
        <v>584</v>
      </c>
      <c r="D60" s="8">
        <v>2654</v>
      </c>
      <c r="E60" s="92">
        <v>40815</v>
      </c>
    </row>
    <row r="61" spans="1:5">
      <c r="A61" s="164">
        <v>45859</v>
      </c>
      <c r="B61" s="92">
        <v>3197</v>
      </c>
      <c r="C61" s="92">
        <v>503</v>
      </c>
      <c r="D61" s="8">
        <v>2694</v>
      </c>
      <c r="E61" s="92">
        <v>52043</v>
      </c>
    </row>
    <row r="62" spans="1:5">
      <c r="A62" s="164">
        <v>45866</v>
      </c>
      <c r="B62" s="92">
        <v>3695</v>
      </c>
      <c r="C62" s="92">
        <v>459</v>
      </c>
      <c r="D62" s="8">
        <v>3236</v>
      </c>
      <c r="E62" s="92">
        <v>59271</v>
      </c>
    </row>
    <row r="63" spans="1:5">
      <c r="A63" s="164">
        <v>45873</v>
      </c>
      <c r="B63" s="92">
        <v>2205</v>
      </c>
      <c r="C63" s="92">
        <v>516</v>
      </c>
      <c r="D63" s="8">
        <v>1689</v>
      </c>
      <c r="E63" s="92">
        <v>48774</v>
      </c>
    </row>
    <row r="64" spans="1:5">
      <c r="A64" s="164">
        <v>45880</v>
      </c>
      <c r="B64" s="92">
        <v>3025</v>
      </c>
      <c r="C64" s="92">
        <v>678</v>
      </c>
      <c r="D64" s="8">
        <v>2347</v>
      </c>
      <c r="E64" s="92">
        <v>37461</v>
      </c>
    </row>
    <row r="65" spans="1:5">
      <c r="A65" s="164">
        <v>45887</v>
      </c>
      <c r="B65" s="92">
        <v>2222</v>
      </c>
      <c r="C65" s="92">
        <v>403</v>
      </c>
      <c r="D65" s="8">
        <v>1819</v>
      </c>
      <c r="E65" s="92">
        <v>52726</v>
      </c>
    </row>
    <row r="66" spans="1:5">
      <c r="A66" s="164">
        <v>45894</v>
      </c>
      <c r="B66" s="92">
        <v>3387</v>
      </c>
      <c r="C66" s="92">
        <v>741</v>
      </c>
      <c r="D66" s="8">
        <v>2646</v>
      </c>
      <c r="E66" s="92">
        <v>39009</v>
      </c>
    </row>
    <row r="67" spans="1:5">
      <c r="A67" s="164">
        <v>45901</v>
      </c>
      <c r="B67" s="92">
        <v>2127</v>
      </c>
      <c r="C67" s="92">
        <v>703</v>
      </c>
      <c r="D67" s="8">
        <v>1424</v>
      </c>
      <c r="E67" s="92">
        <v>46102</v>
      </c>
    </row>
    <row r="68" spans="1:5">
      <c r="A68" s="164">
        <v>45908</v>
      </c>
      <c r="B68" s="92">
        <v>1877</v>
      </c>
      <c r="C68" s="92">
        <v>441</v>
      </c>
      <c r="D68" s="8">
        <v>1436</v>
      </c>
      <c r="E68" s="92">
        <v>19299</v>
      </c>
    </row>
    <row r="69" spans="1:5">
      <c r="C69" s="173"/>
      <c r="D69" s="173"/>
      <c r="E69" s="173"/>
    </row>
    <row r="70" spans="1:5">
      <c r="A70" s="174" t="s">
        <v>512</v>
      </c>
      <c r="B70" s="175">
        <f>CORREL(E2:E68,D2:D68)</f>
        <v>0.1001175941200671</v>
      </c>
      <c r="C70" s="173" t="s">
        <v>515</v>
      </c>
      <c r="D70" s="173"/>
      <c r="E70" s="173"/>
    </row>
    <row r="71" spans="1:5">
      <c r="A71" s="174" t="s">
        <v>513</v>
      </c>
      <c r="B71" s="175">
        <f>CORREL(E2:E68,B2:B68)</f>
        <v>0.13441635361178686</v>
      </c>
      <c r="C71" s="173"/>
      <c r="D71" s="173"/>
      <c r="E71" s="173"/>
    </row>
  </sheetData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E66104-65DD-4866-B6EC-D2B968D6E3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Raw Posts Data</vt:lpstr>
      <vt:lpstr>Raw Campaign Data</vt:lpstr>
      <vt:lpstr>Raw Engagement Summary</vt:lpstr>
      <vt:lpstr>Summary</vt:lpstr>
      <vt:lpstr>Cleaned Posts</vt:lpstr>
      <vt:lpstr>Cleaned Engagement Summary</vt:lpstr>
      <vt:lpstr>Cleaned Campaign Metadata</vt:lpstr>
      <vt:lpstr>Expanded Hashtags</vt:lpstr>
      <vt:lpstr>Enagaement_Analysis</vt:lpstr>
      <vt:lpstr>TOP 10 POSTS BY ENGAGEMENT RATE</vt:lpstr>
      <vt:lpstr>Pivot-Content Type &amp; Platform</vt:lpstr>
      <vt:lpstr>Hashtag Performance</vt:lpstr>
      <vt:lpstr>Platfrom performance analysis</vt:lpstr>
      <vt:lpstr>WEEKLY FOLLOWER GROWTH</vt:lpstr>
      <vt:lpstr>Hashtag Analysis</vt:lpstr>
      <vt:lpstr>Hashtags by Engagement</vt:lpstr>
      <vt:lpstr>Content Type Performance</vt:lpstr>
      <vt:lpstr> Detailed Campaign Metrics</vt:lpstr>
      <vt:lpstr>Engagement Uplift</vt:lpstr>
      <vt:lpstr> Campaign Performance</vt:lpstr>
      <vt:lpstr>Campaign Follower Growth</vt:lpstr>
      <vt:lpstr>Follower Retention </vt:lpstr>
      <vt:lpstr>AVG chart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Kamlesh Thankur</dc:creator>
  <cp:lastModifiedBy>k4kam</cp:lastModifiedBy>
  <dcterms:created xsi:type="dcterms:W3CDTF">2026-02-14T10:23:53Z</dcterms:created>
  <dcterms:modified xsi:type="dcterms:W3CDTF">2026-06-10T19:06:18Z</dcterms:modified>
</cp:coreProperties>
</file>